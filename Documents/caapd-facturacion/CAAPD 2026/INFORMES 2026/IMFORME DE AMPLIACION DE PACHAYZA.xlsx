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AAPD 2026\INFORMES 2026\"/>
    </mc:Choice>
  </mc:AlternateContent>
  <xr:revisionPtr revIDLastSave="0" documentId="13_ncr:1_{0CE6F1EC-3B6B-4E14-86DC-F36D88661059}" xr6:coauthVersionLast="47" xr6:coauthVersionMax="47" xr10:uidLastSave="{00000000-0000-0000-0000-000000000000}"/>
  <bookViews>
    <workbookView xWindow="-120" yWindow="-120" windowWidth="29040" windowHeight="15720" xr2:uid="{848FC33E-C199-43A2-93F0-B55890BA196D}"/>
  </bookViews>
  <sheets>
    <sheet name="Hoja1" sheetId="1" r:id="rId1"/>
  </sheets>
  <definedNames>
    <definedName name="_xlnm._FilterDatabase" localSheetId="0" hidden="1">Hoja1!$I$8:$W$14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1" l="1"/>
  <c r="G14" i="1"/>
  <c r="G15" i="1"/>
  <c r="G16" i="1"/>
  <c r="G17" i="1"/>
  <c r="G18" i="1"/>
  <c r="G19" i="1"/>
  <c r="G22" i="1"/>
  <c r="G9" i="1"/>
  <c r="G10" i="1"/>
  <c r="G11" i="1"/>
  <c r="G12" i="1"/>
  <c r="G24" i="1"/>
  <c r="M19" i="1"/>
  <c r="M18" i="1"/>
  <c r="M22" i="1" s="1"/>
  <c r="Y25" i="1" s="1"/>
  <c r="Y9" i="1"/>
  <c r="Y11" i="1"/>
  <c r="Y12" i="1"/>
  <c r="Y10" i="1"/>
  <c r="Y14" i="1" l="1"/>
  <c r="P22" i="1" s="1"/>
  <c r="G25" i="1" l="1"/>
</calcChain>
</file>

<file path=xl/sharedStrings.xml><?xml version="1.0" encoding="utf-8"?>
<sst xmlns="http://schemas.openxmlformats.org/spreadsheetml/2006/main" count="98" uniqueCount="49">
  <si>
    <t xml:space="preserve">INFORME DE TRABAJO  REALIZADO                          </t>
  </si>
  <si>
    <t>RESPONSABLE: LUIS TORRES USCAMAITA</t>
  </si>
  <si>
    <t xml:space="preserve">OPERARIO: WALTER MAMANI ALE </t>
  </si>
  <si>
    <t>N°</t>
  </si>
  <si>
    <t>CANTIDAD</t>
  </si>
  <si>
    <t>DISCRIPCION</t>
  </si>
  <si>
    <t>TOTAL</t>
  </si>
  <si>
    <t>Tubos de agua de 1" pvc</t>
  </si>
  <si>
    <t>Adexs</t>
  </si>
  <si>
    <t>LUGAR    : BARRIO PACHAYZA</t>
  </si>
  <si>
    <t>TRABAJO: AMPLIACION DE LA RED MATRIZ DE AGUA POTABLE</t>
  </si>
  <si>
    <t>Tubos de agua de 2" pvc</t>
  </si>
  <si>
    <t>UPR 2"</t>
  </si>
  <si>
    <t xml:space="preserve">Abrazadera de 2" a  1" </t>
  </si>
  <si>
    <t xml:space="preserve">Abrazadera de 2" a  1/2" </t>
  </si>
  <si>
    <t>Tuberia de 1/2" de pvc</t>
  </si>
  <si>
    <t>Llaves de paso de bronce 2"</t>
  </si>
  <si>
    <t>Teflon</t>
  </si>
  <si>
    <t>Pegamento Oatey</t>
  </si>
  <si>
    <t>gaseosas y agua</t>
  </si>
  <si>
    <t>Alimentacion</t>
  </si>
  <si>
    <t>NOMBRES Y APELLIDOS</t>
  </si>
  <si>
    <t>Luis Fernando Torres Uscamaita</t>
  </si>
  <si>
    <t>Walter Mamani Ale</t>
  </si>
  <si>
    <t xml:space="preserve">James Torres Huashuayo </t>
  </si>
  <si>
    <t>Carlos Antony Chaucayanqui Surco</t>
  </si>
  <si>
    <t>M</t>
  </si>
  <si>
    <t>J</t>
  </si>
  <si>
    <t>V</t>
  </si>
  <si>
    <t>S</t>
  </si>
  <si>
    <t>D</t>
  </si>
  <si>
    <t>L</t>
  </si>
  <si>
    <t>X</t>
  </si>
  <si>
    <t>P.U</t>
  </si>
  <si>
    <t>DIAS T</t>
  </si>
  <si>
    <t>TOTAL S/</t>
  </si>
  <si>
    <t>PERSONAL DE OBRA</t>
  </si>
  <si>
    <t xml:space="preserve">ROTOMARTILLO </t>
  </si>
  <si>
    <t>DESCRIPCION</t>
  </si>
  <si>
    <t>P/U</t>
  </si>
  <si>
    <t>MAQUINARIA (combustible)</t>
  </si>
  <si>
    <t>ALQUILERES Y TRANSPORTE</t>
  </si>
  <si>
    <t>GENERADOR</t>
  </si>
  <si>
    <t>TAXI</t>
  </si>
  <si>
    <t>Un rollo de cinta de seguridad</t>
  </si>
  <si>
    <t>FECHA     :25/05/2026 - 05/06/26</t>
  </si>
  <si>
    <t>Transporte (traslado de personal y materiales)</t>
  </si>
  <si>
    <t>PRECIO U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</si>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</sst>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43" fontId="0" fillId="0" borderId="1" xfId="1" applyFont="1" applyBorder="1" applyAlignment="1">
      <alignment horizontal="right"/>
    </xf>
    <xf numFmtId="1" fontId="0" fillId="0" borderId="1" xfId="0" applyNumberFormat="1" applyBorder="1" applyAlignment="1">
      <alignment horizontal="center"/>
    </xf>
    <xf numFmtId="43" fontId="0" fillId="0" borderId="1" xfId="1" applyFont="1" applyBorder="1"/>
    <xf numFmtId="0" fontId="0" fillId="0" borderId="1" xfId="0" applyBorder="1" applyAlignment="1">
      <alignment horizontal="left" vertical="center" wrapText="1"/>
    </xf>
    <xf numFmtId="0" fontId="2" fillId="0" borderId="1" xfId="0" applyFont="1" applyBorder="1"/>
    <xf numFmtId="43" fontId="2" fillId="0" borderId="1" xfId="0" applyNumberFormat="1" applyFont="1" applyBorder="1"/>
    <xf numFmtId="0" fontId="0" fillId="0" borderId="1" xfId="0" applyBorder="1" applyAlignment="1">
      <alignment horizontal="left"/>
    </xf>
    <xf numFmtId="16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43" fontId="0" fillId="0" borderId="1" xfId="0" applyNumberFormat="1" applyBorder="1"/>
    <xf numFmtId="2" fontId="0" fillId="0" borderId="1" xfId="0" applyNumberFormat="1" applyBorder="1"/>
    <xf numFmtId="0" fontId="0" fillId="0" borderId="0" xfId="0" applyAlignment="1">
      <alignment vertical="center"/>
    </xf>
    <xf numFmtId="43" fontId="0" fillId="0" borderId="0" xfId="1" applyFont="1" applyBorder="1" applyAlignment="1">
      <alignment horizontal="right"/>
    </xf>
    <xf numFmtId="0" fontId="0" fillId="0" borderId="2" xfId="0" applyBorder="1"/>
    <xf numFmtId="2" fontId="0" fillId="0" borderId="0" xfId="0" applyNumberFormat="1"/>
    <xf numFmtId="43" fontId="0" fillId="0" borderId="0" xfId="0" applyNumberForma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2E876-1A53-4C26-A425-60F4A6CE43D1}">
  <dimension ref="C4:AA25"/>
  <sheetViews>
    <sheetView tabSelected="1" topLeftCell="F1" workbookViewId="0">
      <selection activeCell="AA13" sqref="AA13"/>
    </sheetView>
  </sheetViews>
  <sheetFormatPr baseColWidth="10" defaultRowHeight="15" x14ac:dyDescent="0.25"/>
  <cols>
    <col min="4" max="4" width="28.7109375" customWidth="1"/>
    <col min="5" max="5" width="38.140625" customWidth="1"/>
    <col min="6" max="6" width="11" customWidth="1"/>
    <col min="7" max="7" width="12.5703125" customWidth="1"/>
    <col min="10" max="10" width="43.28515625" customWidth="1"/>
    <col min="11" max="11" width="7.85546875" customWidth="1"/>
    <col min="12" max="12" width="7.140625" customWidth="1"/>
    <col min="13" max="13" width="7.28515625" customWidth="1"/>
    <col min="14" max="14" width="7.42578125" customWidth="1"/>
    <col min="15" max="15" width="7.85546875" customWidth="1"/>
    <col min="16" max="16" width="7.42578125" customWidth="1"/>
    <col min="17" max="17" width="7.85546875" customWidth="1"/>
    <col min="18" max="19" width="6.7109375" customWidth="1"/>
    <col min="20" max="20" width="7.5703125" customWidth="1"/>
    <col min="21" max="22" width="6.7109375" customWidth="1"/>
    <col min="23" max="24" width="10.28515625" customWidth="1"/>
    <col min="25" max="25" width="14.5703125" customWidth="1"/>
  </cols>
  <sheetData>
    <row r="4" spans="3:27" x14ac:dyDescent="0.25">
      <c r="C4" s="1" t="s">
        <v>0</v>
      </c>
      <c r="D4" s="1"/>
      <c r="E4" s="1" t="s">
        <v>1</v>
      </c>
    </row>
    <row r="5" spans="3:27" x14ac:dyDescent="0.25">
      <c r="C5" s="1" t="s">
        <v>9</v>
      </c>
      <c r="D5" s="1"/>
      <c r="E5" s="1" t="s">
        <v>2</v>
      </c>
    </row>
    <row r="6" spans="3:27" x14ac:dyDescent="0.25">
      <c r="C6" s="1" t="s">
        <v>10</v>
      </c>
      <c r="D6" s="1"/>
      <c r="E6" s="1"/>
      <c r="J6" t="s">
        <v>36</v>
      </c>
    </row>
    <row r="7" spans="3:27" x14ac:dyDescent="0.25">
      <c r="C7" s="1" t="s">
        <v>45</v>
      </c>
      <c r="K7" s="11">
        <v>46167</v>
      </c>
      <c r="L7" s="11">
        <v>46168</v>
      </c>
      <c r="M7" s="11">
        <v>46169</v>
      </c>
      <c r="N7" s="11">
        <v>46170</v>
      </c>
      <c r="O7" s="11">
        <v>46171</v>
      </c>
      <c r="P7" s="11">
        <v>46172</v>
      </c>
      <c r="Q7" s="11">
        <v>46173</v>
      </c>
      <c r="R7" s="11">
        <v>46174</v>
      </c>
      <c r="S7" s="11">
        <v>46175</v>
      </c>
      <c r="T7" s="11">
        <v>46176</v>
      </c>
      <c r="U7" s="11">
        <v>46177</v>
      </c>
      <c r="V7" s="11">
        <v>46178</v>
      </c>
    </row>
    <row r="8" spans="3:27" x14ac:dyDescent="0.25">
      <c r="C8" s="2" t="s">
        <v>3</v>
      </c>
      <c r="D8" s="2" t="s">
        <v>4</v>
      </c>
      <c r="E8" s="2" t="s">
        <v>5</v>
      </c>
      <c r="F8" s="2" t="s">
        <v>47</v>
      </c>
      <c r="G8" s="2" t="s">
        <v>6</v>
      </c>
      <c r="I8" s="2" t="s">
        <v>3</v>
      </c>
      <c r="J8" s="2" t="s">
        <v>21</v>
      </c>
      <c r="K8" s="2" t="s">
        <v>31</v>
      </c>
      <c r="L8" s="2" t="s">
        <v>26</v>
      </c>
      <c r="M8" s="2" t="s">
        <v>26</v>
      </c>
      <c r="N8" s="2" t="s">
        <v>27</v>
      </c>
      <c r="O8" s="2" t="s">
        <v>28</v>
      </c>
      <c r="P8" s="2" t="s">
        <v>29</v>
      </c>
      <c r="Q8" s="2" t="s">
        <v>30</v>
      </c>
      <c r="R8" s="2" t="s">
        <v>31</v>
      </c>
      <c r="S8" s="2" t="s">
        <v>26</v>
      </c>
      <c r="T8" s="2" t="s">
        <v>26</v>
      </c>
      <c r="U8" s="2" t="s">
        <v>27</v>
      </c>
      <c r="V8" s="2" t="s">
        <v>28</v>
      </c>
      <c r="W8" s="2" t="s">
        <v>33</v>
      </c>
      <c r="X8" s="2" t="s">
        <v>34</v>
      </c>
      <c r="Y8" s="2" t="s">
        <v>35</v>
      </c>
    </row>
    <row r="9" spans="3:27" x14ac:dyDescent="0.25">
      <c r="C9" s="2">
        <v>1</v>
      </c>
      <c r="D9" s="2">
        <v>1</v>
      </c>
      <c r="E9" s="3" t="s">
        <v>40</v>
      </c>
      <c r="F9" s="4">
        <v>200</v>
      </c>
      <c r="G9" s="4">
        <f t="shared" ref="G9:G22" si="0">F9*D9</f>
        <v>200</v>
      </c>
      <c r="I9" s="2">
        <v>1</v>
      </c>
      <c r="J9" s="10" t="s">
        <v>22</v>
      </c>
      <c r="K9" s="13" t="s">
        <v>32</v>
      </c>
      <c r="L9" s="13" t="s">
        <v>32</v>
      </c>
      <c r="M9" s="13" t="s">
        <v>32</v>
      </c>
      <c r="N9" s="13" t="s">
        <v>32</v>
      </c>
      <c r="O9" s="13" t="s">
        <v>32</v>
      </c>
      <c r="P9" s="13" t="s">
        <v>32</v>
      </c>
      <c r="Q9" s="13"/>
      <c r="R9" s="13" t="s">
        <v>32</v>
      </c>
      <c r="S9" s="13" t="s">
        <v>32</v>
      </c>
      <c r="T9" s="13" t="s">
        <v>32</v>
      </c>
      <c r="U9" s="13"/>
      <c r="V9" s="13" t="s">
        <v>32</v>
      </c>
      <c r="W9" s="4">
        <v>150</v>
      </c>
      <c r="X9" s="3">
        <v>10</v>
      </c>
      <c r="Y9" s="14">
        <f>X9*W9</f>
        <v>1500</v>
      </c>
      <c r="AA9" t="s">
        <v>48</v>
      </c>
    </row>
    <row r="10" spans="3:27" x14ac:dyDescent="0.25">
      <c r="C10" s="5">
        <v>2</v>
      </c>
      <c r="D10" s="2">
        <v>98</v>
      </c>
      <c r="E10" s="3" t="s">
        <v>11</v>
      </c>
      <c r="F10" s="4">
        <v>67.5</v>
      </c>
      <c r="G10" s="4">
        <f t="shared" si="0"/>
        <v>6615</v>
      </c>
      <c r="I10" s="5">
        <v>2</v>
      </c>
      <c r="J10" s="10" t="s">
        <v>23</v>
      </c>
      <c r="K10" s="13" t="s">
        <v>32</v>
      </c>
      <c r="L10" s="13"/>
      <c r="M10" s="13"/>
      <c r="N10" s="13"/>
      <c r="O10" s="13"/>
      <c r="P10" s="13"/>
      <c r="Q10" s="13"/>
      <c r="R10" s="13"/>
      <c r="S10" s="13"/>
      <c r="T10" s="13" t="s">
        <v>32</v>
      </c>
      <c r="U10" s="13"/>
      <c r="V10" s="13" t="s">
        <v>32</v>
      </c>
      <c r="W10" s="4">
        <v>120</v>
      </c>
      <c r="X10" s="3">
        <v>3</v>
      </c>
      <c r="Y10" s="14">
        <f>X10*W10</f>
        <v>360</v>
      </c>
      <c r="AA10" t="s">
        <v>48</v>
      </c>
    </row>
    <row r="11" spans="3:27" x14ac:dyDescent="0.25">
      <c r="C11" s="2">
        <v>3</v>
      </c>
      <c r="D11" s="2">
        <v>2</v>
      </c>
      <c r="E11" s="3" t="s">
        <v>16</v>
      </c>
      <c r="F11" s="4">
        <v>35</v>
      </c>
      <c r="G11" s="4">
        <f t="shared" si="0"/>
        <v>70</v>
      </c>
      <c r="I11" s="2">
        <v>3</v>
      </c>
      <c r="J11" s="10" t="s">
        <v>24</v>
      </c>
      <c r="K11" s="13" t="s">
        <v>32</v>
      </c>
      <c r="L11" s="13" t="s">
        <v>32</v>
      </c>
      <c r="M11" s="13" t="s">
        <v>32</v>
      </c>
      <c r="N11" s="13" t="s">
        <v>32</v>
      </c>
      <c r="O11" s="13" t="s">
        <v>32</v>
      </c>
      <c r="P11" s="13" t="s">
        <v>32</v>
      </c>
      <c r="Q11" s="13"/>
      <c r="R11" s="13" t="s">
        <v>32</v>
      </c>
      <c r="S11" s="13" t="s">
        <v>32</v>
      </c>
      <c r="T11" s="13" t="s">
        <v>32</v>
      </c>
      <c r="U11" s="13"/>
      <c r="V11" s="13" t="s">
        <v>32</v>
      </c>
      <c r="W11" s="4">
        <v>180</v>
      </c>
      <c r="X11" s="3">
        <v>10</v>
      </c>
      <c r="Y11" s="14">
        <f t="shared" ref="Y11:Y12" si="1">X11*W11</f>
        <v>1800</v>
      </c>
      <c r="AA11" t="s">
        <v>48</v>
      </c>
    </row>
    <row r="12" spans="3:27" x14ac:dyDescent="0.25">
      <c r="C12" s="2">
        <v>4</v>
      </c>
      <c r="D12" s="2">
        <v>4</v>
      </c>
      <c r="E12" s="3" t="s">
        <v>12</v>
      </c>
      <c r="F12" s="4">
        <v>12</v>
      </c>
      <c r="G12" s="4">
        <f>F12*D12</f>
        <v>48</v>
      </c>
      <c r="I12" s="2">
        <v>4</v>
      </c>
      <c r="J12" s="10" t="s">
        <v>25</v>
      </c>
      <c r="K12" s="13" t="s">
        <v>32</v>
      </c>
      <c r="L12" s="13" t="s">
        <v>32</v>
      </c>
      <c r="M12" s="13" t="s">
        <v>32</v>
      </c>
      <c r="N12" s="13" t="s">
        <v>32</v>
      </c>
      <c r="O12" s="13" t="s">
        <v>32</v>
      </c>
      <c r="P12" s="13" t="s">
        <v>32</v>
      </c>
      <c r="Q12" s="13" t="s">
        <v>32</v>
      </c>
      <c r="R12" s="13" t="s">
        <v>32</v>
      </c>
      <c r="S12" s="13" t="s">
        <v>32</v>
      </c>
      <c r="T12" s="13" t="s">
        <v>32</v>
      </c>
      <c r="U12" s="13"/>
      <c r="V12" s="13" t="s">
        <v>32</v>
      </c>
      <c r="W12" s="4">
        <v>120</v>
      </c>
      <c r="X12" s="18">
        <v>11</v>
      </c>
      <c r="Y12" s="14">
        <f t="shared" si="1"/>
        <v>1320</v>
      </c>
      <c r="AA12" t="s">
        <v>48</v>
      </c>
    </row>
    <row r="13" spans="3:27" x14ac:dyDescent="0.25">
      <c r="C13" s="2">
        <v>5</v>
      </c>
      <c r="D13" s="2">
        <v>2</v>
      </c>
      <c r="E13" s="3" t="s">
        <v>7</v>
      </c>
      <c r="F13" s="4">
        <v>23</v>
      </c>
      <c r="G13" s="4">
        <f t="shared" si="0"/>
        <v>46</v>
      </c>
      <c r="I13" s="12"/>
      <c r="J13" s="12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7"/>
      <c r="X13" s="3"/>
      <c r="Y13" s="3"/>
    </row>
    <row r="14" spans="3:27" x14ac:dyDescent="0.25">
      <c r="C14" s="2">
        <v>6</v>
      </c>
      <c r="D14" s="2">
        <v>2</v>
      </c>
      <c r="E14" s="3" t="s">
        <v>13</v>
      </c>
      <c r="F14" s="4">
        <v>25</v>
      </c>
      <c r="G14" s="4">
        <f t="shared" si="0"/>
        <v>50</v>
      </c>
      <c r="I14" s="12"/>
      <c r="J14" s="12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7"/>
      <c r="X14" s="3" t="s">
        <v>6</v>
      </c>
      <c r="Y14" s="15">
        <f>SUM(Y9:Y13)</f>
        <v>4980</v>
      </c>
    </row>
    <row r="15" spans="3:27" x14ac:dyDescent="0.25">
      <c r="C15" s="2">
        <v>7</v>
      </c>
      <c r="D15" s="2">
        <v>7</v>
      </c>
      <c r="E15" s="3" t="s">
        <v>14</v>
      </c>
      <c r="F15" s="4">
        <v>25</v>
      </c>
      <c r="G15" s="4">
        <f t="shared" si="0"/>
        <v>175</v>
      </c>
    </row>
    <row r="16" spans="3:27" x14ac:dyDescent="0.25">
      <c r="C16" s="2">
        <v>8</v>
      </c>
      <c r="D16" s="2">
        <v>7</v>
      </c>
      <c r="E16" s="3" t="s">
        <v>15</v>
      </c>
      <c r="F16" s="6">
        <v>23</v>
      </c>
      <c r="G16" s="4">
        <f t="shared" si="0"/>
        <v>161</v>
      </c>
      <c r="I16" t="s">
        <v>41</v>
      </c>
    </row>
    <row r="17" spans="3:25" x14ac:dyDescent="0.25">
      <c r="C17" s="2">
        <v>9</v>
      </c>
      <c r="D17" s="2">
        <v>1</v>
      </c>
      <c r="E17" s="3" t="s">
        <v>8</v>
      </c>
      <c r="F17" s="6">
        <v>15</v>
      </c>
      <c r="G17" s="4">
        <f t="shared" si="0"/>
        <v>15</v>
      </c>
      <c r="I17" s="2" t="s">
        <v>3</v>
      </c>
      <c r="J17" s="3" t="s">
        <v>38</v>
      </c>
      <c r="K17" s="3" t="s">
        <v>34</v>
      </c>
      <c r="L17" s="3" t="s">
        <v>39</v>
      </c>
      <c r="M17" s="3" t="s">
        <v>6</v>
      </c>
    </row>
    <row r="18" spans="3:25" x14ac:dyDescent="0.25">
      <c r="C18" s="2">
        <v>10</v>
      </c>
      <c r="D18" s="2">
        <v>10</v>
      </c>
      <c r="E18" s="3" t="s">
        <v>17</v>
      </c>
      <c r="F18" s="6">
        <v>2</v>
      </c>
      <c r="G18" s="4">
        <f t="shared" si="0"/>
        <v>20</v>
      </c>
      <c r="I18" s="2">
        <v>1</v>
      </c>
      <c r="J18" s="2" t="s">
        <v>37</v>
      </c>
      <c r="K18" s="2">
        <v>10</v>
      </c>
      <c r="L18" s="2">
        <v>100</v>
      </c>
      <c r="M18" s="2">
        <f>L18*K18</f>
        <v>1000</v>
      </c>
      <c r="P18" s="12"/>
    </row>
    <row r="19" spans="3:25" ht="17.25" customHeight="1" x14ac:dyDescent="0.25">
      <c r="C19" s="2">
        <v>11</v>
      </c>
      <c r="D19" s="2">
        <v>1</v>
      </c>
      <c r="E19" s="7" t="s">
        <v>18</v>
      </c>
      <c r="F19" s="6">
        <v>19</v>
      </c>
      <c r="G19" s="4">
        <f t="shared" si="0"/>
        <v>19</v>
      </c>
      <c r="I19" s="2">
        <v>2</v>
      </c>
      <c r="J19" s="2" t="s">
        <v>42</v>
      </c>
      <c r="K19" s="2">
        <v>10</v>
      </c>
      <c r="L19" s="2">
        <v>60</v>
      </c>
      <c r="M19" s="2">
        <f>L19*K19</f>
        <v>600</v>
      </c>
    </row>
    <row r="20" spans="3:25" ht="17.25" customHeight="1" x14ac:dyDescent="0.25">
      <c r="C20" s="2">
        <v>12</v>
      </c>
      <c r="D20" s="2">
        <v>1</v>
      </c>
      <c r="E20" s="7" t="s">
        <v>19</v>
      </c>
      <c r="F20" s="6">
        <v>107</v>
      </c>
      <c r="G20" s="4">
        <v>107</v>
      </c>
      <c r="I20" s="2">
        <v>3</v>
      </c>
      <c r="J20" s="2" t="s">
        <v>43</v>
      </c>
      <c r="K20" s="2"/>
      <c r="L20" s="2"/>
      <c r="M20" s="2">
        <v>85</v>
      </c>
    </row>
    <row r="21" spans="3:25" ht="17.25" customHeight="1" x14ac:dyDescent="0.25">
      <c r="C21" s="2">
        <v>13</v>
      </c>
      <c r="D21" s="2">
        <v>1</v>
      </c>
      <c r="E21" s="7" t="s">
        <v>20</v>
      </c>
      <c r="F21" s="6">
        <v>444</v>
      </c>
      <c r="G21" s="4">
        <v>444</v>
      </c>
      <c r="I21" s="2"/>
      <c r="J21" s="2"/>
      <c r="K21" s="2"/>
      <c r="L21" s="2"/>
      <c r="M21" s="2"/>
    </row>
    <row r="22" spans="3:25" x14ac:dyDescent="0.25">
      <c r="C22" s="2">
        <v>15</v>
      </c>
      <c r="D22" s="2">
        <v>1</v>
      </c>
      <c r="E22" s="3" t="s">
        <v>44</v>
      </c>
      <c r="F22" s="6">
        <v>45</v>
      </c>
      <c r="G22" s="4">
        <f t="shared" si="0"/>
        <v>45</v>
      </c>
      <c r="I22" s="21" t="s">
        <v>6</v>
      </c>
      <c r="J22" s="22"/>
      <c r="K22" s="22"/>
      <c r="L22" s="23"/>
      <c r="M22" s="3">
        <f>SUM(M18:M21)</f>
        <v>1685</v>
      </c>
      <c r="P22" s="19">
        <f>SUM(Y14+M22)</f>
        <v>6665</v>
      </c>
    </row>
    <row r="23" spans="3:25" x14ac:dyDescent="0.25">
      <c r="C23" s="2"/>
      <c r="D23" s="2">
        <v>1</v>
      </c>
      <c r="E23" s="3" t="s">
        <v>46</v>
      </c>
      <c r="F23" s="6">
        <v>85</v>
      </c>
      <c r="G23" s="4">
        <v>85</v>
      </c>
      <c r="I23" s="12"/>
      <c r="J23" s="12"/>
      <c r="K23" s="12"/>
      <c r="L23" s="12"/>
      <c r="P23" s="19"/>
    </row>
    <row r="24" spans="3:25" x14ac:dyDescent="0.25">
      <c r="C24" s="2">
        <v>16</v>
      </c>
      <c r="D24" s="2"/>
      <c r="E24" s="3"/>
      <c r="F24" s="6"/>
      <c r="G24" s="4">
        <f t="shared" ref="G24" si="2">F24</f>
        <v>0</v>
      </c>
      <c r="I24" s="12"/>
      <c r="J24" s="12"/>
      <c r="K24" s="12"/>
      <c r="L24" s="12"/>
      <c r="P24" s="19"/>
    </row>
    <row r="25" spans="3:25" x14ac:dyDescent="0.25">
      <c r="C25" s="3"/>
      <c r="D25" s="3"/>
      <c r="E25" s="3"/>
      <c r="F25" s="8" t="s">
        <v>6</v>
      </c>
      <c r="G25" s="9">
        <f>SUM(G9:G21)</f>
        <v>7970</v>
      </c>
      <c r="Y25" s="20">
        <f>SUM(G25+M22+Y14)</f>
        <v>14635</v>
      </c>
    </row>
  </sheetData>
  <mergeCells count="1">
    <mergeCell ref="I22:L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2026-06-10T16:42:52Z</dcterms:created>
  <dcterms:modified xsi:type="dcterms:W3CDTF">2026-07-08T21:59:01Z</dcterms:modified>
</cp:coreProperties>
</file>