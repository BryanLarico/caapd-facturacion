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CAAPD 2026\JUNIO 2026\"/>
    </mc:Choice>
  </mc:AlternateContent>
  <xr:revisionPtr revIDLastSave="0" documentId="13_ncr:1_{2A1BFE53-5DB1-4825-8360-3F3C4CEF5214}" xr6:coauthVersionLast="47" xr6:coauthVersionMax="47" xr10:uidLastSave="{00000000-0000-0000-0000-000000000000}"/>
  <bookViews>
    <workbookView xWindow="-120" yWindow="-120" windowWidth="29040" windowHeight="15720" activeTab="3" xr2:uid="{E1AABF5D-0911-4144-88A6-EAB6D0436F4F}"/>
  </bookViews>
  <sheets>
    <sheet name="RECIBOS" sheetId="1" r:id="rId1"/>
    <sheet name="CAJA" sheetId="5" r:id="rId2"/>
    <sheet name="INGRESOS" sheetId="3" r:id="rId3"/>
    <sheet name="EGRESOS" sheetId="4" r:id="rId4"/>
    <sheet name="RESUMEN JUNIO" sheetId="9" r:id="rId5"/>
    <sheet name="CORTE" sheetId="22" r:id="rId6"/>
  </sheets>
  <definedNames>
    <definedName name="_xlnm._FilterDatabase" localSheetId="1" hidden="1">CAJA!$A$6:$I$38</definedName>
    <definedName name="_xlnm._FilterDatabase" localSheetId="5" hidden="1">CORTE!$A$142:$F$164</definedName>
    <definedName name="_xlnm._FilterDatabase" localSheetId="3" hidden="1">EGRESOS!$B$3:$F$78</definedName>
    <definedName name="_xlnm._FilterDatabase" localSheetId="2" hidden="1">INGRESOS!$B$12:$F$12</definedName>
    <definedName name="_xlnm._FilterDatabase" localSheetId="0" hidden="1">RECIBOS!$A$3:$M$618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09" i="1" l="1"/>
  <c r="M281" i="1"/>
  <c r="M273" i="1"/>
  <c r="M249" i="1"/>
  <c r="M238" i="1"/>
  <c r="M240" i="1"/>
  <c r="M223" i="1"/>
  <c r="M196" i="1"/>
  <c r="M180" i="1"/>
  <c r="M165" i="1"/>
  <c r="M144" i="1"/>
  <c r="M140" i="1"/>
  <c r="M125" i="1"/>
  <c r="M117" i="1"/>
  <c r="M107" i="1"/>
  <c r="M93" i="1"/>
  <c r="M79" i="1"/>
  <c r="M75" i="1"/>
  <c r="M62" i="1"/>
  <c r="M53" i="1"/>
  <c r="M46" i="1"/>
  <c r="M29" i="1"/>
  <c r="M323" i="1"/>
  <c r="J24" i="3"/>
  <c r="J21" i="3"/>
  <c r="J19" i="3"/>
  <c r="J17" i="3"/>
  <c r="L11" i="4" l="1"/>
  <c r="L10" i="4"/>
  <c r="L20" i="4"/>
  <c r="L18" i="4"/>
  <c r="L17" i="4"/>
  <c r="L12" i="4"/>
  <c r="L21" i="4"/>
  <c r="L19" i="4"/>
  <c r="I146" i="3"/>
  <c r="G152" i="3"/>
  <c r="G148" i="3"/>
  <c r="G146" i="3"/>
  <c r="G137" i="3"/>
  <c r="G133" i="3"/>
  <c r="G130" i="3"/>
  <c r="G125" i="3"/>
  <c r="G120" i="3"/>
  <c r="G116" i="3"/>
  <c r="L16" i="4" l="1"/>
  <c r="L13" i="4"/>
  <c r="L23" i="4" s="1"/>
  <c r="G32" i="9"/>
  <c r="E12" i="9"/>
  <c r="G6" i="9"/>
  <c r="G18" i="9" l="1"/>
  <c r="G34" i="9" s="1"/>
  <c r="G112" i="3" l="1"/>
  <c r="G109" i="3"/>
  <c r="G108" i="3"/>
  <c r="G103" i="3"/>
  <c r="G102" i="3"/>
  <c r="G98" i="3"/>
  <c r="G93" i="3"/>
  <c r="I112" i="3" l="1"/>
  <c r="G88" i="3" l="1"/>
  <c r="G84" i="3"/>
  <c r="G80" i="3"/>
  <c r="G77" i="3"/>
  <c r="G73" i="3"/>
  <c r="G72" i="3"/>
  <c r="G70" i="3"/>
  <c r="I88" i="3" l="1"/>
  <c r="G67" i="3" l="1"/>
  <c r="G64" i="3"/>
  <c r="G60" i="3"/>
  <c r="G56" i="3"/>
  <c r="G51" i="3" l="1"/>
  <c r="G46" i="3"/>
  <c r="G42" i="3"/>
  <c r="I67" i="3" s="1"/>
  <c r="F34" i="3" l="1"/>
  <c r="F101" i="4"/>
  <c r="F156" i="3" l="1"/>
  <c r="F78" i="4" l="1"/>
  <c r="F166" i="3" l="1"/>
  <c r="F189" i="3" l="1"/>
  <c r="L823" i="1" l="1"/>
  <c r="C31" i="5" l="1"/>
  <c r="C32" i="5"/>
  <c r="C30" i="5"/>
  <c r="G8" i="5" l="1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7" i="5"/>
  <c r="C37" i="5"/>
  <c r="H7" i="5"/>
  <c r="B7" i="5"/>
  <c r="D7" i="5"/>
  <c r="G38" i="5" l="1"/>
  <c r="G42" i="5" s="1"/>
  <c r="B24" i="5" l="1"/>
  <c r="B25" i="5"/>
  <c r="B8" i="5" l="1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 l="1"/>
  <c r="E8" i="5" l="1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7" i="5"/>
  <c r="C7" i="5"/>
  <c r="E38" i="5" l="1"/>
  <c r="C3" i="3" l="1"/>
  <c r="C4" i="3"/>
  <c r="C5" i="3"/>
  <c r="C8" i="3"/>
  <c r="C7" i="3"/>
  <c r="C6" i="3"/>
  <c r="F3" i="3"/>
  <c r="F4" i="3"/>
  <c r="F5" i="3" l="1"/>
  <c r="F6" i="3"/>
  <c r="F7" i="3"/>
  <c r="F8" i="3"/>
  <c r="F9" i="3" l="1"/>
  <c r="F7" i="5" l="1" a="1"/>
  <c r="F7" i="5" s="1"/>
  <c r="C14" i="5" l="1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3" i="5"/>
  <c r="C34" i="5"/>
  <c r="C35" i="5"/>
  <c r="C36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D35" i="5" l="1"/>
  <c r="H8" i="5" l="1"/>
  <c r="H9" i="5"/>
  <c r="H10" i="5"/>
  <c r="H11" i="5"/>
  <c r="H12" i="5"/>
  <c r="D36" i="5" l="1"/>
  <c r="C8" i="5"/>
  <c r="D8" i="5"/>
  <c r="C9" i="5"/>
  <c r="D9" i="5"/>
  <c r="C10" i="5"/>
  <c r="D10" i="5"/>
  <c r="C11" i="5"/>
  <c r="D11" i="5"/>
  <c r="C12" i="5"/>
  <c r="D12" i="5"/>
  <c r="C13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7" i="5"/>
  <c r="H37" i="5"/>
  <c r="H38" i="5" s="1"/>
  <c r="C38" i="5" l="1"/>
  <c r="H42" i="5"/>
  <c r="D38" i="5"/>
  <c r="I7" i="5"/>
  <c r="F110" i="4" l="1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6" i="5"/>
  <c r="F15" i="5"/>
  <c r="F14" i="5"/>
  <c r="F13" i="5"/>
  <c r="F12" i="5"/>
  <c r="F11" i="5"/>
  <c r="F9" i="5"/>
  <c r="F8" i="5"/>
  <c r="I8" i="5" l="1"/>
  <c r="I9" i="5" s="1"/>
  <c r="C9" i="3"/>
  <c r="F10" i="5"/>
  <c r="F17" i="5"/>
  <c r="F38" i="5" l="1"/>
  <c r="I10" i="5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C42" i="5" l="1"/>
  <c r="I42" i="5" s="1"/>
  <c r="I48" i="5" s="1"/>
</calcChain>
</file>

<file path=xl/sharedStrings.xml><?xml version="1.0" encoding="utf-8"?>
<sst xmlns="http://schemas.openxmlformats.org/spreadsheetml/2006/main" count="7430" uniqueCount="2774">
  <si>
    <t>PACHAYZA</t>
  </si>
  <si>
    <t>N° CONEXIÓN</t>
  </si>
  <si>
    <t>N° MEDIDOR</t>
  </si>
  <si>
    <t>BARRIO</t>
  </si>
  <si>
    <t>BENEFICIARIO</t>
  </si>
  <si>
    <t>Dirección</t>
  </si>
  <si>
    <t>lect. Ant</t>
  </si>
  <si>
    <t>lect. Actual</t>
  </si>
  <si>
    <t>MESES</t>
  </si>
  <si>
    <t>CANT. MES</t>
  </si>
  <si>
    <t>MONTO</t>
  </si>
  <si>
    <t>TOTAL - DIA</t>
  </si>
  <si>
    <t>CHAUPI</t>
  </si>
  <si>
    <t>LUCMANI</t>
  </si>
  <si>
    <t>HUAQUILLO</t>
  </si>
  <si>
    <t>TOTAL</t>
  </si>
  <si>
    <t>AYACUCHO</t>
  </si>
  <si>
    <t>CHAUPICERCA</t>
  </si>
  <si>
    <t xml:space="preserve">DESCRIPCION </t>
  </si>
  <si>
    <t>SUMA TOTAL</t>
  </si>
  <si>
    <t xml:space="preserve">FECHA </t>
  </si>
  <si>
    <t>N° REC.</t>
  </si>
  <si>
    <t xml:space="preserve"> FECHA </t>
  </si>
  <si>
    <t>DESCRIPCION</t>
  </si>
  <si>
    <t>TOTAL DE EGRESOS</t>
  </si>
  <si>
    <t>TOTAL  DE GASTOS</t>
  </si>
  <si>
    <t>FECHA</t>
  </si>
  <si>
    <t>EGRESO TOTAL</t>
  </si>
  <si>
    <t>SALDO TOTAL</t>
  </si>
  <si>
    <t>COPIAS/IMPRESIONES</t>
  </si>
  <si>
    <t>INGRESO RECIBOS</t>
  </si>
  <si>
    <t>INGRESOS VARIABLES</t>
  </si>
  <si>
    <t>HUAQUILLO S/N</t>
  </si>
  <si>
    <t>SECTOR PACHAYZA - PARTE BAJA</t>
  </si>
  <si>
    <t>SECTOR PACHAYZA- PARTE BAJA</t>
  </si>
  <si>
    <t>SECTOR PACHAYZA-PAMPA</t>
  </si>
  <si>
    <t>TORRES COA,NICOLASA LEONCIA</t>
  </si>
  <si>
    <t>000229</t>
  </si>
  <si>
    <t>SECTOR PACHAYZA -TARAPATA</t>
  </si>
  <si>
    <t>PACHAYZA-PARTE BAJA</t>
  </si>
  <si>
    <t>CRUZ CASTRO WILVER</t>
  </si>
  <si>
    <t>21130893</t>
  </si>
  <si>
    <t>000700</t>
  </si>
  <si>
    <t>LUCMANI S/N</t>
  </si>
  <si>
    <t>CALLE 05 DE AGOSTO S/N</t>
  </si>
  <si>
    <t>CALLE LUCMANI</t>
  </si>
  <si>
    <t>CALLE 28 DE JULIO S/N</t>
  </si>
  <si>
    <t>PASAJE SAN ISIDRO S/N</t>
  </si>
  <si>
    <t>CALLE SAN SEBASTIAN S/N</t>
  </si>
  <si>
    <t>AVENIDA  AVIACION S/N</t>
  </si>
  <si>
    <t>RAMIREZ TORRES ,NERI CRISTINA</t>
  </si>
  <si>
    <t xml:space="preserve"> </t>
  </si>
  <si>
    <t>AVENIDA AVIACION S/N</t>
  </si>
  <si>
    <t>SIVINCHA DE CHAVEZ,MARIA SANTOS</t>
  </si>
  <si>
    <t>6593289</t>
  </si>
  <si>
    <t>000050</t>
  </si>
  <si>
    <t>S/N</t>
  </si>
  <si>
    <t>CAJA INICIAL DEL MES</t>
  </si>
  <si>
    <t>INGRESOS</t>
  </si>
  <si>
    <t>COBRO DE RECIBOS</t>
  </si>
  <si>
    <t>Chaupi</t>
  </si>
  <si>
    <t>Pachayza</t>
  </si>
  <si>
    <t>Lucmani</t>
  </si>
  <si>
    <t>Huaquillo</t>
  </si>
  <si>
    <t>Ayacucho</t>
  </si>
  <si>
    <t>Chaupicerca</t>
  </si>
  <si>
    <t>COPIAS E IMPRESIONES, DOCUMENTOS</t>
  </si>
  <si>
    <t>INGRESO TOTAL</t>
  </si>
  <si>
    <t>EGRESOS</t>
  </si>
  <si>
    <t xml:space="preserve">SALDO </t>
  </si>
  <si>
    <t>FECHA DE PAGO</t>
  </si>
  <si>
    <t>N° REC</t>
  </si>
  <si>
    <t>COD</t>
  </si>
  <si>
    <t>SALDO FINAL</t>
  </si>
  <si>
    <t>000712</t>
  </si>
  <si>
    <t>220017320</t>
  </si>
  <si>
    <t>000339</t>
  </si>
  <si>
    <t>200002898</t>
  </si>
  <si>
    <t>CRUZ MANCILLA ,NOYA SAIDA</t>
  </si>
  <si>
    <t>000340</t>
  </si>
  <si>
    <t>60061410</t>
  </si>
  <si>
    <t>000728</t>
  </si>
  <si>
    <t>200031258</t>
  </si>
  <si>
    <t>SECTOR PACHAYZA - PARTE ALTA</t>
  </si>
  <si>
    <t>000256</t>
  </si>
  <si>
    <t>6570764</t>
  </si>
  <si>
    <t>URDAY TORRES SILVIA VITALIA</t>
  </si>
  <si>
    <t>SECTOR PACHAYZA- PARTE ALTA</t>
  </si>
  <si>
    <t>000354</t>
  </si>
  <si>
    <t>GUTIERREZ CHALCO ,DARIO</t>
  </si>
  <si>
    <t>CALLE VIRGEN DE LAS NIEVES S/N</t>
  </si>
  <si>
    <t>000412</t>
  </si>
  <si>
    <t>60062082</t>
  </si>
  <si>
    <t>MANSILLA NAVINTA ,MERCEDES</t>
  </si>
  <si>
    <t>000392</t>
  </si>
  <si>
    <t>60062069</t>
  </si>
  <si>
    <t>MANSILLA NAVINTA MERCEDES</t>
  </si>
  <si>
    <t>PASAJE LA  SALLE  S/N</t>
  </si>
  <si>
    <t>000332</t>
  </si>
  <si>
    <t>6578564</t>
  </si>
  <si>
    <t>CORIMANYA ARUTAIPE ,ESTEFA AURORA</t>
  </si>
  <si>
    <t>000664</t>
  </si>
  <si>
    <t>200011838</t>
  </si>
  <si>
    <t>HUAMANI URDAY VICTOR VICENTE</t>
  </si>
  <si>
    <t>000198</t>
  </si>
  <si>
    <t>6586849</t>
  </si>
  <si>
    <t>MOTTA NEYRA,ABELINA AGEDA</t>
  </si>
  <si>
    <t>SECTOR PACHAYZA  - PUCRO</t>
  </si>
  <si>
    <t>000074</t>
  </si>
  <si>
    <t>6593585</t>
  </si>
  <si>
    <t xml:space="preserve">HUAMANI VERA ,JOSEFA LOURDES </t>
  </si>
  <si>
    <t>000555</t>
  </si>
  <si>
    <t>9090634</t>
  </si>
  <si>
    <t>CALLE SAN ISIDRO S/N</t>
  </si>
  <si>
    <t>000208</t>
  </si>
  <si>
    <t>9091738</t>
  </si>
  <si>
    <t>PALOMINO NEYRA ,MAGNO ELISEO</t>
  </si>
  <si>
    <t>000299</t>
  </si>
  <si>
    <t>6581512</t>
  </si>
  <si>
    <t>000280</t>
  </si>
  <si>
    <t>60062051</t>
  </si>
  <si>
    <t xml:space="preserve">ARUTAIPE COA ,CONCEPCION ESTEFA </t>
  </si>
  <si>
    <t>000390</t>
  </si>
  <si>
    <t>6577445</t>
  </si>
  <si>
    <t>HUAMANI USCAMAITA ,HIPOLITO</t>
  </si>
  <si>
    <t>CALLE LOS ESTUDIANTES S/N</t>
  </si>
  <si>
    <t>000191</t>
  </si>
  <si>
    <t>6573820</t>
  </si>
  <si>
    <t>MONTALVO VERA , LISMINA SUSANA</t>
  </si>
  <si>
    <t>000192</t>
  </si>
  <si>
    <t>6586742</t>
  </si>
  <si>
    <t>MONTALVO VERA ROY EDSON</t>
  </si>
  <si>
    <t>000596</t>
  </si>
  <si>
    <t>19003881</t>
  </si>
  <si>
    <t>MONTALVO HUAMANI VALENTIN ABELINO</t>
  </si>
  <si>
    <t>000200</t>
  </si>
  <si>
    <t>6586927</t>
  </si>
  <si>
    <t>NAVINTA MONTALVO JESUS EFRAIN</t>
  </si>
  <si>
    <t>200005309</t>
  </si>
  <si>
    <t>000577</t>
  </si>
  <si>
    <t>09092524</t>
  </si>
  <si>
    <t>TORRES VERA, ELISABETH</t>
  </si>
  <si>
    <t>CALLE, LOS ESTUDIANTES S/N</t>
  </si>
  <si>
    <t>000157</t>
  </si>
  <si>
    <t>6584846</t>
  </si>
  <si>
    <t>HUAMANI ILATAYPE,ATENEA DIVINIDAD</t>
  </si>
  <si>
    <t>000013</t>
  </si>
  <si>
    <t>21003043</t>
  </si>
  <si>
    <t xml:space="preserve">CHUQUIYANQUI HUAMANI,ETELVINA VILMA </t>
  </si>
  <si>
    <t>000684</t>
  </si>
  <si>
    <t>200031254</t>
  </si>
  <si>
    <t>ESCOBAR CHUQUIYANQUI LISBET NATALI</t>
  </si>
  <si>
    <t>000036</t>
  </si>
  <si>
    <t>MONTALVO ARUTAYPE,MARIA FELICIANA</t>
  </si>
  <si>
    <t>000034</t>
  </si>
  <si>
    <t>6593296</t>
  </si>
  <si>
    <t>MANCILLA CASTRO,MIGUEL</t>
  </si>
  <si>
    <t>000672</t>
  </si>
  <si>
    <t>21003054</t>
  </si>
  <si>
    <t>ANTACHOQUE HERENCIA GENESIS</t>
  </si>
  <si>
    <t>000528</t>
  </si>
  <si>
    <t>6593681</t>
  </si>
  <si>
    <t xml:space="preserve">CHAUCAYANQUI ALVAREZ,CLEMENTE </t>
  </si>
  <si>
    <t>000704</t>
  </si>
  <si>
    <t>220017513</t>
  </si>
  <si>
    <t>CASTRO USCAMAYTA ELIANA</t>
  </si>
  <si>
    <t>CHAUPICERCA S/N</t>
  </si>
  <si>
    <t>000534</t>
  </si>
  <si>
    <t>6593461</t>
  </si>
  <si>
    <t>NEYRA DE USCAMAYTA,MANUELA ANA</t>
  </si>
  <si>
    <t>CHAUPI CERCA S/N</t>
  </si>
  <si>
    <t>000536</t>
  </si>
  <si>
    <t>6593726</t>
  </si>
  <si>
    <t>USCAMAYTA NEYRA,DAVID JESUS</t>
  </si>
  <si>
    <t>000002</t>
  </si>
  <si>
    <t>6659764</t>
  </si>
  <si>
    <t xml:space="preserve">ANTACHOQUE MOTA,JUANA HILDA </t>
  </si>
  <si>
    <t>000003</t>
  </si>
  <si>
    <t>21003044</t>
  </si>
  <si>
    <t>ANTACHOQUE VERA,DAVID TOMAS</t>
  </si>
  <si>
    <t>000005</t>
  </si>
  <si>
    <t>2001875</t>
  </si>
  <si>
    <t xml:space="preserve">ARUTAYPE COA,CONCEPCION ESTEFA </t>
  </si>
  <si>
    <t>000006</t>
  </si>
  <si>
    <t>6582810</t>
  </si>
  <si>
    <t xml:space="preserve">AYMARA HUAMANI,ALEJA </t>
  </si>
  <si>
    <t>000690</t>
  </si>
  <si>
    <t>2392656</t>
  </si>
  <si>
    <t>CABRERA CARPIO JESUS VICTORIANO</t>
  </si>
  <si>
    <t>000651</t>
  </si>
  <si>
    <t>22392656</t>
  </si>
  <si>
    <t>CALLE LUCMANI S/N</t>
  </si>
  <si>
    <t>000007</t>
  </si>
  <si>
    <t>23015480</t>
  </si>
  <si>
    <t>CABRERA CHAVEZ,ASISCLO</t>
  </si>
  <si>
    <t>000008</t>
  </si>
  <si>
    <t>6658948</t>
  </si>
  <si>
    <t xml:space="preserve">CASTRO CHAUCAYANQUI,REYNA FRANCA </t>
  </si>
  <si>
    <t>000009</t>
  </si>
  <si>
    <t>6593255</t>
  </si>
  <si>
    <t>CASTRO HUAMANI,AGUSTINA JUSTA</t>
  </si>
  <si>
    <t>000669</t>
  </si>
  <si>
    <t>21003048</t>
  </si>
  <si>
    <t>CHAVEZ ANTACHOQUE HENRRY</t>
  </si>
  <si>
    <t>SECTOR JENCHO</t>
  </si>
  <si>
    <t>SECTOR GABINAYOC</t>
  </si>
  <si>
    <t>000548</t>
  </si>
  <si>
    <t>09092433</t>
  </si>
  <si>
    <t>ESCOBAR MANCILLA WALTER</t>
  </si>
  <si>
    <t>AUCAYPATA</t>
  </si>
  <si>
    <t>000685</t>
  </si>
  <si>
    <t>200031244</t>
  </si>
  <si>
    <t>FLORES QUISPE ROSA</t>
  </si>
  <si>
    <t>000019</t>
  </si>
  <si>
    <t>6590708</t>
  </si>
  <si>
    <t>GUZMAN CHAUCAYANQUI ,NANCY</t>
  </si>
  <si>
    <t>000020</t>
  </si>
  <si>
    <t>6579093</t>
  </si>
  <si>
    <t xml:space="preserve">HUAMANI CANDELARIA </t>
  </si>
  <si>
    <t>000021</t>
  </si>
  <si>
    <t>6579096</t>
  </si>
  <si>
    <t>HUAMANI CARPIO,CIRILO</t>
  </si>
  <si>
    <t>000022</t>
  </si>
  <si>
    <t>6590942</t>
  </si>
  <si>
    <t>HUAMANI COA ,FIDELA CARMEN</t>
  </si>
  <si>
    <t>000023</t>
  </si>
  <si>
    <t>21000864</t>
  </si>
  <si>
    <t xml:space="preserve">HUAMANI COA,LUCIO INGNACIO </t>
  </si>
  <si>
    <t>000703</t>
  </si>
  <si>
    <t>23015475</t>
  </si>
  <si>
    <t>HUAMANI MALVA MARIA</t>
  </si>
  <si>
    <t>000025</t>
  </si>
  <si>
    <t>6593473</t>
  </si>
  <si>
    <t>HUAMANI TORRES CORINA VALERIANA</t>
  </si>
  <si>
    <t>000027</t>
  </si>
  <si>
    <t>6587948</t>
  </si>
  <si>
    <t>HUAMANI USCAMAYTA,MELITON GABRIEL</t>
  </si>
  <si>
    <t>000035</t>
  </si>
  <si>
    <t>6585587</t>
  </si>
  <si>
    <t>ILATAYPE MANSILLA ABEL MARCO</t>
  </si>
  <si>
    <t>000028</t>
  </si>
  <si>
    <t>23015478</t>
  </si>
  <si>
    <t>LOPEZ CHALCO,BETTY MARIA</t>
  </si>
  <si>
    <t>000029</t>
  </si>
  <si>
    <t>6572058</t>
  </si>
  <si>
    <t xml:space="preserve">LOPEZ MANCILLA,GLORIA </t>
  </si>
  <si>
    <t>000030</t>
  </si>
  <si>
    <t>6578558</t>
  </si>
  <si>
    <t>LUQUE ARUTAYPE, JOSEFA ANGELITA</t>
  </si>
  <si>
    <t>000031</t>
  </si>
  <si>
    <t>23015468</t>
  </si>
  <si>
    <t>LUQUE RAMIREZ,GARY LUZ</t>
  </si>
  <si>
    <t>000033</t>
  </si>
  <si>
    <t>21130890</t>
  </si>
  <si>
    <t xml:space="preserve">LUQUE VERA,URCLANIEL JANIOR </t>
  </si>
  <si>
    <t>000037</t>
  </si>
  <si>
    <t>6571879</t>
  </si>
  <si>
    <t>MONTALVO HUAMANI,FORTUNATO   YGNACIO</t>
  </si>
  <si>
    <t>000038</t>
  </si>
  <si>
    <t>6585795</t>
  </si>
  <si>
    <t xml:space="preserve">MONTALVO HUAMANI,NELLY PAULA </t>
  </si>
  <si>
    <t>000620</t>
  </si>
  <si>
    <t>2001885</t>
  </si>
  <si>
    <t>MONTALVO NEIRA MARTINA DEFILIA</t>
  </si>
  <si>
    <t>000040</t>
  </si>
  <si>
    <t>20102672</t>
  </si>
  <si>
    <t xml:space="preserve">MONTALVO TORRES,MANUELA </t>
  </si>
  <si>
    <t>000043</t>
  </si>
  <si>
    <t>6578514</t>
  </si>
  <si>
    <t>NEIRA DE ROMERO,EDUARDA FERNANDINA</t>
  </si>
  <si>
    <t>000044</t>
  </si>
  <si>
    <t>200039368</t>
  </si>
  <si>
    <t xml:space="preserve">NEYRA DE USCAMAYTA,NOLASCA JULIA </t>
  </si>
  <si>
    <t>000045</t>
  </si>
  <si>
    <t>200031260</t>
  </si>
  <si>
    <t>NEYRA GUTIERREZ,ENRIQUE REY</t>
  </si>
  <si>
    <t>000595</t>
  </si>
  <si>
    <t>19003886</t>
  </si>
  <si>
    <t>NEYRA HUAMANI, BETTY PETRONILA</t>
  </si>
  <si>
    <t>000049</t>
  </si>
  <si>
    <t>6591593</t>
  </si>
  <si>
    <t xml:space="preserve">RAMIREZ HUAMANI,MARIA LETICIA </t>
  </si>
  <si>
    <t>000051</t>
  </si>
  <si>
    <t>6659885</t>
  </si>
  <si>
    <t xml:space="preserve">TORRES LOPEZ,JULIANA </t>
  </si>
  <si>
    <t>000052</t>
  </si>
  <si>
    <t>6580285</t>
  </si>
  <si>
    <t>USCAMAYTA NEYRA,MIJAIL GUSMAN</t>
  </si>
  <si>
    <t>000054</t>
  </si>
  <si>
    <t>6591590</t>
  </si>
  <si>
    <t xml:space="preserve">VERA REVILLA ,FIDELISA </t>
  </si>
  <si>
    <t>000308</t>
  </si>
  <si>
    <t>60062454</t>
  </si>
  <si>
    <t>ALFARO TORREZ, TATIANA PAOLA</t>
  </si>
  <si>
    <t>pasaje VIRGEN DE LAS NIEVES</t>
  </si>
  <si>
    <t>000549</t>
  </si>
  <si>
    <t>18052517</t>
  </si>
  <si>
    <t>CALLE CUYO CUYO</t>
  </si>
  <si>
    <t>000274</t>
  </si>
  <si>
    <t>09174</t>
  </si>
  <si>
    <t>ALVAREZ  VERA LELIS SOLNA</t>
  </si>
  <si>
    <t>PASAJE EL OLVIDO S/N</t>
  </si>
  <si>
    <t>000746</t>
  </si>
  <si>
    <t>23022187</t>
  </si>
  <si>
    <t>ANGULO ESCOBAR, JEISVER ANTONIO</t>
  </si>
  <si>
    <t>CALLE EL OLVIDO S/N</t>
  </si>
  <si>
    <t>000276</t>
  </si>
  <si>
    <t>60062119</t>
  </si>
  <si>
    <t>ANTACHOQUE ESCOBAR ,AMELIA</t>
  </si>
  <si>
    <t>CALLE 28 DE JULIO</t>
  </si>
  <si>
    <t>000277</t>
  </si>
  <si>
    <t>ANTACHOQUE MANCILLA JUANA</t>
  </si>
  <si>
    <t>000275</t>
  </si>
  <si>
    <t>6590170</t>
  </si>
  <si>
    <t>ANTACHOQUE MANCILLA,ANTONIO MARCELINO</t>
  </si>
  <si>
    <t>CALLE VIRGEN DEL CARMEN S/N</t>
  </si>
  <si>
    <t>CALLE CUYO CUYO S/N</t>
  </si>
  <si>
    <t>000281</t>
  </si>
  <si>
    <t>6577450</t>
  </si>
  <si>
    <t>ARUTAYPE HUAMANI ,MELITON</t>
  </si>
  <si>
    <t>000283</t>
  </si>
  <si>
    <t>6562501</t>
  </si>
  <si>
    <t>AYMARA ALFARO ,FROILAN ANDRES</t>
  </si>
  <si>
    <t>000546</t>
  </si>
  <si>
    <t>60062456</t>
  </si>
  <si>
    <t>PASAJE SAN ISIDRO</t>
  </si>
  <si>
    <t>000389</t>
  </si>
  <si>
    <t>21000862</t>
  </si>
  <si>
    <t>AYMARA ALFARO YENY VITALIA</t>
  </si>
  <si>
    <t>CALLE  JUAN USCAMAYTA S/N</t>
  </si>
  <si>
    <t>000284</t>
  </si>
  <si>
    <t>6573777</t>
  </si>
  <si>
    <t>AYMARA HUAMANI DE HUAMANI ,CASIMIRA ADRIANA</t>
  </si>
  <si>
    <t>000583</t>
  </si>
  <si>
    <t>19002267</t>
  </si>
  <si>
    <t>AYMARA HUAMANI DE HUAMANI, VIVIANA ESTEFA</t>
  </si>
  <si>
    <t>000285</t>
  </si>
  <si>
    <t>6580027</t>
  </si>
  <si>
    <t>AYMARA LOPEZ ,JUAN CANCIO</t>
  </si>
  <si>
    <t>000337</t>
  </si>
  <si>
    <t>60062061</t>
  </si>
  <si>
    <t>CACSIRE VERA CRISTINA MARILU</t>
  </si>
  <si>
    <t>000287</t>
  </si>
  <si>
    <t>60061416</t>
  </si>
  <si>
    <t>CARPIO ARROYO ,BERTILDA</t>
  </si>
  <si>
    <t>000288</t>
  </si>
  <si>
    <t>6580018</t>
  </si>
  <si>
    <t>CARPIO HUAMANI ,AMELIO RUFINO</t>
  </si>
  <si>
    <t>000289</t>
  </si>
  <si>
    <t>6558317</t>
  </si>
  <si>
    <t>CARPIO NAVINTA ,HECTOR SIMON</t>
  </si>
  <si>
    <t>000292</t>
  </si>
  <si>
    <t>6558343</t>
  </si>
  <si>
    <t>CASQUINO MANSILLA ,MARIANO ASUNTO</t>
  </si>
  <si>
    <t>000643</t>
  </si>
  <si>
    <t>2001882</t>
  </si>
  <si>
    <t>000296</t>
  </si>
  <si>
    <t>6562563</t>
  </si>
  <si>
    <t>CASTRO HUAMANI ,MARISOL</t>
  </si>
  <si>
    <t>000358</t>
  </si>
  <si>
    <t>6577484</t>
  </si>
  <si>
    <t>CASTRO HUAMANI,MIGUEL</t>
  </si>
  <si>
    <t>000297</t>
  </si>
  <si>
    <t>6558319</t>
  </si>
  <si>
    <t>CASTRO LOPEZ ,VICTORIA</t>
  </si>
  <si>
    <t>000298</t>
  </si>
  <si>
    <t>6577456</t>
  </si>
  <si>
    <t>CASTRO USCAMAITA ,ELIANA</t>
  </si>
  <si>
    <t>000351</t>
  </si>
  <si>
    <t>6581489</t>
  </si>
  <si>
    <t>CHALCO ,LORENZA GLORIA</t>
  </si>
  <si>
    <t>000301</t>
  </si>
  <si>
    <t>6562439</t>
  </si>
  <si>
    <t>CHALCO ESCOBAR ,CALIXTO EUGENIO</t>
  </si>
  <si>
    <t>000381</t>
  </si>
  <si>
    <t>60062527</t>
  </si>
  <si>
    <t>CHALCO ESCOBAR ANGELITA CONSTANZA</t>
  </si>
  <si>
    <t>000302</t>
  </si>
  <si>
    <t>24028559</t>
  </si>
  <si>
    <t>CHALCO GONZALES ,FILOMENA GRIMANESA</t>
  </si>
  <si>
    <t>000303</t>
  </si>
  <si>
    <t>6579986</t>
  </si>
  <si>
    <t>CHALCO GONZALES ,JUAN GELBER</t>
  </si>
  <si>
    <t>000343</t>
  </si>
  <si>
    <t>200031243</t>
  </si>
  <si>
    <t>CHALCO MONTALVO JUDITH IRAYDA</t>
  </si>
  <si>
    <t>000305</t>
  </si>
  <si>
    <t>6577360</t>
  </si>
  <si>
    <t>CHALCO TORRES ,JUANA</t>
  </si>
  <si>
    <t>000307</t>
  </si>
  <si>
    <t>6581490</t>
  </si>
  <si>
    <t>CHAUCAYANQUI ALVAREZ ,EMILIANA SIMONA</t>
  </si>
  <si>
    <t>000542</t>
  </si>
  <si>
    <t>60062524</t>
  </si>
  <si>
    <t>CHAUCAYANQUI ALVAREZ ,LUIS REY</t>
  </si>
  <si>
    <t>Calle. LOS ESTUDIANTES S/N</t>
  </si>
  <si>
    <t>000309</t>
  </si>
  <si>
    <t>6588704</t>
  </si>
  <si>
    <t>CHAUCAYANQUI HUAMANI ,PEDRO FRANCISCO</t>
  </si>
  <si>
    <t>000465</t>
  </si>
  <si>
    <t>6581493</t>
  </si>
  <si>
    <t>CHAVEZ ANTACHOQUE LUSBETH VERONICA</t>
  </si>
  <si>
    <t>000312</t>
  </si>
  <si>
    <t>60061417</t>
  </si>
  <si>
    <t>CHAVEZ DE TORRES ,JESUSA</t>
  </si>
  <si>
    <t>000313</t>
  </si>
  <si>
    <t>6581499</t>
  </si>
  <si>
    <t>CHAVEZ HUAMANI ,WALTER SEGUNDO</t>
  </si>
  <si>
    <t>PASAJE LOS NARANJOS S/N</t>
  </si>
  <si>
    <t>000688</t>
  </si>
  <si>
    <t>220014923</t>
  </si>
  <si>
    <t>CHAVEZ MONTES JAIME JULIAN</t>
  </si>
  <si>
    <t>000316</t>
  </si>
  <si>
    <t>60062520</t>
  </si>
  <si>
    <t>CHAVEZ USCAMAYTA ,JACINTO</t>
  </si>
  <si>
    <t>000572</t>
  </si>
  <si>
    <t>9092649</t>
  </si>
  <si>
    <t>CHAVEZ USCAMAYTA EUGENIO</t>
  </si>
  <si>
    <t>000318</t>
  </si>
  <si>
    <t>200039362</t>
  </si>
  <si>
    <t>CHUQUIANQUI SILLOCA ,JUAN</t>
  </si>
  <si>
    <t>000698</t>
  </si>
  <si>
    <t>200005315</t>
  </si>
  <si>
    <t>CHUQUIYANQUI ALFARO MALU</t>
  </si>
  <si>
    <t>000319</t>
  </si>
  <si>
    <t>240000354</t>
  </si>
  <si>
    <t>CHUQUIYANQUI DURAN ,CARMEN AURELIA</t>
  </si>
  <si>
    <t>000323</t>
  </si>
  <si>
    <t>60061366</t>
  </si>
  <si>
    <t>CHUQUIYANQUI DURAN ,PAULINA JUSTINA</t>
  </si>
  <si>
    <t>000325</t>
  </si>
  <si>
    <t>6577459</t>
  </si>
  <si>
    <t>COA CHAVEZ ,AGRIPINA</t>
  </si>
  <si>
    <t>000326</t>
  </si>
  <si>
    <t>6588312</t>
  </si>
  <si>
    <t>COA CHAVEZ ,AGUSTIN</t>
  </si>
  <si>
    <t>000608</t>
  </si>
  <si>
    <t>2003602</t>
  </si>
  <si>
    <t>COMEDOR BIENESTAR SOCIAL</t>
  </si>
  <si>
    <t>000329</t>
  </si>
  <si>
    <t>6577413</t>
  </si>
  <si>
    <t>COMEDOR SAN JOSE</t>
  </si>
  <si>
    <t>000331</t>
  </si>
  <si>
    <t>6590271</t>
  </si>
  <si>
    <t>CONDORI CHUQUIYANQUI ,MENILDA</t>
  </si>
  <si>
    <t>000334</t>
  </si>
  <si>
    <t>60062455</t>
  </si>
  <si>
    <t>CORIMANYA HUAMANI ,MAGNOLIA AMELIA</t>
  </si>
  <si>
    <t>000336</t>
  </si>
  <si>
    <t>6588717</t>
  </si>
  <si>
    <t>CORIPUNA HUACHANI ,ALEJANDRO</t>
  </si>
  <si>
    <t>000338</t>
  </si>
  <si>
    <t>60062484</t>
  </si>
  <si>
    <t>CRUZ ANTACHOQUE ,WALTER FELIX</t>
  </si>
  <si>
    <t>000341</t>
  </si>
  <si>
    <t>6562305</t>
  </si>
  <si>
    <t>CRUZ NEYRA ,YENCY ELIDA</t>
  </si>
  <si>
    <t>000342</t>
  </si>
  <si>
    <t>60062022</t>
  </si>
  <si>
    <t>CRUZ QUISPE ,MIRTHA</t>
  </si>
  <si>
    <t>000346</t>
  </si>
  <si>
    <t>60062020</t>
  </si>
  <si>
    <t>ESCOBAR ANTACHOQUE MARGARITA CRISTINA</t>
  </si>
  <si>
    <t>000347</t>
  </si>
  <si>
    <t>60062084</t>
  </si>
  <si>
    <t>ESCOBAR CORIMANYA ,MELINA LEONARDA</t>
  </si>
  <si>
    <t>000348</t>
  </si>
  <si>
    <t>60062458</t>
  </si>
  <si>
    <t>000349</t>
  </si>
  <si>
    <t>6562546</t>
  </si>
  <si>
    <t>ESCOBAR TORRES ,AGUSTINA PILAR</t>
  </si>
  <si>
    <t>000352</t>
  </si>
  <si>
    <t>6577458</t>
  </si>
  <si>
    <t>GONSALES PALOMINO ,ADOLFO PEDRO</t>
  </si>
  <si>
    <t>000355</t>
  </si>
  <si>
    <t>9090510</t>
  </si>
  <si>
    <t>GUTIERREZ CHALCO ,LUIS ANTONIO</t>
  </si>
  <si>
    <t>000359</t>
  </si>
  <si>
    <t>23013265</t>
  </si>
  <si>
    <t>HUAMANI ,LUZ HAYDEE</t>
  </si>
  <si>
    <t>000361</t>
  </si>
  <si>
    <t>6590967</t>
  </si>
  <si>
    <t>HUAMANI ALVARES ,REY SEBASTIAN</t>
  </si>
  <si>
    <t>000653</t>
  </si>
  <si>
    <t>200005305</t>
  </si>
  <si>
    <t>HUAMANI ARUTAYPE ANATOLIA LILIA</t>
  </si>
  <si>
    <t>000365</t>
  </si>
  <si>
    <t>6562484</t>
  </si>
  <si>
    <t>HUAMANI CHALCO ,MAXIMA CARO</t>
  </si>
  <si>
    <t>000366</t>
  </si>
  <si>
    <t>6590517</t>
  </si>
  <si>
    <t>HUAMANI CHALCO ,MAXIMO</t>
  </si>
  <si>
    <t>000367</t>
  </si>
  <si>
    <t>60062470</t>
  </si>
  <si>
    <t>HUAMANI CHALCO DE VALERIO ,CATALINA LOLA</t>
  </si>
  <si>
    <t>000699</t>
  </si>
  <si>
    <t>200031252</t>
  </si>
  <si>
    <t>HUAMANI CHUQUIYANQUI VITALIA</t>
  </si>
  <si>
    <t>000369</t>
  </si>
  <si>
    <t>6580003</t>
  </si>
  <si>
    <t>HUAMANI CORIMANYA ,GEORGINA DEMETRIA</t>
  </si>
  <si>
    <t>000371</t>
  </si>
  <si>
    <t>6562328</t>
  </si>
  <si>
    <t>HUAMANI CORIMANYA ,RAFO AQUILES</t>
  </si>
  <si>
    <t>000372</t>
  </si>
  <si>
    <t>60062019</t>
  </si>
  <si>
    <t>HUAMANI CORIMANYA ,VICTORIA</t>
  </si>
  <si>
    <t>000394</t>
  </si>
  <si>
    <t>6588684</t>
  </si>
  <si>
    <t>HUAMANI DE HUAMANI LEONOR PASTORA</t>
  </si>
  <si>
    <t>000605</t>
  </si>
  <si>
    <t>190005360</t>
  </si>
  <si>
    <t xml:space="preserve">HUAMANI ESCOBAR AYNETH </t>
  </si>
  <si>
    <t>000624</t>
  </si>
  <si>
    <t>20102277</t>
  </si>
  <si>
    <t>HUAMANI GUTIERRERZ ESTELA RUFINA</t>
  </si>
  <si>
    <t>000373</t>
  </si>
  <si>
    <t>6590520</t>
  </si>
  <si>
    <t>HUAMANI GUTIERREZ ,GREGORIA PRIMITIVA</t>
  </si>
  <si>
    <t>000374</t>
  </si>
  <si>
    <t>6590267</t>
  </si>
  <si>
    <t>HUAMANI GUTIERREZ ,TEODORO FRANCISCO</t>
  </si>
  <si>
    <t>000495</t>
  </si>
  <si>
    <t>60062053</t>
  </si>
  <si>
    <t>HUAMANI HUAMANI ,ADAN ERMILIO</t>
  </si>
  <si>
    <t>000376</t>
  </si>
  <si>
    <t>6577380</t>
  </si>
  <si>
    <t>HUAMANI HUAMANI ,ALEJANDRA NELLY</t>
  </si>
  <si>
    <t>000377</t>
  </si>
  <si>
    <t>HUAMANI HUAMANI ,LUISA LUCINA</t>
  </si>
  <si>
    <t>000379</t>
  </si>
  <si>
    <t>6562548</t>
  </si>
  <si>
    <t>HUAMANI NAVINTA ,SANTOS JULIAN</t>
  </si>
  <si>
    <t>000380</t>
  </si>
  <si>
    <t>60062054</t>
  </si>
  <si>
    <t>HUAMANI NEIRA ,EUSEBIA GLORIA</t>
  </si>
  <si>
    <t>000384</t>
  </si>
  <si>
    <t>60062521</t>
  </si>
  <si>
    <t>HUAMANI RAMIREZ ,MARIO VIDAL</t>
  </si>
  <si>
    <t>000385</t>
  </si>
  <si>
    <t>6573788</t>
  </si>
  <si>
    <t>HUAMANI RAMIREZ ,SANDRO</t>
  </si>
  <si>
    <t>000382</t>
  </si>
  <si>
    <t>6574473</t>
  </si>
  <si>
    <t>HUAMANI TERRAZAS ENRRIQUETA</t>
  </si>
  <si>
    <t>000386</t>
  </si>
  <si>
    <t>220014930</t>
  </si>
  <si>
    <t>HUAMANI TORRES ,GUADALUPE</t>
  </si>
  <si>
    <t>000391</t>
  </si>
  <si>
    <t>6577452</t>
  </si>
  <si>
    <t>HUAMANI USCAMAITA ,JUAN ROSA</t>
  </si>
  <si>
    <t>000395</t>
  </si>
  <si>
    <t>6581102</t>
  </si>
  <si>
    <t>HUAMANI VERA ,JUANA LIBIA</t>
  </si>
  <si>
    <t>000559</t>
  </si>
  <si>
    <t>10085</t>
  </si>
  <si>
    <t xml:space="preserve">HUAMANI VERA ,JUSTINA IMELDA </t>
  </si>
  <si>
    <t>CALLE EL ESTUDIANTE S/N</t>
  </si>
  <si>
    <t>000290</t>
  </si>
  <si>
    <t>6573791</t>
  </si>
  <si>
    <t>LLERENA MONTALVO DE CARPIO MAXIMILIANA</t>
  </si>
  <si>
    <t>000400</t>
  </si>
  <si>
    <t>6558366</t>
  </si>
  <si>
    <t>LLERENA USCAMAYTA ,NICOLAS SANTOS</t>
  </si>
  <si>
    <t>000668</t>
  </si>
  <si>
    <t>200002888</t>
  </si>
  <si>
    <t>LOCAL COMUNAL ISPACAS</t>
  </si>
  <si>
    <t>TERMINAL</t>
  </si>
  <si>
    <t>000402</t>
  </si>
  <si>
    <t>60062459</t>
  </si>
  <si>
    <t>LOPEZ ALLCA ,JOSEFA</t>
  </si>
  <si>
    <t>000406</t>
  </si>
  <si>
    <t>60061415</t>
  </si>
  <si>
    <t>MANCILLA ALLCA ,JESUS CEBASTIAN</t>
  </si>
  <si>
    <t>000408</t>
  </si>
  <si>
    <t>6562535</t>
  </si>
  <si>
    <t>MANCILLA HILATAIPE ,BERNARDINA LORENZA</t>
  </si>
  <si>
    <t>000410</t>
  </si>
  <si>
    <t>6590240</t>
  </si>
  <si>
    <t>MANCILLA VERA ,MARISOL</t>
  </si>
  <si>
    <t>000413</t>
  </si>
  <si>
    <t>6590766</t>
  </si>
  <si>
    <t>MENECES SANCHEZ, EVA</t>
  </si>
  <si>
    <t>000416</t>
  </si>
  <si>
    <t>60062501</t>
  </si>
  <si>
    <t>MONTALVO AYMARA ,GREGORIA NATIVIDAD</t>
  </si>
  <si>
    <t>000541</t>
  </si>
  <si>
    <t>61319095</t>
  </si>
  <si>
    <t>MONTALVO CHALCO, JHON CESAR</t>
  </si>
  <si>
    <t>Calle Lucmani</t>
  </si>
  <si>
    <t>000659</t>
  </si>
  <si>
    <t>200005303</t>
  </si>
  <si>
    <t>MONTALVO DE ESCOBAR ROSA ANITA</t>
  </si>
  <si>
    <t>000417</t>
  </si>
  <si>
    <t>60062515</t>
  </si>
  <si>
    <t>MONTALVO HUAMANI ,EFRAIN BLAS</t>
  </si>
  <si>
    <t>000418</t>
  </si>
  <si>
    <t>6581108</t>
  </si>
  <si>
    <t>000714</t>
  </si>
  <si>
    <t>220017519</t>
  </si>
  <si>
    <t>MONTALVO HUAMANI MARISA ISIDORA</t>
  </si>
  <si>
    <t>CALLE EL OLVIDO</t>
  </si>
  <si>
    <t>000293</t>
  </si>
  <si>
    <t>60061431</t>
  </si>
  <si>
    <t>000415</t>
  </si>
  <si>
    <t>6574483</t>
  </si>
  <si>
    <t>MONTALVO NEYRA, HUGO FLAVIO</t>
  </si>
  <si>
    <t>000424</t>
  </si>
  <si>
    <t>60062059</t>
  </si>
  <si>
    <t>MONTALVO TORRES ,JUAN FREDY</t>
  </si>
  <si>
    <t>000426</t>
  </si>
  <si>
    <t>19011381</t>
  </si>
  <si>
    <t>MONTALVO TORRES ,MANUELA</t>
  </si>
  <si>
    <t>000427</t>
  </si>
  <si>
    <t>60061423</t>
  </si>
  <si>
    <t>MONTALVO VERA ,YANED YULE</t>
  </si>
  <si>
    <t>000544</t>
  </si>
  <si>
    <t>09090359</t>
  </si>
  <si>
    <t>MONTALVO VERA VICTOR MIGUEL</t>
  </si>
  <si>
    <t>VIRGEN DEL CARMEN S/N</t>
  </si>
  <si>
    <t>000429</t>
  </si>
  <si>
    <t>6558314</t>
  </si>
  <si>
    <t>MORALES FLORES  ,TEODORO</t>
  </si>
  <si>
    <t>000428</t>
  </si>
  <si>
    <t>6558323</t>
  </si>
  <si>
    <t>MORALES FLORES ,TEODORO</t>
  </si>
  <si>
    <t>000571</t>
  </si>
  <si>
    <t>9093208</t>
  </si>
  <si>
    <t>CALLE  28 DE JULIO S/N</t>
  </si>
  <si>
    <t>000433</t>
  </si>
  <si>
    <t>60062469</t>
  </si>
  <si>
    <t>NAVINTA HUAMANI ,CLETA PAULA</t>
  </si>
  <si>
    <t>000435</t>
  </si>
  <si>
    <t>6577466</t>
  </si>
  <si>
    <t>NEIRA HUAMANI ,REDY</t>
  </si>
  <si>
    <t>000436</t>
  </si>
  <si>
    <t>6581229</t>
  </si>
  <si>
    <t>000440</t>
  </si>
  <si>
    <t>6577422</t>
  </si>
  <si>
    <t>NEIRA VERA ,ALEJANDRO TEODORO</t>
  </si>
  <si>
    <t>000441</t>
  </si>
  <si>
    <t>220014935</t>
  </si>
  <si>
    <t>NEYRA GUTIERREZ ,MARTIN VICTOR</t>
  </si>
  <si>
    <t>000357</t>
  </si>
  <si>
    <t>60061385</t>
  </si>
  <si>
    <t>NEYRA HUAMANI, NONATA</t>
  </si>
  <si>
    <t>000445</t>
  </si>
  <si>
    <t>6562591</t>
  </si>
  <si>
    <t xml:space="preserve">PUESTO DE SALUD ISPACAS </t>
  </si>
  <si>
    <t>000446</t>
  </si>
  <si>
    <t>60062060</t>
  </si>
  <si>
    <t>PUGA HUAHUACONDO ,FRANKLIN</t>
  </si>
  <si>
    <t>CALLE AVIACION S/N</t>
  </si>
  <si>
    <t>000447</t>
  </si>
  <si>
    <t>6580023</t>
  </si>
  <si>
    <t>QUISPE ALLCA ,CARMEN YOLANDA</t>
  </si>
  <si>
    <t>000448</t>
  </si>
  <si>
    <t>6558328</t>
  </si>
  <si>
    <t>QUISPE ALLCA ,FRANCISCA MATILDE</t>
  </si>
  <si>
    <t>000451</t>
  </si>
  <si>
    <t>6590966</t>
  </si>
  <si>
    <t>QUISPE LUQUE ,SAMUEL</t>
  </si>
  <si>
    <t>000273</t>
  </si>
  <si>
    <t>6590427</t>
  </si>
  <si>
    <t>RAMIREZ CHAUCAYANQUI VITALIA LUZ</t>
  </si>
  <si>
    <t>000454</t>
  </si>
  <si>
    <t>6577473</t>
  </si>
  <si>
    <t>RAMIREZ CONDORI ,NORBERTO JULIAN</t>
  </si>
  <si>
    <t>000457</t>
  </si>
  <si>
    <t>6588734</t>
  </si>
  <si>
    <t>RAMIREZ LANASCA ,JUAN CARLOS</t>
  </si>
  <si>
    <t>000460</t>
  </si>
  <si>
    <t>60062474</t>
  </si>
  <si>
    <t>000622</t>
  </si>
  <si>
    <t>2001876</t>
  </si>
  <si>
    <t xml:space="preserve">RAMIREZ VILCA VENILDA </t>
  </si>
  <si>
    <t>000458</t>
  </si>
  <si>
    <t>6558325</t>
  </si>
  <si>
    <t>RAMOS TORRES ,MARIO</t>
  </si>
  <si>
    <t>000463</t>
  </si>
  <si>
    <t>6590220</t>
  </si>
  <si>
    <t>ROMERO CHAUCAYANQUI ,JUSTO MARCELO</t>
  </si>
  <si>
    <t>000464</t>
  </si>
  <si>
    <t>6562246</t>
  </si>
  <si>
    <t>ROMERO MANCILLA ,YENY MARCELA</t>
  </si>
  <si>
    <t>000532</t>
  </si>
  <si>
    <t>60061391</t>
  </si>
  <si>
    <t>SANCHEZ ROSALES ,EPIFANIA</t>
  </si>
  <si>
    <t>000468</t>
  </si>
  <si>
    <t>6581319</t>
  </si>
  <si>
    <t>SANCHEZ USCAMAYTA ,ESMERALDA SOLEDAD</t>
  </si>
  <si>
    <t>000469</t>
  </si>
  <si>
    <t>60061427</t>
  </si>
  <si>
    <t>SILLOCA HUAMANI ,JUANA ESPERANZA</t>
  </si>
  <si>
    <t>000471</t>
  </si>
  <si>
    <t>60062066</t>
  </si>
  <si>
    <t>SIVINCHA MANCILLA ,JUANA</t>
  </si>
  <si>
    <t>000752</t>
  </si>
  <si>
    <t>21130887</t>
  </si>
  <si>
    <t>SUNNY ANCCO, ROLO OMAR</t>
  </si>
  <si>
    <t>QUEBRADA JARACHINE</t>
  </si>
  <si>
    <t>000638</t>
  </si>
  <si>
    <t>200002890</t>
  </si>
  <si>
    <t>TILLCA MENDOZA YANED</t>
  </si>
  <si>
    <t>000475</t>
  </si>
  <si>
    <t>6590499</t>
  </si>
  <si>
    <t>TORRES ALFARO ,DANY ALEXANDER</t>
  </si>
  <si>
    <t>000709</t>
  </si>
  <si>
    <t>200005312</t>
  </si>
  <si>
    <t>TORRES ALVAREZ YHAN HILLMAN</t>
  </si>
  <si>
    <t>000477</t>
  </si>
  <si>
    <t>60062479</t>
  </si>
  <si>
    <t>TORRES ARUTAYPE ,YULY YECENIA</t>
  </si>
  <si>
    <t>000480</t>
  </si>
  <si>
    <t>60062052</t>
  </si>
  <si>
    <t>000482</t>
  </si>
  <si>
    <t>6558316</t>
  </si>
  <si>
    <t>TORRES DE SIVINCHA LOLA PRUDENCIA</t>
  </si>
  <si>
    <t>000483</t>
  </si>
  <si>
    <t>6581237</t>
  </si>
  <si>
    <t>TORRES GONZALES GREGORIO SANTIAGO</t>
  </si>
  <si>
    <t>000486</t>
  </si>
  <si>
    <t>TORRES HUAMANI ,ERASMO</t>
  </si>
  <si>
    <t>000487</t>
  </si>
  <si>
    <t>6577369</t>
  </si>
  <si>
    <t>000282</t>
  </si>
  <si>
    <t>60062457</t>
  </si>
  <si>
    <t xml:space="preserve">TORRES LOPEZ ELVIRA </t>
  </si>
  <si>
    <t>000488</t>
  </si>
  <si>
    <t>60062080</t>
  </si>
  <si>
    <t>TORRES MONTALVO ,NEMECIO LINDON</t>
  </si>
  <si>
    <t>000491</t>
  </si>
  <si>
    <t>6579992</t>
  </si>
  <si>
    <t>TORRES NEYRA ,NIEVES</t>
  </si>
  <si>
    <t>000492</t>
  </si>
  <si>
    <t>6580029</t>
  </si>
  <si>
    <t>000515</t>
  </si>
  <si>
    <t>60062529</t>
  </si>
  <si>
    <t>TORRES USCAMAITA, LUIS FERNANDO</t>
  </si>
  <si>
    <t>000599</t>
  </si>
  <si>
    <t>19003898</t>
  </si>
  <si>
    <t>USCAMAITA CHAVEZ, OTO LUDWIN</t>
  </si>
  <si>
    <t>000499</t>
  </si>
  <si>
    <t>60062452</t>
  </si>
  <si>
    <t>USCAMAITA HUAMANI ,AMANDA SOFIA</t>
  </si>
  <si>
    <t>000505</t>
  </si>
  <si>
    <t>6577392</t>
  </si>
  <si>
    <t>USCAMAYTA ARUTAYPE ,GILNA</t>
  </si>
  <si>
    <t>000506</t>
  </si>
  <si>
    <t>60062522</t>
  </si>
  <si>
    <t>USCAMAYTA CHAVEZ ,LIBIA ROXANA</t>
  </si>
  <si>
    <t>000508</t>
  </si>
  <si>
    <t>60062489</t>
  </si>
  <si>
    <t>USCAMAYTA HUAMANI ,JESUS</t>
  </si>
  <si>
    <t>000507</t>
  </si>
  <si>
    <t>60061432</t>
  </si>
  <si>
    <t>000396</t>
  </si>
  <si>
    <t>60062451</t>
  </si>
  <si>
    <t>USCAMAYTA MONTALVO LILIAN ALEJANDRA</t>
  </si>
  <si>
    <t>000510</t>
  </si>
  <si>
    <t>60062461</t>
  </si>
  <si>
    <t>USCAMAYTA NEYRA ,HECTOR ENRIQUE</t>
  </si>
  <si>
    <t>000511</t>
  </si>
  <si>
    <t>6579996</t>
  </si>
  <si>
    <t>USCAMAYTA NEYRA ,JUDITH JUANA</t>
  </si>
  <si>
    <t>000370</t>
  </si>
  <si>
    <t>6558346</t>
  </si>
  <si>
    <t>USCAMAYTA NEYRA JUDITH JUANA</t>
  </si>
  <si>
    <t>000517</t>
  </si>
  <si>
    <t>6590164</t>
  </si>
  <si>
    <t>VERA PALOMINO ,ALEJANDRO</t>
  </si>
  <si>
    <t>000523</t>
  </si>
  <si>
    <t>6558354</t>
  </si>
  <si>
    <t>VILCA MAMANI ,DELIA</t>
  </si>
  <si>
    <t>000524</t>
  </si>
  <si>
    <t>6580013</t>
  </si>
  <si>
    <t>VILCA RAMIREZ ,CELIA IGNACIA</t>
  </si>
  <si>
    <t>000525</t>
  </si>
  <si>
    <t>6558350</t>
  </si>
  <si>
    <t>VILCA VELARDE ,GLADYS</t>
  </si>
  <si>
    <t>000526</t>
  </si>
  <si>
    <t>60062528</t>
  </si>
  <si>
    <t>ZUNIGA VILLANUEVA ,AURELIO</t>
  </si>
  <si>
    <t>000055</t>
  </si>
  <si>
    <t>6587782</t>
  </si>
  <si>
    <t>ALFARO NAVINTA,ANIBAL</t>
  </si>
  <si>
    <t>000056</t>
  </si>
  <si>
    <t>6585718</t>
  </si>
  <si>
    <t xml:space="preserve">ALFARO NEYRA,EULOGIA JULIA </t>
  </si>
  <si>
    <t>000057</t>
  </si>
  <si>
    <t>6587876</t>
  </si>
  <si>
    <t>000058</t>
  </si>
  <si>
    <t>6580442</t>
  </si>
  <si>
    <t>AYMARA ALFARO FROILAN A.</t>
  </si>
  <si>
    <t>000060</t>
  </si>
  <si>
    <t>220017574</t>
  </si>
  <si>
    <t>CHALCO GONZALES,FILOMENA GRIMANESA</t>
  </si>
  <si>
    <t>000061</t>
  </si>
  <si>
    <t>21003055</t>
  </si>
  <si>
    <t>CHALCO HUAMANI,SAIDA</t>
  </si>
  <si>
    <t>000062</t>
  </si>
  <si>
    <t>21006635</t>
  </si>
  <si>
    <t>CHALCO MONTALVO,BENJAMIN</t>
  </si>
  <si>
    <t>000064</t>
  </si>
  <si>
    <t>61319114</t>
  </si>
  <si>
    <t>CHAUCAYANQUI HUAMANI RONAL ALEXANDER</t>
  </si>
  <si>
    <t>000065</t>
  </si>
  <si>
    <t>6593437</t>
  </si>
  <si>
    <t>CHUQUIYANQUI DURAN JUAN SIMON</t>
  </si>
  <si>
    <t>000067</t>
  </si>
  <si>
    <t>6589707</t>
  </si>
  <si>
    <t>CORIMANYA CHAVEZ,SERAPIO</t>
  </si>
  <si>
    <t>000069</t>
  </si>
  <si>
    <t>6589759</t>
  </si>
  <si>
    <t>GONZALES SOLOISOLO,JUAN</t>
  </si>
  <si>
    <t>000671</t>
  </si>
  <si>
    <t>21003047</t>
  </si>
  <si>
    <t>GUTIERREZ CASTRO CLENY</t>
  </si>
  <si>
    <t>SECTOR AYNANI</t>
  </si>
  <si>
    <t>000070</t>
  </si>
  <si>
    <t>6659861</t>
  </si>
  <si>
    <t>HUAMANI CASTRO,BERTHA</t>
  </si>
  <si>
    <t>000083</t>
  </si>
  <si>
    <t>23022200</t>
  </si>
  <si>
    <t>HUAMANI CHALCO GREGORIO DELFIN</t>
  </si>
  <si>
    <t>000072</t>
  </si>
  <si>
    <t>6563990</t>
  </si>
  <si>
    <t xml:space="preserve">HUAMANI MONTALVO,ISAURO MANUEL </t>
  </si>
  <si>
    <t>000073</t>
  </si>
  <si>
    <t>23015476</t>
  </si>
  <si>
    <t xml:space="preserve">HUAMANI MONTALVO,ROSARIO RUPERTA </t>
  </si>
  <si>
    <t>000075</t>
  </si>
  <si>
    <t>6563957</t>
  </si>
  <si>
    <t>000076</t>
  </si>
  <si>
    <t>6563973</t>
  </si>
  <si>
    <t>000080</t>
  </si>
  <si>
    <t>6582208</t>
  </si>
  <si>
    <t>MONTALVO TORRES,JUAN FREDY</t>
  </si>
  <si>
    <t>000082</t>
  </si>
  <si>
    <t>101737626</t>
  </si>
  <si>
    <t>RAMIREZ VERA, BERTI</t>
  </si>
  <si>
    <t>000084</t>
  </si>
  <si>
    <t>6585692</t>
  </si>
  <si>
    <t>TORRES ALFARO,MAYCOL</t>
  </si>
  <si>
    <t>000085</t>
  </si>
  <si>
    <t>6588057</t>
  </si>
  <si>
    <t>TORRES CHALCO,CRISTINA</t>
  </si>
  <si>
    <t>000088</t>
  </si>
  <si>
    <t>6660618</t>
  </si>
  <si>
    <t>USCAMAYTA HUAMANI,JUAN PEDRO</t>
  </si>
  <si>
    <t>000656</t>
  </si>
  <si>
    <t>21006534</t>
  </si>
  <si>
    <t>ALFARO ESCOBAR EDWIN YHON</t>
  </si>
  <si>
    <t>000089</t>
  </si>
  <si>
    <t>6579582</t>
  </si>
  <si>
    <t>ALFARO LUQUE ,MARIA</t>
  </si>
  <si>
    <t>SECTOR PACHAYZA - SANTA ROSA</t>
  </si>
  <si>
    <t>000723</t>
  </si>
  <si>
    <t>220017571</t>
  </si>
  <si>
    <t>ALVAREZ RAMIREZ, KEVIN JHASMANY</t>
  </si>
  <si>
    <t>SECTOR PACHAYZA - HUERTA</t>
  </si>
  <si>
    <t>000090</t>
  </si>
  <si>
    <t>9091695</t>
  </si>
  <si>
    <t>ANGULO CHAUCAYANQUI, EUCLIDES ANTONIO</t>
  </si>
  <si>
    <t>PACHAYZA - TARAPATA</t>
  </si>
  <si>
    <t>000689</t>
  </si>
  <si>
    <t>23013264</t>
  </si>
  <si>
    <t>SECTOR HUAYCHA</t>
  </si>
  <si>
    <t>000096</t>
  </si>
  <si>
    <t>6586804</t>
  </si>
  <si>
    <t>AROTAYPE DE MOTA ,JUANA IRENE</t>
  </si>
  <si>
    <t>TARAPATA S/N</t>
  </si>
  <si>
    <t>000099</t>
  </si>
  <si>
    <t>6579722</t>
  </si>
  <si>
    <t>CARPIO LAZARO ,NANCY CELSA</t>
  </si>
  <si>
    <t>SECTOR PACHAYZA - HUAYCHA</t>
  </si>
  <si>
    <t>000600</t>
  </si>
  <si>
    <t>190005359</t>
  </si>
  <si>
    <t xml:space="preserve">CASTRO CORIMANYA WALTER </t>
  </si>
  <si>
    <t>PACHAYZA - ALTA</t>
  </si>
  <si>
    <t>000100</t>
  </si>
  <si>
    <t>6593655</t>
  </si>
  <si>
    <t>CASTRO CORIMANYA, LUIS JORGE</t>
  </si>
  <si>
    <t>SECTOR PACHAYZA - PAMPA</t>
  </si>
  <si>
    <t>000101</t>
  </si>
  <si>
    <t>6564131</t>
  </si>
  <si>
    <t>CASTRO CORIMANYA,ANDREA</t>
  </si>
  <si>
    <t>SECTOR PACHAYZA - TARAPATA</t>
  </si>
  <si>
    <t>000103</t>
  </si>
  <si>
    <t>6584505</t>
  </si>
  <si>
    <t>CASTRO DE BEDOYA, GUILLERMINA</t>
  </si>
  <si>
    <t>000661</t>
  </si>
  <si>
    <t>200005308</t>
  </si>
  <si>
    <t>CAYLLAHUE JIMENEZ SILVERIO</t>
  </si>
  <si>
    <t>SECTOR PACHAYZA -PARTE ALTA</t>
  </si>
  <si>
    <t>000677</t>
  </si>
  <si>
    <t>220014921</t>
  </si>
  <si>
    <t>CHALCO CHAVEZ MICAELA SARITA</t>
  </si>
  <si>
    <t>PACHAYZA - SANTA ROSA</t>
  </si>
  <si>
    <t>000687</t>
  </si>
  <si>
    <t>200031249</t>
  </si>
  <si>
    <t>CHALCO CHAVEZ SILVIA FLOR</t>
  </si>
  <si>
    <t>000676</t>
  </si>
  <si>
    <t>21006530</t>
  </si>
  <si>
    <t>CHALCO CHUQUIYANQUI ADALI</t>
  </si>
  <si>
    <t>000727</t>
  </si>
  <si>
    <t>23020339</t>
  </si>
  <si>
    <t>CHALCO CORIMANYA, RICARDO JOSE</t>
  </si>
  <si>
    <t>SECTOR PAMPA</t>
  </si>
  <si>
    <t>000613</t>
  </si>
  <si>
    <t>20102270</t>
  </si>
  <si>
    <t>000109</t>
  </si>
  <si>
    <t>6579630</t>
  </si>
  <si>
    <t>CHALCO VERA ,MIGUEL ANGEL</t>
  </si>
  <si>
    <t>000110</t>
  </si>
  <si>
    <t>6584659</t>
  </si>
  <si>
    <t>CHAUCAYANQUI  URDAY ,JAIME PEDRO</t>
  </si>
  <si>
    <t>000575</t>
  </si>
  <si>
    <t>09091780</t>
  </si>
  <si>
    <t>CHAUCAYANQUI GUTIERREZ, JUAN PERCY</t>
  </si>
  <si>
    <t>TARAPATA</t>
  </si>
  <si>
    <t>000091</t>
  </si>
  <si>
    <t>6564016</t>
  </si>
  <si>
    <t>CHAUCAYANQUI HUAMANI ,NATIVIDAD</t>
  </si>
  <si>
    <t>SECTOR PACHAYZA - HUAYCHA+E9</t>
  </si>
  <si>
    <t>000616</t>
  </si>
  <si>
    <t>20102272</t>
  </si>
  <si>
    <t>CHAUCAYANQUI TORRES RUFO NINFO</t>
  </si>
  <si>
    <t>000731</t>
  </si>
  <si>
    <t>23022742</t>
  </si>
  <si>
    <t>CHAUCAYANQUI URDAY, COINTA</t>
  </si>
  <si>
    <t>CL LAS LOMAS S/N</t>
  </si>
  <si>
    <t>000114</t>
  </si>
  <si>
    <t>23022773</t>
  </si>
  <si>
    <t>CHAUCAYANQUI URDAY, FABIOLA MARIA</t>
  </si>
  <si>
    <t>000742</t>
  </si>
  <si>
    <t>23022189</t>
  </si>
  <si>
    <t>CHAUCAYANQUI URDAY, ISABEL HILDA</t>
  </si>
  <si>
    <t>CALLE LAS LOMAS S/N</t>
  </si>
  <si>
    <t>000113</t>
  </si>
  <si>
    <t>22117079</t>
  </si>
  <si>
    <t>CHAUCAYANQUI URDAY,CARMEN JULIA</t>
  </si>
  <si>
    <t>000663</t>
  </si>
  <si>
    <t>200005306</t>
  </si>
  <si>
    <t>CHAVEZ ALLCA OLIVA CLORENTINA</t>
  </si>
  <si>
    <t>000119</t>
  </si>
  <si>
    <t>6590874</t>
  </si>
  <si>
    <t>CHUQUIANQUI LUQUE ,FROILAN</t>
  </si>
  <si>
    <t>000123</t>
  </si>
  <si>
    <t>6579489</t>
  </si>
  <si>
    <t>CHUQUIYANQUI LUQUE HERNAN</t>
  </si>
  <si>
    <t>SECTOR PACHAYZA -  PARTE ALTA</t>
  </si>
  <si>
    <t>000646</t>
  </si>
  <si>
    <t>2003603</t>
  </si>
  <si>
    <t>CHUQUIYANQUI LUQUE OLGA FRANCISCA</t>
  </si>
  <si>
    <t>000124</t>
  </si>
  <si>
    <t>6588869</t>
  </si>
  <si>
    <t>CHUQUIYANQUI LUQUE,FELIX JUAN</t>
  </si>
  <si>
    <t>000722</t>
  </si>
  <si>
    <t>220017503</t>
  </si>
  <si>
    <t>CHUQUIYANQUI TORRES DISELA FLOR</t>
  </si>
  <si>
    <t>AHUINTA-PACHAYZA</t>
  </si>
  <si>
    <t>000125</t>
  </si>
  <si>
    <t>6585990</t>
  </si>
  <si>
    <t>CHUQUIYANQUI URDAY ,LUIS ALBERTO</t>
  </si>
  <si>
    <t>000126</t>
  </si>
  <si>
    <t>09091923</t>
  </si>
  <si>
    <t>CHUQUIYANQUI URDAY, RUTH PRUDENCIA</t>
  </si>
  <si>
    <t>000127</t>
  </si>
  <si>
    <t>21132922</t>
  </si>
  <si>
    <t>COA TORRES BACELIDES</t>
  </si>
  <si>
    <t>000117</t>
  </si>
  <si>
    <t>220017566</t>
  </si>
  <si>
    <t>CORIMANYA CHAVEZ, LEYDI FLOR</t>
  </si>
  <si>
    <t>000132</t>
  </si>
  <si>
    <t>6586605</t>
  </si>
  <si>
    <t>CORIMANYA HUAMANI ,ESTELA CATALINA</t>
  </si>
  <si>
    <t>SECTOR PACHAYZA - PUCRO</t>
  </si>
  <si>
    <t>000133</t>
  </si>
  <si>
    <t>6584533</t>
  </si>
  <si>
    <t>CORIMANYA HUAMANI ,JUAN</t>
  </si>
  <si>
    <t>000647</t>
  </si>
  <si>
    <t>200011837</t>
  </si>
  <si>
    <t>000130</t>
  </si>
  <si>
    <t>6659703</t>
  </si>
  <si>
    <t xml:space="preserve">CORIMANYA HUAMANI ELOY LEOPOLDO </t>
  </si>
  <si>
    <t>000135</t>
  </si>
  <si>
    <t>6584865</t>
  </si>
  <si>
    <t>CORIMANYA HUAMANI, FELIPE</t>
  </si>
  <si>
    <t>000137</t>
  </si>
  <si>
    <t>200031242</t>
  </si>
  <si>
    <t>CORIMANYA MANCILLA, YOVANA CHARO</t>
  </si>
  <si>
    <t>000697</t>
  </si>
  <si>
    <t>220017509</t>
  </si>
  <si>
    <t xml:space="preserve">CORIMANYA YGNACIO, YASSER RENE </t>
  </si>
  <si>
    <t>PACHAYZA-PARTE ALTA</t>
  </si>
  <si>
    <t>000619</t>
  </si>
  <si>
    <t>2001874</t>
  </si>
  <si>
    <t>CRUZ CASTRO JAVIER LUIS</t>
  </si>
  <si>
    <t>PACHAYZA-TARAPATA</t>
  </si>
  <si>
    <t>PACHAYZA-PARTE BAJA-PAMPA</t>
  </si>
  <si>
    <t>000142</t>
  </si>
  <si>
    <t>6584494</t>
  </si>
  <si>
    <t>ESCOBAR VERA,AGRIPINA PAULA</t>
  </si>
  <si>
    <t>000143</t>
  </si>
  <si>
    <t>6579477</t>
  </si>
  <si>
    <t>GONZALES PALOMINO ,ADOLFO PEDRO</t>
  </si>
  <si>
    <t>000573</t>
  </si>
  <si>
    <t>9090587</t>
  </si>
  <si>
    <t>GUTIERREZ CHALCO LUPE ALEJA</t>
  </si>
  <si>
    <t>PACHAYZA -PARTE BAJA</t>
  </si>
  <si>
    <t>000147</t>
  </si>
  <si>
    <t>6590673</t>
  </si>
  <si>
    <t>GUTIERREZ TORRES ,GREGORIA</t>
  </si>
  <si>
    <t>000146</t>
  </si>
  <si>
    <t>6586757</t>
  </si>
  <si>
    <t>GUTIERREZ TORRES,NATALIO ELIAS</t>
  </si>
  <si>
    <t>SECTOR PACHAYZA - CANTOGRANDE</t>
  </si>
  <si>
    <t>000150</t>
  </si>
  <si>
    <t>6587906</t>
  </si>
  <si>
    <t>HUAMANI CORIMANYA, DEMETRIA GEORGINA</t>
  </si>
  <si>
    <t>000151</t>
  </si>
  <si>
    <t>6585733</t>
  </si>
  <si>
    <t>HUAMANI CORIMANYA, RAFO AQUILES</t>
  </si>
  <si>
    <t>000614</t>
  </si>
  <si>
    <t>20102211</t>
  </si>
  <si>
    <t>HUAMANI DE MONTALVO EMILIANA</t>
  </si>
  <si>
    <t>000158</t>
  </si>
  <si>
    <t>6587705</t>
  </si>
  <si>
    <t>HUAMANI LUQUE, PEDRO</t>
  </si>
  <si>
    <t>SECTOR PACHAYZA -SANTA ROSA</t>
  </si>
  <si>
    <t>000159</t>
  </si>
  <si>
    <t>6587763</t>
  </si>
  <si>
    <t>HUAMANI NAVINTA, VICENTINA</t>
  </si>
  <si>
    <t>000560</t>
  </si>
  <si>
    <t>9092373</t>
  </si>
  <si>
    <t>PACHAYZA- PARTE BAJA</t>
  </si>
  <si>
    <t>000730</t>
  </si>
  <si>
    <t>23022769</t>
  </si>
  <si>
    <t>HUAMANI RAMIREZ, HEYNER SANDRO</t>
  </si>
  <si>
    <t>000161</t>
  </si>
  <si>
    <t>HUAMANI URDAY , VLADIMIRO</t>
  </si>
  <si>
    <t>000120</t>
  </si>
  <si>
    <t>23022180</t>
  </si>
  <si>
    <t>HUAMANI USCAMAYTA, FROILAN</t>
  </si>
  <si>
    <t>000167</t>
  </si>
  <si>
    <t>6585644</t>
  </si>
  <si>
    <t>HUAMANI VERA, LEONEL</t>
  </si>
  <si>
    <t>SECTOR PACHAYZA  - PARTE BAJA</t>
  </si>
  <si>
    <t>000168</t>
  </si>
  <si>
    <t>6585742</t>
  </si>
  <si>
    <t>HUAMANI YLATAIPE ,WILSON CHARLES</t>
  </si>
  <si>
    <t>000169</t>
  </si>
  <si>
    <t>6659518</t>
  </si>
  <si>
    <t>HUASHUAYO CARPIO , SANTIAGO MILAR</t>
  </si>
  <si>
    <t>SECTOR PACHAYZA</t>
  </si>
  <si>
    <t>000594</t>
  </si>
  <si>
    <t>6593539</t>
  </si>
  <si>
    <t>HUAYTA RAMOS, ANGEL FORTUNATO</t>
  </si>
  <si>
    <t>000174</t>
  </si>
  <si>
    <t>23022179</t>
  </si>
  <si>
    <t>LAZARO USCAMAYTA CIRO</t>
  </si>
  <si>
    <t>000175</t>
  </si>
  <si>
    <t>6564300</t>
  </si>
  <si>
    <t>LAZARO USCAMAYTA, NATIVIDAD</t>
  </si>
  <si>
    <t>000584</t>
  </si>
  <si>
    <t>09091150</t>
  </si>
  <si>
    <t>LOPEZ RAMIREZ, FRANCISCA CRISTINA</t>
  </si>
  <si>
    <t>000662</t>
  </si>
  <si>
    <t>200005304</t>
  </si>
  <si>
    <t>LUQUE ALLCA CESAR SEBASTIAN</t>
  </si>
  <si>
    <t>000176</t>
  </si>
  <si>
    <t>6593725</t>
  </si>
  <si>
    <t>LUQUE HUAMANI , MARIA JUANA</t>
  </si>
  <si>
    <t>000177</t>
  </si>
  <si>
    <t>6587868</t>
  </si>
  <si>
    <t>LUQUE HUAMANI, VERONICA YESENIA</t>
  </si>
  <si>
    <t>000623</t>
  </si>
  <si>
    <t>19012701</t>
  </si>
  <si>
    <t>MAMANI APAZA ELENA</t>
  </si>
  <si>
    <t>000180</t>
  </si>
  <si>
    <t>MONTALVO ARUTAYPE,ISABEL CATALINA</t>
  </si>
  <si>
    <t>000181</t>
  </si>
  <si>
    <t>09091088</t>
  </si>
  <si>
    <t>MONTALVO DE TORRES ,JULIA ELENA</t>
  </si>
  <si>
    <t>000184</t>
  </si>
  <si>
    <t>6579659</t>
  </si>
  <si>
    <t>MONTALVO HUAMANI ,JULIAN TEODORO</t>
  </si>
  <si>
    <t>000195</t>
  </si>
  <si>
    <t>6593654</t>
  </si>
  <si>
    <t>MONTALVO HUAMANI ELSA DEFILIA</t>
  </si>
  <si>
    <t>000701</t>
  </si>
  <si>
    <t>220017502</t>
  </si>
  <si>
    <t>MONTALVO HUAMANI FRANCOIS</t>
  </si>
  <si>
    <t>PACHAYZA - PARTE BAJA</t>
  </si>
  <si>
    <t>000621</t>
  </si>
  <si>
    <t>20102242</t>
  </si>
  <si>
    <t>MONTALVO HUAMANI LINDON</t>
  </si>
  <si>
    <t>000152</t>
  </si>
  <si>
    <t>6579523</t>
  </si>
  <si>
    <t>MONTALVO HUAMANI LUCY MICAELA</t>
  </si>
  <si>
    <t>000186</t>
  </si>
  <si>
    <t>6593442</t>
  </si>
  <si>
    <t>MONTALVO HUAMANI PEREGRINA</t>
  </si>
  <si>
    <t>000185</t>
  </si>
  <si>
    <t>6586638</t>
  </si>
  <si>
    <t>SECTOR PACHAYZA -  PARTE BAJA</t>
  </si>
  <si>
    <t>000188</t>
  </si>
  <si>
    <t>6593434</t>
  </si>
  <si>
    <t>000189</t>
  </si>
  <si>
    <t>6564214</t>
  </si>
  <si>
    <t>MONTALVO PALOMINO ,WILIAN LADISLAU</t>
  </si>
  <si>
    <t>000598</t>
  </si>
  <si>
    <t>19014701</t>
  </si>
  <si>
    <t>MONTALVO RAMIREZ EDWIN ROSSILL</t>
  </si>
  <si>
    <t>000190</t>
  </si>
  <si>
    <t>6587891</t>
  </si>
  <si>
    <t>MONTALVO REVILLA,ESTANISLAO FLAVIO</t>
  </si>
  <si>
    <t>000193</t>
  </si>
  <si>
    <t>2001872</t>
  </si>
  <si>
    <t>MONTALVO VERA,MARY LILIANA</t>
  </si>
  <si>
    <t>000196</t>
  </si>
  <si>
    <t>9091241</t>
  </si>
  <si>
    <t>MONTES HUAMANI, CARMEN</t>
  </si>
  <si>
    <t>000197</t>
  </si>
  <si>
    <t>6585728</t>
  </si>
  <si>
    <t>MOTTA ARUTAYPE, CLAUDIO ANGEL</t>
  </si>
  <si>
    <t>000199</t>
  </si>
  <si>
    <t>101745489</t>
  </si>
  <si>
    <t>NAVINTA CORIMANYA, VICO NICOLAS</t>
  </si>
  <si>
    <t>000201</t>
  </si>
  <si>
    <t>6579655</t>
  </si>
  <si>
    <t>NEYRA DE CHAUCAYANQUI,NELY YSELA</t>
  </si>
  <si>
    <t>000153</t>
  </si>
  <si>
    <t>6585712</t>
  </si>
  <si>
    <t>NEYRA HUAMANI VICTORIA CELINA</t>
  </si>
  <si>
    <t>000202</t>
  </si>
  <si>
    <t>23022177</t>
  </si>
  <si>
    <t>NEYRA TORRES, ELIZABETH YENY</t>
  </si>
  <si>
    <t>000739</t>
  </si>
  <si>
    <t>23022174</t>
  </si>
  <si>
    <t>NEYRA TORRES, GELVER FRANKLIN</t>
  </si>
  <si>
    <t>PACHAYZA-PARTE BAJA-AHUINTA</t>
  </si>
  <si>
    <t>000093</t>
  </si>
  <si>
    <t>6579633</t>
  </si>
  <si>
    <t>PALOMINO ALVAREZ,FELICITAS CASILDA</t>
  </si>
  <si>
    <t>000207</t>
  </si>
  <si>
    <t>6584493</t>
  </si>
  <si>
    <t>PALOMINO MANSILLA ,JULIA VICTORIA</t>
  </si>
  <si>
    <t>000206</t>
  </si>
  <si>
    <t>200002882</t>
  </si>
  <si>
    <t>PALOMINO MANSILLA ,LEONCIO BERNARDINO</t>
  </si>
  <si>
    <t>000209</t>
  </si>
  <si>
    <t>6586844</t>
  </si>
  <si>
    <t>QUISPE CHAUCAYANQUI ,REYNALDO FAUSTO</t>
  </si>
  <si>
    <t>000210</t>
  </si>
  <si>
    <t>19003893</t>
  </si>
  <si>
    <t>QUISPE CHAUCAYANQUI, BERNA</t>
  </si>
  <si>
    <t>000738</t>
  </si>
  <si>
    <t>240000355</t>
  </si>
  <si>
    <t>RAMIREZ CASTRO, DEMETRIA JESUS</t>
  </si>
  <si>
    <t>000220</t>
  </si>
  <si>
    <t>6586825</t>
  </si>
  <si>
    <t>RAMIREZ CHAUCAYANQUI ZENON ROMULO</t>
  </si>
  <si>
    <t>000214</t>
  </si>
  <si>
    <t>6587936</t>
  </si>
  <si>
    <t>RAMIREZ CHAUCAYANQUI, FELIPA PEREGRINA</t>
  </si>
  <si>
    <t>000725</t>
  </si>
  <si>
    <t>220017572</t>
  </si>
  <si>
    <t>000721</t>
  </si>
  <si>
    <t>220017517</t>
  </si>
  <si>
    <t xml:space="preserve">RAMIREZ CHAUCAYANQUI, JULIAN ALBERTO </t>
  </si>
  <si>
    <t>000720</t>
  </si>
  <si>
    <t>220017512</t>
  </si>
  <si>
    <t xml:space="preserve">RAMIREZ CHAUCAYANQUI, ROSA ALEJANDRINA </t>
  </si>
  <si>
    <t>000215</t>
  </si>
  <si>
    <t>6579576</t>
  </si>
  <si>
    <t>RAMIREZ CHAUCAYANQUI, RUBEN FRANCISCO,</t>
  </si>
  <si>
    <t>000724</t>
  </si>
  <si>
    <t>220017314</t>
  </si>
  <si>
    <t>RAMIREZ CHAUCAYANQUI, ZENON ROMULO</t>
  </si>
  <si>
    <t>000106</t>
  </si>
  <si>
    <t>6586913</t>
  </si>
  <si>
    <t>RAMIREZ CHAVEZ SABINO JESUS</t>
  </si>
  <si>
    <t>000216</t>
  </si>
  <si>
    <t>21000874</t>
  </si>
  <si>
    <t>RAMIREZ CORIMANYA ,GROVER NILTON</t>
  </si>
  <si>
    <t>000213</t>
  </si>
  <si>
    <t>6587772</t>
  </si>
  <si>
    <t>RAMIREZ HUAMANI,ROSA CONSUELO</t>
  </si>
  <si>
    <t>000217</t>
  </si>
  <si>
    <t>6564219</t>
  </si>
  <si>
    <t>RAMIREZ LAZARO ,JASON JONEL</t>
  </si>
  <si>
    <t>000259</t>
  </si>
  <si>
    <t>6587730</t>
  </si>
  <si>
    <t>RAMIREZ USCAMAYTA, JAIME MAURO</t>
  </si>
  <si>
    <t>000221</t>
  </si>
  <si>
    <t>6585864</t>
  </si>
  <si>
    <t>RANILLA DE MONTALVO,BASILIA JUSTINA</t>
  </si>
  <si>
    <t>000611</t>
  </si>
  <si>
    <t>20102284</t>
  </si>
  <si>
    <t>000228</t>
  </si>
  <si>
    <t>6579494</t>
  </si>
  <si>
    <t>TORRES CHUQUIYANQUI, DONICIO ELEUTERIO</t>
  </si>
  <si>
    <t>220017514</t>
  </si>
  <si>
    <t>000230</t>
  </si>
  <si>
    <t>23022184</t>
  </si>
  <si>
    <t>TORRES HUAMANI ,CARLOS ANDRES</t>
  </si>
  <si>
    <t>000236</t>
  </si>
  <si>
    <t>135304</t>
  </si>
  <si>
    <t>TORRES MONTALVO ,SONIA YENI</t>
  </si>
  <si>
    <t>000561</t>
  </si>
  <si>
    <t>22117069</t>
  </si>
  <si>
    <t>TORRES NEYRA FLORIANA</t>
  </si>
  <si>
    <t>000237</t>
  </si>
  <si>
    <t>6564103</t>
  </si>
  <si>
    <t>TORRES QUISPE ,SANTIAGO LUCAS</t>
  </si>
  <si>
    <t>000238</t>
  </si>
  <si>
    <t>6583797</t>
  </si>
  <si>
    <t>TORRES SULLAYME , AURELIA</t>
  </si>
  <si>
    <t>000112</t>
  </si>
  <si>
    <t>23022231</t>
  </si>
  <si>
    <t>TORRES SULLAYME EDUBINA VISENTINA</t>
  </si>
  <si>
    <t>000239</t>
  </si>
  <si>
    <t>6583804</t>
  </si>
  <si>
    <t>TORRES SULLAYME, ANDRES ABELINO</t>
  </si>
  <si>
    <t>000240</t>
  </si>
  <si>
    <t>6579662</t>
  </si>
  <si>
    <t>TORRES SULLAYME, EDUBINA VISENTINA</t>
  </si>
  <si>
    <t>000633</t>
  </si>
  <si>
    <t>200039364</t>
  </si>
  <si>
    <t>TORRES VEGA NILA LIZETH</t>
  </si>
  <si>
    <t>000640</t>
  </si>
  <si>
    <t>2000002897</t>
  </si>
  <si>
    <t>TORRES VERA ELFER</t>
  </si>
  <si>
    <t>000655</t>
  </si>
  <si>
    <t>21006531</t>
  </si>
  <si>
    <t>TORRES VERA ELVIRA PAULA</t>
  </si>
  <si>
    <t>000129</t>
  </si>
  <si>
    <t>240000344</t>
  </si>
  <si>
    <t>TORRES VERA LEONARDO SALOMON</t>
  </si>
  <si>
    <t>000246</t>
  </si>
  <si>
    <t>6585536</t>
  </si>
  <si>
    <t>TORRES VERA,VICTOR GAMALIEL</t>
  </si>
  <si>
    <t>000247</t>
  </si>
  <si>
    <t>6659585</t>
  </si>
  <si>
    <t>TORRES VERA,YRMA ROSELIA</t>
  </si>
  <si>
    <t>000248</t>
  </si>
  <si>
    <t>6585751</t>
  </si>
  <si>
    <t>TORREZ USCAMAITA, JUSTINO JULIO</t>
  </si>
  <si>
    <t>000249</t>
  </si>
  <si>
    <t>6579526</t>
  </si>
  <si>
    <t>URDAY CHAUCAYANQUI , EDU</t>
  </si>
  <si>
    <t>000250</t>
  </si>
  <si>
    <t>000719</t>
  </si>
  <si>
    <t>220017563</t>
  </si>
  <si>
    <t>URDAY CHAUCAYANQUI RUBY EDITH</t>
  </si>
  <si>
    <t>000251</t>
  </si>
  <si>
    <t>6579634</t>
  </si>
  <si>
    <t>URDAY CHAUCAYANQUI, AGUSTINA LUZMILA</t>
  </si>
  <si>
    <t>000252</t>
  </si>
  <si>
    <t>200005314</t>
  </si>
  <si>
    <t>URDAY CHAUQUIYANQUI, IDELFONSO SALOMON</t>
  </si>
  <si>
    <t>000254</t>
  </si>
  <si>
    <t>6585590</t>
  </si>
  <si>
    <t>URDAY TORRES ,JESICA NANCY</t>
  </si>
  <si>
    <t>000255</t>
  </si>
  <si>
    <t>6585887</t>
  </si>
  <si>
    <t>URDAY TORRES ,OMAR CARMELO</t>
  </si>
  <si>
    <t>000678</t>
  </si>
  <si>
    <t>220014928</t>
  </si>
  <si>
    <t>USCAMAYTA CARPIO SOLEDAD ESPERANZA</t>
  </si>
  <si>
    <t>000260</t>
  </si>
  <si>
    <t>6586716</t>
  </si>
  <si>
    <t>USCAMAYTA VERA ,LURDES</t>
  </si>
  <si>
    <t>000261</t>
  </si>
  <si>
    <t>6590974</t>
  </si>
  <si>
    <t>USCAMAYTA VERA, IRENE</t>
  </si>
  <si>
    <t>000580</t>
  </si>
  <si>
    <t>19002706</t>
  </si>
  <si>
    <t>VALER PINEDA, SONIA</t>
  </si>
  <si>
    <t>000262</t>
  </si>
  <si>
    <t>6584520</t>
  </si>
  <si>
    <t>000263</t>
  </si>
  <si>
    <t>6587974</t>
  </si>
  <si>
    <t>SECTOR PACHAYZA - AWINTA</t>
  </si>
  <si>
    <t>000264</t>
  </si>
  <si>
    <t>6579612</t>
  </si>
  <si>
    <t>VERA ALVAREZ,SIMONA WENCESLADA</t>
  </si>
  <si>
    <t>000265</t>
  </si>
  <si>
    <t>23022173</t>
  </si>
  <si>
    <t>VERA CARPIO ,YANINA</t>
  </si>
  <si>
    <t>000734</t>
  </si>
  <si>
    <t>23022727</t>
  </si>
  <si>
    <t>VERA CHAUCAYANQUI, JENNIFER FIORELLA</t>
  </si>
  <si>
    <t>000597</t>
  </si>
  <si>
    <t>190005352</t>
  </si>
  <si>
    <t>VERA CHAVEZ, REY JOSE</t>
  </si>
  <si>
    <t>000660</t>
  </si>
  <si>
    <t>200005317</t>
  </si>
  <si>
    <t>000268</t>
  </si>
  <si>
    <t>6584451</t>
  </si>
  <si>
    <t>VERA MONTALVO DE NAVINTA  APOLONIA</t>
  </si>
  <si>
    <t>000733</t>
  </si>
  <si>
    <t>23022768</t>
  </si>
  <si>
    <t>VERA PALOMINO, JESUS SEBASTIAN</t>
  </si>
  <si>
    <t>000272</t>
  </si>
  <si>
    <t>09090152</t>
  </si>
  <si>
    <t>YLATAIPE VERA,FIDELA</t>
  </si>
  <si>
    <t>NAVINTA CORIMANYA, ROSARIO YESENIA</t>
  </si>
  <si>
    <t>USUARIOS</t>
  </si>
  <si>
    <t>VENTA DE ACCESORIOS</t>
  </si>
  <si>
    <t>VENTAS DE ACCESORIOS Y TUBOS</t>
  </si>
  <si>
    <r>
      <t>INGRESO VARIABLE</t>
    </r>
    <r>
      <rPr>
        <sz val="12"/>
        <color theme="1"/>
        <rFont val="Calibri"/>
        <family val="2"/>
        <scheme val="minor"/>
      </rPr>
      <t xml:space="preserve"> (Instalaciones, x construccion, M. O.)</t>
    </r>
  </si>
  <si>
    <t>OBSERVACIONES</t>
  </si>
  <si>
    <t>000010</t>
  </si>
  <si>
    <t>6659780</t>
  </si>
  <si>
    <t>000011</t>
  </si>
  <si>
    <t>6659782</t>
  </si>
  <si>
    <t xml:space="preserve">CHALCO ESCOBAR,TOMAS </t>
  </si>
  <si>
    <t>000631</t>
  </si>
  <si>
    <t>200039369</t>
  </si>
  <si>
    <t>GUTIERREZ CHALCO RANULFO</t>
  </si>
  <si>
    <t>000048</t>
  </si>
  <si>
    <t>6571643</t>
  </si>
  <si>
    <t>QUISPE ARUTAYPE,ISABEL</t>
  </si>
  <si>
    <t>000324</t>
  </si>
  <si>
    <t>6588594</t>
  </si>
  <si>
    <t>COA AYMARA ,MILAN ESTANISLAO</t>
  </si>
  <si>
    <t>000695</t>
  </si>
  <si>
    <t>ESCOBAR DE CASQUINO ROSA</t>
  </si>
  <si>
    <t>000459</t>
  </si>
  <si>
    <t>60062463</t>
  </si>
  <si>
    <t>000481</t>
  </si>
  <si>
    <t>60062068</t>
  </si>
  <si>
    <t>TORRES DE RAMIREZ ,ANASTACIA</t>
  </si>
  <si>
    <t>TORRES VERA ,IRMA ROSELIA</t>
  </si>
  <si>
    <t>000518</t>
  </si>
  <si>
    <t>6562282</t>
  </si>
  <si>
    <t>VERA PALOMINO ,FELIPE BENICIO</t>
  </si>
  <si>
    <t>000522</t>
  </si>
  <si>
    <t>60061425</t>
  </si>
  <si>
    <t>VERA TORRES ,ALBERTA ELVIRA</t>
  </si>
  <si>
    <t>000111</t>
  </si>
  <si>
    <t>6659587</t>
  </si>
  <si>
    <t>CHAUCAYANQUI CHAVEZ ,EDUARDO REY</t>
  </si>
  <si>
    <t>000144</t>
  </si>
  <si>
    <t>6590960</t>
  </si>
  <si>
    <t>GUILLEN MAMANI ,YENI</t>
  </si>
  <si>
    <t>PAHAYZA</t>
  </si>
  <si>
    <t>PALOMINO HUAMANI ,JORGE LEANDRO</t>
  </si>
  <si>
    <t>000211</t>
  </si>
  <si>
    <t>6659792</t>
  </si>
  <si>
    <t>QUISPE CHAUCAYANQUI,SABINA FLORENCIA</t>
  </si>
  <si>
    <t>000223</t>
  </si>
  <si>
    <t>6578357</t>
  </si>
  <si>
    <t>SET. PACHAYZA " AMIGUITOS DE JESUS"</t>
  </si>
  <si>
    <t>000234</t>
  </si>
  <si>
    <t>6593509</t>
  </si>
  <si>
    <t>TORRES HUASHUAYO JUAN SANTIAGO</t>
  </si>
  <si>
    <t>000066</t>
  </si>
  <si>
    <t>6659665</t>
  </si>
  <si>
    <t>000077</t>
  </si>
  <si>
    <t>6589816</t>
  </si>
  <si>
    <t>LOPEZ RAMIEREZ ,PAULINA DONATILA</t>
  </si>
  <si>
    <t xml:space="preserve">TORRES HUAMANI,AMELIA BENITA </t>
  </si>
  <si>
    <t>6563939</t>
  </si>
  <si>
    <t>000531</t>
  </si>
  <si>
    <t xml:space="preserve">TORRES COA,CILA CAMILA </t>
  </si>
  <si>
    <t>6563926</t>
  </si>
  <si>
    <t>000530</t>
  </si>
  <si>
    <t>SURCO VILLENA,SUSY BETTY</t>
  </si>
  <si>
    <t>220014925</t>
  </si>
  <si>
    <t>000529</t>
  </si>
  <si>
    <t>CHAUCAYANQUI ALVAREZ,CARLOS ALEJO</t>
  </si>
  <si>
    <t>2001887</t>
  </si>
  <si>
    <t>000527</t>
  </si>
  <si>
    <t>000535</t>
  </si>
  <si>
    <t>6563916</t>
  </si>
  <si>
    <t>USCAMAYTA ALCA ,CILA</t>
  </si>
  <si>
    <t>000537</t>
  </si>
  <si>
    <t>6593657</t>
  </si>
  <si>
    <t>VERA REVILLA ,MANUEL</t>
  </si>
  <si>
    <t>000012</t>
  </si>
  <si>
    <t>21130894</t>
  </si>
  <si>
    <t xml:space="preserve">CHUQUIYANQUI CHALCO,ELIDA </t>
  </si>
  <si>
    <t>000014</t>
  </si>
  <si>
    <t>6578450</t>
  </si>
  <si>
    <t>CORIMANYA DE ARUTAYPE ,SUNILDA MAGDALENA</t>
  </si>
  <si>
    <t>000686</t>
  </si>
  <si>
    <t>200031259</t>
  </si>
  <si>
    <t>ESCOBAR ANTACHOQUE SOLEDAD</t>
  </si>
  <si>
    <t>000017</t>
  </si>
  <si>
    <t>6582818</t>
  </si>
  <si>
    <t>ESCOBAR MONTALVO CELSO CELESTINO</t>
  </si>
  <si>
    <t>000691</t>
  </si>
  <si>
    <t>21000863</t>
  </si>
  <si>
    <t>GUTIERREZ CHALCO REYNALDO ROBERTO</t>
  </si>
  <si>
    <t>000589</t>
  </si>
  <si>
    <t>200005311</t>
  </si>
  <si>
    <t>HUAMANI LUQUE CLEDY</t>
  </si>
  <si>
    <t>000032</t>
  </si>
  <si>
    <t>6572092</t>
  </si>
  <si>
    <t xml:space="preserve">LUQUE VERA,ELISA LURDES </t>
  </si>
  <si>
    <t>000039</t>
  </si>
  <si>
    <t>6660649</t>
  </si>
  <si>
    <t xml:space="preserve">MONTALVO TORRES,JUAN BAUTISTA </t>
  </si>
  <si>
    <t>000047</t>
  </si>
  <si>
    <t>6660664</t>
  </si>
  <si>
    <t>PALOMINO NEYRA,JUSTINA LUZ</t>
  </si>
  <si>
    <t>000024</t>
  </si>
  <si>
    <t>6572073</t>
  </si>
  <si>
    <t>QUISPE HUAMANI,CLEMENTE EMILIO</t>
  </si>
  <si>
    <t>000630</t>
  </si>
  <si>
    <t>200011823</t>
  </si>
  <si>
    <t>USCAMAYTA NAVINTA YSAURO SABINO</t>
  </si>
  <si>
    <t>000053</t>
  </si>
  <si>
    <t>6571989</t>
  </si>
  <si>
    <t xml:space="preserve">VERA DE LUQUE,REYNA PETRONILA </t>
  </si>
  <si>
    <t>000756</t>
  </si>
  <si>
    <t>22393037</t>
  </si>
  <si>
    <t>ZAPANA MANSILLA , GUSTAVO RAUL</t>
  </si>
  <si>
    <t>000498</t>
  </si>
  <si>
    <t>60062505</t>
  </si>
  <si>
    <t>ALFARO NEYRA DE  CHUQUIYANQUI LUCIA POMPEYA</t>
  </si>
  <si>
    <t>000753</t>
  </si>
  <si>
    <t>22393036</t>
  </si>
  <si>
    <t>ANTACHOQUE ESCOBAR , FANY KELIDA</t>
  </si>
  <si>
    <t>000586</t>
  </si>
  <si>
    <t>09093268</t>
  </si>
  <si>
    <t>ANTACHOQUE ESCOBAR, FANY KELIDA</t>
  </si>
  <si>
    <t>000551</t>
  </si>
  <si>
    <t>9090209</t>
  </si>
  <si>
    <t>APFATA MONTALVO JAIME RAUL</t>
  </si>
  <si>
    <t>000279</t>
  </si>
  <si>
    <t>20102295</t>
  </si>
  <si>
    <t>ARROYO CARPIO ,JUAN</t>
  </si>
  <si>
    <t>000467</t>
  </si>
  <si>
    <t>6581492</t>
  </si>
  <si>
    <t>ARUTAYPE CORIMANYA GLENY</t>
  </si>
  <si>
    <t>000286</t>
  </si>
  <si>
    <t>6581494</t>
  </si>
  <si>
    <t>AYMARA ALFARO, YENY VITALIA</t>
  </si>
  <si>
    <t>000294</t>
  </si>
  <si>
    <t>60062063</t>
  </si>
  <si>
    <t>CASTRO DE SIVINCHA ,INES HIPILITA</t>
  </si>
  <si>
    <t>000300</t>
  </si>
  <si>
    <t>60061426</t>
  </si>
  <si>
    <t>CATEDRAL DE LA COMUNIDAD DE ISPACAS</t>
  </si>
  <si>
    <t>000466</t>
  </si>
  <si>
    <t>60061419</t>
  </si>
  <si>
    <t>CHALCO COA SOLEDAD IGNACIA</t>
  </si>
  <si>
    <t>000539</t>
  </si>
  <si>
    <t>6581497</t>
  </si>
  <si>
    <t>CHALCO CORIMANYA, JUVENAL</t>
  </si>
  <si>
    <t>Calle. San isidro</t>
  </si>
  <si>
    <t>000304</t>
  </si>
  <si>
    <t>6562426</t>
  </si>
  <si>
    <t>CHALCO MANSILLA ,GEOBANNA CARINA</t>
  </si>
  <si>
    <t>000707</t>
  </si>
  <si>
    <t>6590252</t>
  </si>
  <si>
    <t>CHALCO MONTALVO ANA MELBA</t>
  </si>
  <si>
    <t>CALLE 5 DE AGOSTO S/N</t>
  </si>
  <si>
    <t>000345</t>
  </si>
  <si>
    <t>6590402</t>
  </si>
  <si>
    <t>CHALCO MONTALVO EMILIO HUGO</t>
  </si>
  <si>
    <t>000741</t>
  </si>
  <si>
    <t>22115452</t>
  </si>
  <si>
    <t>CHALCO MONTALVO, GLORIA VICTORIA</t>
  </si>
  <si>
    <t>000743</t>
  </si>
  <si>
    <t>23022183</t>
  </si>
  <si>
    <t>CHALCO MONTALVO, MIGUEL ANGEL</t>
  </si>
  <si>
    <t>CALLE VIRGEN DE LAS NIEVES MZ C LT 3</t>
  </si>
  <si>
    <t>000654</t>
  </si>
  <si>
    <t>200005319</t>
  </si>
  <si>
    <t>CHALCO MONTALVO, YOBANA DEBORA</t>
  </si>
  <si>
    <t>CALLE 5 DE AGOSTO</t>
  </si>
  <si>
    <t>000545</t>
  </si>
  <si>
    <t>09090653</t>
  </si>
  <si>
    <t>CHALCO TORRES BENILDA NELY</t>
  </si>
  <si>
    <t>CALLE CUYOCUYO S/N</t>
  </si>
  <si>
    <t>000311</t>
  </si>
  <si>
    <t>6577427</t>
  </si>
  <si>
    <t>CHAVEZ CORINANYA RENE LUIS</t>
  </si>
  <si>
    <t>000314</t>
  </si>
  <si>
    <t>60061430</t>
  </si>
  <si>
    <t>CHAVEZ TORRES JAMES</t>
  </si>
  <si>
    <t>000693</t>
  </si>
  <si>
    <t>21130888</t>
  </si>
  <si>
    <t>CHAVEZ TORRES RONAL</t>
  </si>
  <si>
    <t>000320</t>
  </si>
  <si>
    <t>200005301</t>
  </si>
  <si>
    <t>CHUQUIYANQUI DURAN ,JUAN</t>
  </si>
  <si>
    <t>000321</t>
  </si>
  <si>
    <t>60061354</t>
  </si>
  <si>
    <t>CHUQUIYANQUI DURAN ,MANUEL</t>
  </si>
  <si>
    <t>CHUQUIYANQUI DURAN NATTY LUZ</t>
  </si>
  <si>
    <t>CALLE ELOLVIDO</t>
  </si>
  <si>
    <t>000327</t>
  </si>
  <si>
    <t>23022172</t>
  </si>
  <si>
    <t>COLISEO COMUNAL DE ISPACAS</t>
  </si>
  <si>
    <t>000328</t>
  </si>
  <si>
    <t>6061414</t>
  </si>
  <si>
    <t>COMEDOR NUEVA ESPERANZA</t>
  </si>
  <si>
    <t>PASAJE NICOLAS DE PIEROLA S/N</t>
  </si>
  <si>
    <t>000333</t>
  </si>
  <si>
    <t>60061428</t>
  </si>
  <si>
    <t>CORIMANYA ARUTAIPE ,VALENTINA BERTA</t>
  </si>
  <si>
    <t>000335</t>
  </si>
  <si>
    <t>60062513</t>
  </si>
  <si>
    <t>CORIMANYA MANSILLA ,SERAPIO GALO</t>
  </si>
  <si>
    <t>000552</t>
  </si>
  <si>
    <t>9090710</t>
  </si>
  <si>
    <t>DEL CARPIO MANCILLA KATHERINE</t>
  </si>
  <si>
    <t>000291</t>
  </si>
  <si>
    <t>60062074</t>
  </si>
  <si>
    <t>000353</t>
  </si>
  <si>
    <t>6562669</t>
  </si>
  <si>
    <t>GONZALES SUPA GLADYS NORMA</t>
  </si>
  <si>
    <t>000356</t>
  </si>
  <si>
    <t>6579243</t>
  </si>
  <si>
    <t>GUZMAN CHAUCAYANQUI ,NANCY OLGA</t>
  </si>
  <si>
    <t>000754</t>
  </si>
  <si>
    <t>22393040</t>
  </si>
  <si>
    <t>HUAMANI , LUZ HAYDE</t>
  </si>
  <si>
    <t>PSJ VIRGEN DE LAS NIEVES</t>
  </si>
  <si>
    <t>000363</t>
  </si>
  <si>
    <t>23022175</t>
  </si>
  <si>
    <t>HUAMANI ALVAREZ ,NELIDA LUZ</t>
  </si>
  <si>
    <t>000579</t>
  </si>
  <si>
    <t>19003915</t>
  </si>
  <si>
    <t>HUAMANI COA, YDITT AMELIA</t>
  </si>
  <si>
    <t>CALLE, LOS ESTUDIANTES</t>
  </si>
  <si>
    <t>000375</t>
  </si>
  <si>
    <t>6562295</t>
  </si>
  <si>
    <t>HUAMANI HUAMANI ,ALEJANDRO GARCILAZO</t>
  </si>
  <si>
    <t>22392638</t>
  </si>
  <si>
    <t>000558</t>
  </si>
  <si>
    <t>10786</t>
  </si>
  <si>
    <t>HUAMANI HUAMANI,JANETT ANASTACIA</t>
  </si>
  <si>
    <t>000383</t>
  </si>
  <si>
    <t>60061413</t>
  </si>
  <si>
    <t>HUAMANI RAMIREZ ,JOEL FROILAN</t>
  </si>
  <si>
    <t>PASAJE 10 S/N</t>
  </si>
  <si>
    <t>000387</t>
  </si>
  <si>
    <t>60062472</t>
  </si>
  <si>
    <t>HUAMANI TORRES ,ISIDORA EULALIA</t>
  </si>
  <si>
    <t>000393</t>
  </si>
  <si>
    <t>60062523</t>
  </si>
  <si>
    <t>HUAMANI USCAMAYTA ,SIMEON OSCAR</t>
  </si>
  <si>
    <t>000397</t>
  </si>
  <si>
    <t>6577460</t>
  </si>
  <si>
    <t>I.E N° 40439 SAN JUAN BAUTISTA DE LA SALLE</t>
  </si>
  <si>
    <t>000398</t>
  </si>
  <si>
    <t>6577470</t>
  </si>
  <si>
    <t>000399</t>
  </si>
  <si>
    <t>60062017</t>
  </si>
  <si>
    <t>I.E.I DIVINO NIÑO JESUS</t>
  </si>
  <si>
    <t>EL OLVIDO S/N</t>
  </si>
  <si>
    <t>000554</t>
  </si>
  <si>
    <t>9090158</t>
  </si>
  <si>
    <t>LOCAL COMUNAL</t>
  </si>
  <si>
    <t>000401</t>
  </si>
  <si>
    <t>60062071</t>
  </si>
  <si>
    <t>LOCAL COMUNAL CENTRO POBLADO DE ISPACAS</t>
  </si>
  <si>
    <t>000683</t>
  </si>
  <si>
    <t>220014940</t>
  </si>
  <si>
    <t>LOPEZ CHUQUIYANQUI YULIANA MARIBEL</t>
  </si>
  <si>
    <t>000403</t>
  </si>
  <si>
    <t>6588727</t>
  </si>
  <si>
    <t>LUQUE GUTIERREZ ,RONALDO</t>
  </si>
  <si>
    <t>000404</t>
  </si>
  <si>
    <t>6581498</t>
  </si>
  <si>
    <t>MACEDO COZO ,FAUSTINA</t>
  </si>
  <si>
    <t>000405</t>
  </si>
  <si>
    <t>23022195</t>
  </si>
  <si>
    <t>000409</t>
  </si>
  <si>
    <t>6558358</t>
  </si>
  <si>
    <t>MANCILLA ILATAYPE ,LIDIA</t>
  </si>
  <si>
    <t>000705</t>
  </si>
  <si>
    <t>23013263</t>
  </si>
  <si>
    <t>MANCILLA VERA SUSY MARIBEL</t>
  </si>
  <si>
    <t>000419</t>
  </si>
  <si>
    <t>6558327</t>
  </si>
  <si>
    <t>MONTALVO HUAMANI ,JANO JUAN</t>
  </si>
  <si>
    <t>000681</t>
  </si>
  <si>
    <t>21006532</t>
  </si>
  <si>
    <t xml:space="preserve">MONTALVO HUAMANI GIANELLA DIANA </t>
  </si>
  <si>
    <t>000420</t>
  </si>
  <si>
    <t>60061418</t>
  </si>
  <si>
    <t>MONTALVO NEIRA ,MANUEL JESUS</t>
  </si>
  <si>
    <t>000421</t>
  </si>
  <si>
    <t>6588494</t>
  </si>
  <si>
    <t>MONTALVO NEYRA ,HOLDEN JABIAN</t>
  </si>
  <si>
    <t>000543</t>
  </si>
  <si>
    <t>09090516</t>
  </si>
  <si>
    <t>MONTALVO NEYRA NAYDA LUCIA</t>
  </si>
  <si>
    <t>CALLE DE 5 DE AGOSTO</t>
  </si>
  <si>
    <t>000422</t>
  </si>
  <si>
    <t>60062075</t>
  </si>
  <si>
    <t>MONTALVO TORRES ,ALBERTO</t>
  </si>
  <si>
    <t>000423</t>
  </si>
  <si>
    <t>60062114</t>
  </si>
  <si>
    <t>000425</t>
  </si>
  <si>
    <t>MONTALVO TORRES ,JULIANA</t>
  </si>
  <si>
    <t>000553</t>
  </si>
  <si>
    <t>9091553</t>
  </si>
  <si>
    <t>MONTALVO USCAMAYTA ROSARIO FRANCISCA</t>
  </si>
  <si>
    <t>CALLE CUYO CUYO  S/N</t>
  </si>
  <si>
    <t>000430</t>
  </si>
  <si>
    <t>60062057</t>
  </si>
  <si>
    <t>MUNICIPALIDAD DEL CENTRO POBLADO DE ISPACAS</t>
  </si>
  <si>
    <t>000431</t>
  </si>
  <si>
    <t>60061365</t>
  </si>
  <si>
    <t>000432</t>
  </si>
  <si>
    <t>60062081</t>
  </si>
  <si>
    <t>NAVINTA CORIMANYA ,VERONICA</t>
  </si>
  <si>
    <t>000706</t>
  </si>
  <si>
    <t>6590069</t>
  </si>
  <si>
    <t>NEIRA HUAMANI VICTOR MELITON</t>
  </si>
  <si>
    <t>000439</t>
  </si>
  <si>
    <t>20017511</t>
  </si>
  <si>
    <t>NEIRA LOPEZ ,JULIAN TEODORO</t>
  </si>
  <si>
    <t>000438</t>
  </si>
  <si>
    <t>6573770</t>
  </si>
  <si>
    <t>NEIRA USCAMAYTA YNCLAN BELY</t>
  </si>
  <si>
    <t>000414</t>
  </si>
  <si>
    <t>6590166</t>
  </si>
  <si>
    <t>NEYRA HUASHUAYO, LUZ DAMIANA</t>
  </si>
  <si>
    <t>000682</t>
  </si>
  <si>
    <t>21006533</t>
  </si>
  <si>
    <t>NEYRA VDA DE MONTALVO BEATRIZ PAULA</t>
  </si>
  <si>
    <t>000540</t>
  </si>
  <si>
    <t>6581500</t>
  </si>
  <si>
    <t>PALOMINO CHALCO, LAURA</t>
  </si>
  <si>
    <t>Calle.san isidro</t>
  </si>
  <si>
    <t>000442</t>
  </si>
  <si>
    <t>6577475</t>
  </si>
  <si>
    <t>PALOMINO HUAMANI ,CONCEPCION JUANA</t>
  </si>
  <si>
    <t>000627</t>
  </si>
  <si>
    <t>2001832</t>
  </si>
  <si>
    <t>QUISPE ALLCA  FELICIANO DANIEL</t>
  </si>
  <si>
    <t>000450</t>
  </si>
  <si>
    <t>60062065</t>
  </si>
  <si>
    <t>QUISPE CHAVEZ ,EDIN JUSTO</t>
  </si>
  <si>
    <t>000452</t>
  </si>
  <si>
    <t>21000868</t>
  </si>
  <si>
    <t>QUISPE USCAMAYTA, ZAIDA GLORIA</t>
  </si>
  <si>
    <t>000455</t>
  </si>
  <si>
    <t>60062083</t>
  </si>
  <si>
    <t>RAMIREZ HUAMANI , ESMERALDA ARIENDA</t>
  </si>
  <si>
    <t>000456</t>
  </si>
  <si>
    <t>6577440</t>
  </si>
  <si>
    <t>RAMIREZ HUAMANI ,DANJER</t>
  </si>
  <si>
    <t>000461</t>
  </si>
  <si>
    <t>60062067</t>
  </si>
  <si>
    <t>REVILLA HUAMANI ,CLETO MARCELINO</t>
  </si>
  <si>
    <t>000462</t>
  </si>
  <si>
    <t>60062024</t>
  </si>
  <si>
    <t>ROCA MAMANI ,ESTEBAN</t>
  </si>
  <si>
    <t>000474</t>
  </si>
  <si>
    <t>60061420</t>
  </si>
  <si>
    <t>SIVINCHA AYMARA, DERY CATTY</t>
  </si>
  <si>
    <t>000470</t>
  </si>
  <si>
    <t>6562521</t>
  </si>
  <si>
    <t>SIVINCHA DE CHAVEZ ,MARIA</t>
  </si>
  <si>
    <t>000350</t>
  </si>
  <si>
    <t>6590209</t>
  </si>
  <si>
    <t>TORRES  MONTALVO ,FLOR</t>
  </si>
  <si>
    <t>000476</t>
  </si>
  <si>
    <t>60062062</t>
  </si>
  <si>
    <t>TORRES ALFARO ,NILPO WILMER</t>
  </si>
  <si>
    <t>000479</t>
  </si>
  <si>
    <t>6577421</t>
  </si>
  <si>
    <t>TORRES CHAVEZ ,LOIDA TANIA</t>
  </si>
  <si>
    <t>000484</t>
  </si>
  <si>
    <t>60061361</t>
  </si>
  <si>
    <t>TORRES GONZALES ,LURDES</t>
  </si>
  <si>
    <t>240810075</t>
  </si>
  <si>
    <t>000489</t>
  </si>
  <si>
    <t>6562495</t>
  </si>
  <si>
    <t>TORRES MONTALVO ,SOFIA AMELIA</t>
  </si>
  <si>
    <t>000490</t>
  </si>
  <si>
    <t>21000872</t>
  </si>
  <si>
    <t>000493</t>
  </si>
  <si>
    <t>6573784</t>
  </si>
  <si>
    <t>000496</t>
  </si>
  <si>
    <t>6574474</t>
  </si>
  <si>
    <t>USCAMAITA ARUTAIPE ,ASISCLA VICTORIA</t>
  </si>
  <si>
    <t>000748</t>
  </si>
  <si>
    <t>21130881</t>
  </si>
  <si>
    <t>USCAMAITA CHAVEZ, LUZ YOVANA</t>
  </si>
  <si>
    <t>CALLE JUAN USCAMAYTA S/N</t>
  </si>
  <si>
    <t>000500</t>
  </si>
  <si>
    <t>60062460</t>
  </si>
  <si>
    <t>USCAMAITA HUAMANI ,EUSEBIA MARTA</t>
  </si>
  <si>
    <t>000501</t>
  </si>
  <si>
    <t>6580017</t>
  </si>
  <si>
    <t>USCAMAITA HUAMANI ,FLORENCIO PEDRO</t>
  </si>
  <si>
    <t>000509</t>
  </si>
  <si>
    <t>60061389</t>
  </si>
  <si>
    <t>USCAMAITA HUAMANI ELISEO BACILIO</t>
  </si>
  <si>
    <t>000362</t>
  </si>
  <si>
    <t>60061429</t>
  </si>
  <si>
    <t>USCAMAYTA HUAMANI, EDWIN ALEJANDRO</t>
  </si>
  <si>
    <t>000590</t>
  </si>
  <si>
    <t>200031257</t>
  </si>
  <si>
    <t>USCAMAYTA HUAMANI, YEDY</t>
  </si>
  <si>
    <t>000729</t>
  </si>
  <si>
    <t>220017506</t>
  </si>
  <si>
    <t>USCAMAYTA MONTALVO, MARITA BERNA</t>
  </si>
  <si>
    <t>000502</t>
  </si>
  <si>
    <t>6580024</t>
  </si>
  <si>
    <t>USCAMAYTA NEIRA ,ROSA FULGENCIA</t>
  </si>
  <si>
    <t>000512</t>
  </si>
  <si>
    <t>23004170</t>
  </si>
  <si>
    <t>USCAMAYTA NEYRA ,LEYDI SALOME</t>
  </si>
  <si>
    <t>000625</t>
  </si>
  <si>
    <t>20102292</t>
  </si>
  <si>
    <t>USCAMAYTA VERA REYNES</t>
  </si>
  <si>
    <t>000513</t>
  </si>
  <si>
    <t>6577394</t>
  </si>
  <si>
    <t>VALDIVIA RANILLA ,OCTAVIO</t>
  </si>
  <si>
    <t>000514</t>
  </si>
  <si>
    <t>6577482</t>
  </si>
  <si>
    <t>VERA DE TORRES ,VICENTA</t>
  </si>
  <si>
    <t>000516</t>
  </si>
  <si>
    <t>200005318</t>
  </si>
  <si>
    <t>VERA MONTALVO ,DENISS LUZ</t>
  </si>
  <si>
    <t>000670</t>
  </si>
  <si>
    <t>21003051</t>
  </si>
  <si>
    <t>VERA MONTALVO DE NAVINTA APOLONIA</t>
  </si>
  <si>
    <t>000520</t>
  </si>
  <si>
    <t>6558359</t>
  </si>
  <si>
    <t>000521</t>
  </si>
  <si>
    <t>60062064</t>
  </si>
  <si>
    <t>VERA REVILLA ,MATILDE FILOMENA</t>
  </si>
  <si>
    <t>000059</t>
  </si>
  <si>
    <t>6593586</t>
  </si>
  <si>
    <t xml:space="preserve">CHALCO CORIMANYA,BLANCA DELIA </t>
  </si>
  <si>
    <t>000063</t>
  </si>
  <si>
    <t>2001873</t>
  </si>
  <si>
    <t>CHALCO CORIMANYA,HOOVER ARTURO</t>
  </si>
  <si>
    <t>000675</t>
  </si>
  <si>
    <t>19003894</t>
  </si>
  <si>
    <t>CHALCO DE ARUTAYPE ADELA FELICITAS</t>
  </si>
  <si>
    <t>AYNANI</t>
  </si>
  <si>
    <t>000071</t>
  </si>
  <si>
    <t>6585646</t>
  </si>
  <si>
    <t xml:space="preserve">CHALCO DE HUAMANI CATALINA ROSARIO </t>
  </si>
  <si>
    <t>000068</t>
  </si>
  <si>
    <t>220017312</t>
  </si>
  <si>
    <t>LOPEZ COA FREDY</t>
  </si>
  <si>
    <t>000078</t>
  </si>
  <si>
    <t>6659298</t>
  </si>
  <si>
    <t xml:space="preserve">MONTALVO NEIRA,MANUEL JESUS </t>
  </si>
  <si>
    <t>000547</t>
  </si>
  <si>
    <t>18052582</t>
  </si>
  <si>
    <t>MONTALVO NEYRA ,HOLDEN FABIAN</t>
  </si>
  <si>
    <t>000079</t>
  </si>
  <si>
    <t>6658956</t>
  </si>
  <si>
    <t>000081</t>
  </si>
  <si>
    <t>6585706</t>
  </si>
  <si>
    <t xml:space="preserve">RAMIREZ CHALCO,SAMUEL </t>
  </si>
  <si>
    <t>AYNANI S/N</t>
  </si>
  <si>
    <t>000710</t>
  </si>
  <si>
    <t>200005320</t>
  </si>
  <si>
    <t>SANCHEZ GONZALES TIODOSA</t>
  </si>
  <si>
    <t>000086</t>
  </si>
  <si>
    <t>6582217</t>
  </si>
  <si>
    <t>TORRES VERA, JHON ADALID</t>
  </si>
  <si>
    <t>000094</t>
  </si>
  <si>
    <t>9091153</t>
  </si>
  <si>
    <t>ANTACHOQUE MONTES, MARTHA VILMA</t>
  </si>
  <si>
    <t>000095</t>
  </si>
  <si>
    <t>6659519</t>
  </si>
  <si>
    <t>APAZA QUISPE, JOSE</t>
  </si>
  <si>
    <t>000634</t>
  </si>
  <si>
    <t>2001889</t>
  </si>
  <si>
    <t>AROTAYPE MOLLO JAVIER ROBERTO</t>
  </si>
  <si>
    <t>000629</t>
  </si>
  <si>
    <t>21000867</t>
  </si>
  <si>
    <t xml:space="preserve">CABRERA CARPIO MARGARITA </t>
  </si>
  <si>
    <t>000098</t>
  </si>
  <si>
    <t>6587963</t>
  </si>
  <si>
    <t>CARPIO HUAMANI ,JUAN VITALIANO</t>
  </si>
  <si>
    <t>000679</t>
  </si>
  <si>
    <t>220014937</t>
  </si>
  <si>
    <t>CARPIO LAZARO MERY FLOR</t>
  </si>
  <si>
    <t>000612</t>
  </si>
  <si>
    <t>CASTRO VERA BERTHA</t>
  </si>
  <si>
    <t>000744</t>
  </si>
  <si>
    <t>23015471</t>
  </si>
  <si>
    <t>CHALCO CHAVEZ, DEICY BELIZA</t>
  </si>
  <si>
    <t>PACHAYZA PAMPA-PUCRO</t>
  </si>
  <si>
    <t>000108</t>
  </si>
  <si>
    <t>6586805</t>
  </si>
  <si>
    <t>CHALCO URDAY ,SILVANA</t>
  </si>
  <si>
    <t>SECTOR PACHAYZA- SANTA ROSA</t>
  </si>
  <si>
    <t>000749</t>
  </si>
  <si>
    <t>23022197</t>
  </si>
  <si>
    <t>CHAUCAYANQUI GUTIERREZ, IRENY SONI</t>
  </si>
  <si>
    <t>PAMPA</t>
  </si>
  <si>
    <t>000115</t>
  </si>
  <si>
    <t>6585697</t>
  </si>
  <si>
    <t>CHAUCAYANQUI RAMIREZ ,YESENIA</t>
  </si>
  <si>
    <t>000732</t>
  </si>
  <si>
    <t>23021800</t>
  </si>
  <si>
    <t>CHAUCAYANQUI URDAY, NELLY CONSTANZA</t>
  </si>
  <si>
    <t>000747</t>
  </si>
  <si>
    <t>23022188</t>
  </si>
  <si>
    <t>CHAVEZ TORRES, JAMES CLEMENTE HERNAN</t>
  </si>
  <si>
    <t>PARTE BAJA - HUAYCHA</t>
  </si>
  <si>
    <t>000609</t>
  </si>
  <si>
    <t>2001890</t>
  </si>
  <si>
    <t>CHUQUIYANQUI URDAY, MIRIAN</t>
  </si>
  <si>
    <t>000735</t>
  </si>
  <si>
    <t>23022723</t>
  </si>
  <si>
    <t>COA TORRES, ALEXANDER REY</t>
  </si>
  <si>
    <t>SECTOR TARAPATA</t>
  </si>
  <si>
    <t>000639</t>
  </si>
  <si>
    <t>200002892</t>
  </si>
  <si>
    <t>CORIMANYA HUAMANI CRISTOPHER RONALD</t>
  </si>
  <si>
    <t>000716</t>
  </si>
  <si>
    <t>21130900</t>
  </si>
  <si>
    <t>CORIMANYA HUAMANI DE TORRES MARIA DEL CARMEN</t>
  </si>
  <si>
    <t>000136</t>
  </si>
  <si>
    <t>6659528</t>
  </si>
  <si>
    <t>CORIMANYA HUAMANI,MARIA DEL CARMEN</t>
  </si>
  <si>
    <t>000138</t>
  </si>
  <si>
    <t>21000869</t>
  </si>
  <si>
    <t>CORIMANYA MANSILLA,DINA OLINDA</t>
  </si>
  <si>
    <t>000139</t>
  </si>
  <si>
    <t>9090895</t>
  </si>
  <si>
    <t>CORIMANYA MONTALVO ,CARINA</t>
  </si>
  <si>
    <t>000737</t>
  </si>
  <si>
    <t>23022198</t>
  </si>
  <si>
    <t>ESCOBAR MANCILLA, VICTOR JHONSON</t>
  </si>
  <si>
    <t>000141</t>
  </si>
  <si>
    <t>23015464</t>
  </si>
  <si>
    <t>ESCOBAR MANSILLA,CRISTIAN</t>
  </si>
  <si>
    <t>000626</t>
  </si>
  <si>
    <t>2001834</t>
  </si>
  <si>
    <t>GRUPO JAMPRA S.A.C</t>
  </si>
  <si>
    <t>000145</t>
  </si>
  <si>
    <t>6587724</t>
  </si>
  <si>
    <t>000576</t>
  </si>
  <si>
    <t>09090880</t>
  </si>
  <si>
    <t>GUTIERREZ RAMIREZ, YENI</t>
  </si>
  <si>
    <t>000635</t>
  </si>
  <si>
    <t>200039367</t>
  </si>
  <si>
    <t>GUZMAN TORRES ANYELA LETHY</t>
  </si>
  <si>
    <t>HUACPI HUAMANI ,DANIA UDELIZ</t>
  </si>
  <si>
    <t>000648</t>
  </si>
  <si>
    <t>200011827</t>
  </si>
  <si>
    <t>000696</t>
  </si>
  <si>
    <t>21130896</t>
  </si>
  <si>
    <t>HUAMANI CHALCO GENOVEVA ESTELITA</t>
  </si>
  <si>
    <t>SECTOR PUCRO</t>
  </si>
  <si>
    <t>000154</t>
  </si>
  <si>
    <t>6659603</t>
  </si>
  <si>
    <t>HUAMANI HUAMANI , JULIO CESAR</t>
  </si>
  <si>
    <t>000156</t>
  </si>
  <si>
    <t>000160</t>
  </si>
  <si>
    <t>6585722</t>
  </si>
  <si>
    <t>HUAMANI REVILLA ,AIDA MARIA</t>
  </si>
  <si>
    <t>SECTOR PACHAYZA-PARTE BAJA</t>
  </si>
  <si>
    <t>000652</t>
  </si>
  <si>
    <t>2001835</t>
  </si>
  <si>
    <t>HUAMANI URDAY JOSE CALIXTO</t>
  </si>
  <si>
    <t>000666</t>
  </si>
  <si>
    <t>19012719</t>
  </si>
  <si>
    <t>HUAMANI URDAY PEDRO</t>
  </si>
  <si>
    <t>000164</t>
  </si>
  <si>
    <t>6659857</t>
  </si>
  <si>
    <t>HUAMANI URDAY,ELISBAN REY</t>
  </si>
  <si>
    <t>000165</t>
  </si>
  <si>
    <t>6587767</t>
  </si>
  <si>
    <t>000257</t>
  </si>
  <si>
    <t>6563964</t>
  </si>
  <si>
    <t xml:space="preserve">HUAMANI USCAMAYTA, VALUISA YANET </t>
  </si>
  <si>
    <t>000166</t>
  </si>
  <si>
    <t>6579550</t>
  </si>
  <si>
    <t>HUAMANI VERA, GARI YOBANA</t>
  </si>
  <si>
    <t>SECTOR PACHAYZA  -  PUCRO</t>
  </si>
  <si>
    <t>000717</t>
  </si>
  <si>
    <t>220017508</t>
  </si>
  <si>
    <t>HUAMANI YLATAIPE NELIDA DEYSI</t>
  </si>
  <si>
    <t>PACHAYZA-AHUINTA</t>
  </si>
  <si>
    <t>000173</t>
  </si>
  <si>
    <t>6590349</t>
  </si>
  <si>
    <t>LAZARO ALVAREZ SEGUNDO</t>
  </si>
  <si>
    <t>000178</t>
  </si>
  <si>
    <t>6593627</t>
  </si>
  <si>
    <t>MANSILLA CASTRO, EULOGIA LEANDRA</t>
  </si>
  <si>
    <t>000591</t>
  </si>
  <si>
    <t>19003883</t>
  </si>
  <si>
    <t>MONTALVO ALVAREZ, MARLIT JUDY</t>
  </si>
  <si>
    <t>000182</t>
  </si>
  <si>
    <t>6659533</t>
  </si>
  <si>
    <t>MONTALVO HUAMANI ,GLORIA YRENE</t>
  </si>
  <si>
    <t>000187</t>
  </si>
  <si>
    <t>6579592</t>
  </si>
  <si>
    <t>MONTALVO HUAMANI, LORENZO ROSENDO</t>
  </si>
  <si>
    <t>000645</t>
  </si>
  <si>
    <t>200005302</t>
  </si>
  <si>
    <t>MONTALVO NEYRA SUSY EVELIN</t>
  </si>
  <si>
    <t>000667</t>
  </si>
  <si>
    <t>200005316</t>
  </si>
  <si>
    <t>MONTALVO QUISPE DE HUAMANI EVELIN</t>
  </si>
  <si>
    <t>000702</t>
  </si>
  <si>
    <t>003386</t>
  </si>
  <si>
    <t>MONTALVO VERA URIEL</t>
  </si>
  <si>
    <t>000708</t>
  </si>
  <si>
    <t>200002900</t>
  </si>
  <si>
    <t>NEIRA USCAMAYTA COYSE CELY</t>
  </si>
  <si>
    <t>000203</t>
  </si>
  <si>
    <t>6587962</t>
  </si>
  <si>
    <t>NOVA MONTALVO,MAYKOL</t>
  </si>
  <si>
    <t>000574</t>
  </si>
  <si>
    <t>9091136</t>
  </si>
  <si>
    <t>PUGA CHUQUIYANQUI ETEL</t>
  </si>
  <si>
    <t>PACHAYZA BAJA</t>
  </si>
  <si>
    <t>000212</t>
  </si>
  <si>
    <t>6587935</t>
  </si>
  <si>
    <t>QUISPE PRADO, CELIA</t>
  </si>
  <si>
    <t>000615</t>
  </si>
  <si>
    <t>20102223</t>
  </si>
  <si>
    <t xml:space="preserve">RAMIREZ CHAVEZ JOSE LUIS </t>
  </si>
  <si>
    <t>000219</t>
  </si>
  <si>
    <t>6579545</t>
  </si>
  <si>
    <t>RAMIREZ TORRES ,IRMA</t>
  </si>
  <si>
    <t>000750</t>
  </si>
  <si>
    <t>23022196</t>
  </si>
  <si>
    <t>SAMAR MENDOZA, SORAYA</t>
  </si>
  <si>
    <t>TOMACO</t>
  </si>
  <si>
    <t>000097</t>
  </si>
  <si>
    <t>200005313</t>
  </si>
  <si>
    <t>SIVINCHA AYMARA EDSON URBANO</t>
  </si>
  <si>
    <t>000224</t>
  </si>
  <si>
    <t>6659529</t>
  </si>
  <si>
    <t>SUCA MAMANI, MARILUZ</t>
  </si>
  <si>
    <t>000225</t>
  </si>
  <si>
    <t>6570854</t>
  </si>
  <si>
    <t>TICONA SUAQUITA ,ELVIO ROBERT</t>
  </si>
  <si>
    <t>000226</t>
  </si>
  <si>
    <t>6590880</t>
  </si>
  <si>
    <t>TICONA SUAQUITA,NALDA MARIZA</t>
  </si>
  <si>
    <t>000607</t>
  </si>
  <si>
    <t xml:space="preserve">TORRES CABRERA  MERY </t>
  </si>
  <si>
    <t>CALLE SOLEDAD</t>
  </si>
  <si>
    <t>000233</t>
  </si>
  <si>
    <t>6593618</t>
  </si>
  <si>
    <t>TORRES HUASHUAYO ,JUAN NICOLAS</t>
  </si>
  <si>
    <t>000242</t>
  </si>
  <si>
    <t>6585689</t>
  </si>
  <si>
    <t>TORRES VERA ,CLODOALDA BERTHA</t>
  </si>
  <si>
    <t>000243</t>
  </si>
  <si>
    <t>6578555</t>
  </si>
  <si>
    <t>TORRES VERA ,ELVER TITO</t>
  </si>
  <si>
    <t>000241</t>
  </si>
  <si>
    <t>23022194</t>
  </si>
  <si>
    <t>TORRES VERA ,FROILAN</t>
  </si>
  <si>
    <t>000244</t>
  </si>
  <si>
    <t>6578308</t>
  </si>
  <si>
    <t>TORRES VERA,JHON ADALID</t>
  </si>
  <si>
    <t>000245</t>
  </si>
  <si>
    <t>6564032</t>
  </si>
  <si>
    <t>TORRES VERA,SEBASTIAN FABIAN</t>
  </si>
  <si>
    <t>000755</t>
  </si>
  <si>
    <t>22393045</t>
  </si>
  <si>
    <t>URDAY CHAUCAYANQUI , SIMA GUILLERMINA</t>
  </si>
  <si>
    <t>PACHAYZA-JOCHATA</t>
  </si>
  <si>
    <t>000258</t>
  </si>
  <si>
    <t>9092098</t>
  </si>
  <si>
    <t>USCAMAYTA DE CRUZ BETTY MODESTA</t>
  </si>
  <si>
    <t>000266</t>
  </si>
  <si>
    <t>6593682</t>
  </si>
  <si>
    <t>VERA CORIMANYA ,DANI JORDAN</t>
  </si>
  <si>
    <t>000757</t>
  </si>
  <si>
    <t>22393043</t>
  </si>
  <si>
    <t>VERA HUAMANI , NORMA FILOMENA</t>
  </si>
  <si>
    <t>000269</t>
  </si>
  <si>
    <t>6579594</t>
  </si>
  <si>
    <t>VERA HUAMANI NORBERTA CLAUDIANA</t>
  </si>
  <si>
    <t>000606</t>
  </si>
  <si>
    <t>19005343</t>
  </si>
  <si>
    <t>VERA MONTALVO, ROYLITH VIKI</t>
  </si>
  <si>
    <t>000270</t>
  </si>
  <si>
    <t>6590594</t>
  </si>
  <si>
    <t>VERA PALOMINO ,BERNABE FERNANDO</t>
  </si>
  <si>
    <t>000271</t>
  </si>
  <si>
    <t>6586894</t>
  </si>
  <si>
    <t>VERA PALOMINO,LESMES SAUL</t>
  </si>
  <si>
    <t>COPIAS</t>
  </si>
  <si>
    <t xml:space="preserve">       </t>
  </si>
  <si>
    <t>GRIFO DE AGUA</t>
  </si>
  <si>
    <t>INGRESOS MULTAS</t>
  </si>
  <si>
    <t>000533</t>
  </si>
  <si>
    <t>6593433</t>
  </si>
  <si>
    <t>ROMERO CHAUCAYANQUI JUSTO MARCELO</t>
  </si>
  <si>
    <t>000004</t>
  </si>
  <si>
    <t>6585597</t>
  </si>
  <si>
    <t xml:space="preserve">ANTACHOQUE VERA,JUAN JUSTO </t>
  </si>
  <si>
    <t>200039366</t>
  </si>
  <si>
    <t>000041</t>
  </si>
  <si>
    <t>6571820</t>
  </si>
  <si>
    <t xml:space="preserve">NAVINTA VDA DE  ANTACHOQUE,JULIA </t>
  </si>
  <si>
    <t>000278</t>
  </si>
  <si>
    <t>60062464</t>
  </si>
  <si>
    <t>ANTACHOQUE NAVINTA ,LETDY EVANIA</t>
  </si>
  <si>
    <t>000745</t>
  </si>
  <si>
    <t>23015477</t>
  </si>
  <si>
    <t>CARPIO VERA, BERLIN</t>
  </si>
  <si>
    <t>CL 28 DE JULIO S/N</t>
  </si>
  <si>
    <t>000295</t>
  </si>
  <si>
    <t>6590154</t>
  </si>
  <si>
    <t>CASTRO HUAMANI ,LEONCIO</t>
  </si>
  <si>
    <t>CASTRO USCAMAITA ,REGINA</t>
  </si>
  <si>
    <t>000310</t>
  </si>
  <si>
    <t>60061372</t>
  </si>
  <si>
    <t>CHAUCAYANQUI MANCILLA ,WALTER EFRAIN</t>
  </si>
  <si>
    <t>000718</t>
  </si>
  <si>
    <t>22392657</t>
  </si>
  <si>
    <t>CHAVEZ HUAMANI, JESSICA DORIS</t>
  </si>
  <si>
    <t>000694</t>
  </si>
  <si>
    <t>21130885</t>
  </si>
  <si>
    <t>CHAVEZ TORRES CASTOR MILTON</t>
  </si>
  <si>
    <t>000315</t>
  </si>
  <si>
    <t>60061411</t>
  </si>
  <si>
    <t>CHAVEZ USCAMAYTA ,JUANA JULIA</t>
  </si>
  <si>
    <t>000317</t>
  </si>
  <si>
    <t>60062519</t>
  </si>
  <si>
    <t>CHUQUIYANQUI ALFARO ,JORGE LUIS</t>
  </si>
  <si>
    <t>000322</t>
  </si>
  <si>
    <t>60061422</t>
  </si>
  <si>
    <t>CHUQUIYANQUI DURAN ,NATTY LUZ</t>
  </si>
  <si>
    <t>000330</t>
  </si>
  <si>
    <t>6577356</t>
  </si>
  <si>
    <t>000751</t>
  </si>
  <si>
    <t>240000341</t>
  </si>
  <si>
    <t>COMITE DE REGANTES CC ISPACAS</t>
  </si>
  <si>
    <t>000758</t>
  </si>
  <si>
    <t>22393042</t>
  </si>
  <si>
    <t>GUTIERREZ CHALCO , NERY</t>
  </si>
  <si>
    <t>000360</t>
  </si>
  <si>
    <t>60062087</t>
  </si>
  <si>
    <t>HUAMANI ALLCA ,DEMETRIO LORENZO SIMON</t>
  </si>
  <si>
    <t>000364</t>
  </si>
  <si>
    <t>60061367</t>
  </si>
  <si>
    <t>HUAMANI CHALCO ,GABRIEL JUAN</t>
  </si>
  <si>
    <t>000368</t>
  </si>
  <si>
    <t>6590207</t>
  </si>
  <si>
    <t>HUAMANI COA ,ANDRES PEDRO</t>
  </si>
  <si>
    <t>000449</t>
  </si>
  <si>
    <t>6579985</t>
  </si>
  <si>
    <t>HUAMANI DE QUISPE NERY</t>
  </si>
  <si>
    <t>000378</t>
  </si>
  <si>
    <t>60062076</t>
  </si>
  <si>
    <t>HUAMANI MONTALVO ,BERTHA PAULINA</t>
  </si>
  <si>
    <t>000388</t>
  </si>
  <si>
    <t>6562293</t>
  </si>
  <si>
    <t>HUAMANI URDAY ,JORGE ISRAEL</t>
  </si>
  <si>
    <t>000582</t>
  </si>
  <si>
    <t>61319041</t>
  </si>
  <si>
    <t>I.E.I. DIVINO NIÑO JESUS CUYO CUYO</t>
  </si>
  <si>
    <t>CALLE, CUYO CUYO S/N</t>
  </si>
  <si>
    <t>000692</t>
  </si>
  <si>
    <t>23013262</t>
  </si>
  <si>
    <t xml:space="preserve">LOPEZ NAVINTA, MARTHA </t>
  </si>
  <si>
    <t>000759</t>
  </si>
  <si>
    <t>22392840</t>
  </si>
  <si>
    <t>LOPEZ RAMIREZ , JULIA FELICIANA</t>
  </si>
  <si>
    <t>000556</t>
  </si>
  <si>
    <t>9090261</t>
  </si>
  <si>
    <t>LUQUE ARUTAYPE ,VICENTINA ANASTACIA</t>
  </si>
  <si>
    <t>000407</t>
  </si>
  <si>
    <t>6588729</t>
  </si>
  <si>
    <t>MANCILLA CHALCO DE RAMIREZ ,CELESTINA PRUDENCIA</t>
  </si>
  <si>
    <t>000411</t>
  </si>
  <si>
    <t>220017520</t>
  </si>
  <si>
    <t>MANSILLA NAVINTA ,EUSEBIA JUANA</t>
  </si>
  <si>
    <t>000587</t>
  </si>
  <si>
    <t>NAVINTA CORIMANYA, YANED ELIDA</t>
  </si>
  <si>
    <t>000434</t>
  </si>
  <si>
    <t>6590514</t>
  </si>
  <si>
    <t>NEIRA DE TORRES ,IGNACIA CELIA</t>
  </si>
  <si>
    <t>000443</t>
  </si>
  <si>
    <t>6574504</t>
  </si>
  <si>
    <t>000444</t>
  </si>
  <si>
    <t>6562243</t>
  </si>
  <si>
    <t>000726</t>
  </si>
  <si>
    <t>21000873</t>
  </si>
  <si>
    <t>QUISPE USCAMAYTA, ZILPA LEVI</t>
  </si>
  <si>
    <t>CALLE JUAN USCMAYTA S/N</t>
  </si>
  <si>
    <t>000453</t>
  </si>
  <si>
    <t>60061357</t>
  </si>
  <si>
    <t>RAMIREZ CHAUCAYANQUI ,SILVIO HUILE</t>
  </si>
  <si>
    <t>000472</t>
  </si>
  <si>
    <t>60062488</t>
  </si>
  <si>
    <t>SIVINCHA TORRES ,TOMAS PERICO</t>
  </si>
  <si>
    <t>000485</t>
  </si>
  <si>
    <t>60061355</t>
  </si>
  <si>
    <t>TORRES GONZALES ,OSBAL JESUS</t>
  </si>
  <si>
    <t>000306</t>
  </si>
  <si>
    <t>60062450</t>
  </si>
  <si>
    <t>TORRES LOPEZ ELVIRA, PAULA</t>
  </si>
  <si>
    <t>TORRES USCAMAYTA , EUDOCIA ROSARIO</t>
  </si>
  <si>
    <t>000497</t>
  </si>
  <si>
    <t>60062070</t>
  </si>
  <si>
    <t>USCAMAITA CHALCO ,JOSELIN MARGOT</t>
  </si>
  <si>
    <t>000503</t>
  </si>
  <si>
    <t>60062058</t>
  </si>
  <si>
    <t>USCAMAITA VERA ,CLEMENCIA QUINTINA</t>
  </si>
  <si>
    <t>000504</t>
  </si>
  <si>
    <t>6577414</t>
  </si>
  <si>
    <t>000650</t>
  </si>
  <si>
    <t>200011840</t>
  </si>
  <si>
    <t>USCAMAYTA CORIMANYA ISABEL</t>
  </si>
  <si>
    <t>000588</t>
  </si>
  <si>
    <t>19002263</t>
  </si>
  <si>
    <t>USCAMAYTA, YESICA SOLEDAD</t>
  </si>
  <si>
    <t>CALLLE, JUAN USCAMAYTA S/N.</t>
  </si>
  <si>
    <t>000715</t>
  </si>
  <si>
    <t>22392664</t>
  </si>
  <si>
    <t>VALDIVIA NEIRA FILOMENA MERY</t>
  </si>
  <si>
    <t>000519</t>
  </si>
  <si>
    <t>6581163</t>
  </si>
  <si>
    <t>VERA PALOMINO ,REMIGIO MANUEL</t>
  </si>
  <si>
    <t>000711</t>
  </si>
  <si>
    <t>220017580</t>
  </si>
  <si>
    <t>SANCHEZ GONZALES LOURDES</t>
  </si>
  <si>
    <t>000092</t>
  </si>
  <si>
    <t>21003057</t>
  </si>
  <si>
    <t>ANTACHOQUE ANCO, YULY INES</t>
  </si>
  <si>
    <t>000550</t>
  </si>
  <si>
    <t>9090322</t>
  </si>
  <si>
    <t>ARUTAYPE TORRES TERESITA DE JESUS</t>
  </si>
  <si>
    <t>000102</t>
  </si>
  <si>
    <t>6584514</t>
  </si>
  <si>
    <t>CASTRO CORIMANYA,ESTANISLAO FLAVIO</t>
  </si>
  <si>
    <t>000104</t>
  </si>
  <si>
    <t>6579755</t>
  </si>
  <si>
    <t>CHACONDORI ANTACHOQUE,MARITZA</t>
  </si>
  <si>
    <t>000105</t>
  </si>
  <si>
    <t>6564196</t>
  </si>
  <si>
    <t>CHALCO COA, JUAN CARLOS</t>
  </si>
  <si>
    <t>000107</t>
  </si>
  <si>
    <t>220014924</t>
  </si>
  <si>
    <t>CHALCO MANSILLA, OLGER</t>
  </si>
  <si>
    <t>000116</t>
  </si>
  <si>
    <t>220017305</t>
  </si>
  <si>
    <t>CHAVEZ ARUTAYPE ,SEGUNDO</t>
  </si>
  <si>
    <t>000118</t>
  </si>
  <si>
    <t>6579463</t>
  </si>
  <si>
    <t>CHAVEZ USCAMAYTA, JUANA JULIA</t>
  </si>
  <si>
    <t>000760</t>
  </si>
  <si>
    <t>22392839</t>
  </si>
  <si>
    <t>CHUQUIYANQUI ALFARO , NILTON</t>
  </si>
  <si>
    <t>000121</t>
  </si>
  <si>
    <t>6578511</t>
  </si>
  <si>
    <t>CHUQUIYANQUI HUAMANI, FROILAN E.</t>
  </si>
  <si>
    <t>000122</t>
  </si>
  <si>
    <t>6563967</t>
  </si>
  <si>
    <t>CHUQUIYANQUI LUQUE ,FRANCISCA</t>
  </si>
  <si>
    <t>000128</t>
  </si>
  <si>
    <t>6571035</t>
  </si>
  <si>
    <t>COA HUAHUACONDO ,JUAN CARLOS</t>
  </si>
  <si>
    <t>000736</t>
  </si>
  <si>
    <t>220017501</t>
  </si>
  <si>
    <t>COA TORRES, FANNY CINTIA</t>
  </si>
  <si>
    <t>PARTE ALTA- SECTOR CHUNACATA</t>
  </si>
  <si>
    <t>000134</t>
  </si>
  <si>
    <t>6564307</t>
  </si>
  <si>
    <t>CORIMANYA HUAMANI REYNA PINA</t>
  </si>
  <si>
    <t>000140</t>
  </si>
  <si>
    <t>200002893</t>
  </si>
  <si>
    <t>000593</t>
  </si>
  <si>
    <t>23013261</t>
  </si>
  <si>
    <t>GUILLEN MAMANI, RUTH MARINA</t>
  </si>
  <si>
    <t>000148</t>
  </si>
  <si>
    <t>21000870</t>
  </si>
  <si>
    <t>000149</t>
  </si>
  <si>
    <t>6587898</t>
  </si>
  <si>
    <t>HUAMANI CORIMANYA, ANYELA MARIA</t>
  </si>
  <si>
    <t>000628</t>
  </si>
  <si>
    <t>2004080</t>
  </si>
  <si>
    <t>000155</t>
  </si>
  <si>
    <t>6573826</t>
  </si>
  <si>
    <t>HUAMANI HUAMANI ,LUCRECIA WANDA</t>
  </si>
  <si>
    <t>000674</t>
  </si>
  <si>
    <t>200002894</t>
  </si>
  <si>
    <t>HUAMANI PALOMINO RUS ERIKA</t>
  </si>
  <si>
    <t>000162</t>
  </si>
  <si>
    <t>6585734</t>
  </si>
  <si>
    <t>HUAMANI URDAY ,PAULINA</t>
  </si>
  <si>
    <t>000649</t>
  </si>
  <si>
    <t>200002881</t>
  </si>
  <si>
    <t>HUAMANI URDAY GREGORIO MELITON</t>
  </si>
  <si>
    <t>000163</t>
  </si>
  <si>
    <t>6659580</t>
  </si>
  <si>
    <t>HUAMANI URDAY, MARIA FELIPA</t>
  </si>
  <si>
    <t>000171</t>
  </si>
  <si>
    <t>6585525</t>
  </si>
  <si>
    <t>I.E. ANDRES AVELINO CACERES</t>
  </si>
  <si>
    <t>000172</t>
  </si>
  <si>
    <t>6578765</t>
  </si>
  <si>
    <t>SECTOR PACHAYZA-PARTE ALTA</t>
  </si>
  <si>
    <t>000179</t>
  </si>
  <si>
    <t>220017570</t>
  </si>
  <si>
    <t>MANSILLA NEYRA ,ASILA</t>
  </si>
  <si>
    <t>22393044</t>
  </si>
  <si>
    <t>MONTALVO HUAMANI, TONY KERVER. .</t>
  </si>
  <si>
    <t>000673</t>
  </si>
  <si>
    <t>21003041</t>
  </si>
  <si>
    <t>MONTALVO VERA ANA CECILIA</t>
  </si>
  <si>
    <t>000618</t>
  </si>
  <si>
    <t>21130883</t>
  </si>
  <si>
    <t>MONTALVO VERA LINDA YOVITA</t>
  </si>
  <si>
    <t>000194</t>
  </si>
  <si>
    <t>6579692</t>
  </si>
  <si>
    <t>MONTALVO, GUILLERMINA DOMITILA</t>
  </si>
  <si>
    <t>000204</t>
  </si>
  <si>
    <t>6585730</t>
  </si>
  <si>
    <t>PALOMINO HUAMANI VIUDA DE HUAMANI JUANA</t>
  </si>
  <si>
    <t>000218</t>
  </si>
  <si>
    <t>6586799</t>
  </si>
  <si>
    <t>RAMIREZ MONTALVO ,DELIA EDITH</t>
  </si>
  <si>
    <t>000222</t>
  </si>
  <si>
    <t>6590896</t>
  </si>
  <si>
    <t>RIVERA PARQUE ,ANGEL RAUL</t>
  </si>
  <si>
    <t>000603</t>
  </si>
  <si>
    <t>19012705</t>
  </si>
  <si>
    <t>TORRES CHALCO THALIA LISZETH</t>
  </si>
  <si>
    <t>000267</t>
  </si>
  <si>
    <t>6589974</t>
  </si>
  <si>
    <t>TORRES DE VERA MATILDE</t>
  </si>
  <si>
    <t>000610</t>
  </si>
  <si>
    <t>2003606</t>
  </si>
  <si>
    <t>TORRES HUAMANI ROLIN</t>
  </si>
  <si>
    <t>000231</t>
  </si>
  <si>
    <t>6593591</t>
  </si>
  <si>
    <t>TORRES HUASHUAYO ,ALEJANDRO NESTOR</t>
  </si>
  <si>
    <t>000232</t>
  </si>
  <si>
    <t>6593594</t>
  </si>
  <si>
    <t>TORRES HUASHUAYO ,JAMES BENEDICTO</t>
  </si>
  <si>
    <t>000170</t>
  </si>
  <si>
    <t>6593588</t>
  </si>
  <si>
    <t>TORRES HUASHUAYO JAMES BENEDICTO</t>
  </si>
  <si>
    <t>000131</t>
  </si>
  <si>
    <t>6564295</t>
  </si>
  <si>
    <t>TORRES HUASHUAYO JUANA BAUTISTA</t>
  </si>
  <si>
    <t>000235</t>
  </si>
  <si>
    <t>18052547</t>
  </si>
  <si>
    <t>TORRES HUASHUAYO, MARIA MAGDALENA</t>
  </si>
  <si>
    <t>000713</t>
  </si>
  <si>
    <t>220017567</t>
  </si>
  <si>
    <t>TORRES USCAMAYTA HECTOR</t>
  </si>
  <si>
    <t>22392842</t>
  </si>
  <si>
    <t>000253</t>
  </si>
  <si>
    <t>6587960</t>
  </si>
  <si>
    <t>URDAY CONDO, WILIAN</t>
  </si>
  <si>
    <t>000665</t>
  </si>
  <si>
    <t>200011832</t>
  </si>
  <si>
    <t>VERA ALLCA NIEVES MARIA</t>
  </si>
  <si>
    <t>VERA PALOMINO, REMIGIO</t>
  </si>
  <si>
    <t>000740</t>
  </si>
  <si>
    <t>23022182</t>
  </si>
  <si>
    <t>VERA SIVINCHA, ANDRES PEDRO</t>
  </si>
  <si>
    <t>INGRESO GRIFO DE AGUA</t>
  </si>
  <si>
    <t xml:space="preserve">                  </t>
  </si>
  <si>
    <t>000762</t>
  </si>
  <si>
    <t>22392844</t>
  </si>
  <si>
    <t>LYNDA KEYVI , USCAMAYTA CHALCO</t>
  </si>
  <si>
    <t>CARRETERA PRINCIPAL S/N</t>
  </si>
  <si>
    <t>22392843</t>
  </si>
  <si>
    <t>000761</t>
  </si>
  <si>
    <t>22392838</t>
  </si>
  <si>
    <t>MENESES ANTACHOQUE , DAMARIS THAID</t>
  </si>
  <si>
    <t>JARACHINE</t>
  </si>
  <si>
    <t>CAJA DE</t>
  </si>
  <si>
    <t>200005307</t>
  </si>
  <si>
    <t>ESCOBAR DE CASQUINO ROSAA</t>
  </si>
  <si>
    <t>22392841</t>
  </si>
  <si>
    <t>CALLA HUARSAYA ,LUIS</t>
  </si>
  <si>
    <t>FAIJO SURCO , SANDRA</t>
  </si>
  <si>
    <t>22392837</t>
  </si>
  <si>
    <t>190005356</t>
  </si>
  <si>
    <t>VEGA HUAMANI , LORENZA</t>
  </si>
  <si>
    <t xml:space="preserve">DESCRIPCIÓN </t>
  </si>
  <si>
    <t>000765</t>
  </si>
  <si>
    <t>22393039</t>
  </si>
  <si>
    <t>HUAMANI HUAMANI, SILVIA GLADYS</t>
  </si>
  <si>
    <t>PASAJE VIRGEN DE LAS NIEVES</t>
  </si>
  <si>
    <t>000764</t>
  </si>
  <si>
    <t>22392845</t>
  </si>
  <si>
    <t>PALOMINO MANSILLA ,  JULIANA VICTORIA</t>
  </si>
  <si>
    <t>PACHAYZA PARTE ALTA S/N</t>
  </si>
  <si>
    <t xml:space="preserve">                </t>
  </si>
  <si>
    <t>TOTAL  DE EGRESOS</t>
  </si>
  <si>
    <t>MOVILIDAD PETAR</t>
  </si>
  <si>
    <t>COMPRA DE MATERIALES  2024</t>
  </si>
  <si>
    <t>N°</t>
  </si>
  <si>
    <t>USUARIOS EN CORTE</t>
  </si>
  <si>
    <t>CONEXIÓN</t>
  </si>
  <si>
    <t>DIRECCIÓN</t>
  </si>
  <si>
    <t>CONSTRUCCION MES DE ENERO</t>
  </si>
  <si>
    <t>CONSTRUCCIÓN ENERO, FEBRERO,MARZO</t>
  </si>
  <si>
    <t>CALLE VIRGEN DE LAS NIEVES.</t>
  </si>
  <si>
    <t>RESP.</t>
  </si>
  <si>
    <t>JAMES</t>
  </si>
  <si>
    <t>MEDIDOR ENTERRADO</t>
  </si>
  <si>
    <t>CAMBIAR MEDIDOR</t>
  </si>
  <si>
    <t>USUARIOS FALTA FIRMAR Y ENTREGAR CONTRATO DE INSTALACIÓN DE AGUA Y DESAGUE</t>
  </si>
  <si>
    <t>CHEC</t>
  </si>
  <si>
    <t>FALTA FIRMAR POR EL TITULAR Y LUIS, ENTREGAR.</t>
  </si>
  <si>
    <t>PREGUNTAR A LUIS,POR QUE FALTA CONTRATO.</t>
  </si>
  <si>
    <t>…...</t>
  </si>
  <si>
    <t>SILVIA GLADYS HUAMANI HUAMANI</t>
  </si>
  <si>
    <t>FALTA FIRMARPOR EL TITULAR Y ENTREGAR.</t>
  </si>
  <si>
    <t>FALTA FIRMAR POR EL TITULAR Y ENTREGAR</t>
  </si>
  <si>
    <t>FALTA FIRMAR CONTRATO DE DESAGUE Y ENTREGAR</t>
  </si>
  <si>
    <t>CARMEN QUISPE ALLCA.</t>
  </si>
  <si>
    <t>rellenar</t>
  </si>
  <si>
    <t>000768</t>
  </si>
  <si>
    <t>22392764</t>
  </si>
  <si>
    <t>000771</t>
  </si>
  <si>
    <t>23020875</t>
  </si>
  <si>
    <t>SILLOCA HUAMANI, MARLENI ELIANA</t>
  </si>
  <si>
    <t>TORRES CABRERA, ROSMEL VICTOR</t>
  </si>
  <si>
    <t>000770</t>
  </si>
  <si>
    <t>22393000</t>
  </si>
  <si>
    <t>000769</t>
  </si>
  <si>
    <t>22393005</t>
  </si>
  <si>
    <t>CORTES ZURITA, JUAN FRANSISCO</t>
  </si>
  <si>
    <t>USCAMAYTA HUAMANI, JUAN ADAN</t>
  </si>
  <si>
    <t>HUAMANI TORRES, CORINA VALERIANA</t>
  </si>
  <si>
    <t>000766</t>
  </si>
  <si>
    <t>22392758</t>
  </si>
  <si>
    <t>000772</t>
  </si>
  <si>
    <t>22260480</t>
  </si>
  <si>
    <t>000767</t>
  </si>
  <si>
    <t>22393003</t>
  </si>
  <si>
    <t>000773</t>
  </si>
  <si>
    <t>22392997</t>
  </si>
  <si>
    <t>CHAUCAYANQUI URDAY, JORGE LUIS</t>
  </si>
  <si>
    <t>HUAMANI CORIMANYA ANYELA</t>
  </si>
  <si>
    <t>NAVINTA ALFARO, PILAR AMERICA</t>
  </si>
  <si>
    <t>PACHAYZA - PUCRO</t>
  </si>
  <si>
    <t>CONSTRUCCION MES  SOLO ENERO, SOLO JUNIO.</t>
  </si>
  <si>
    <t>CONSTRUCCION</t>
  </si>
  <si>
    <t>CONSTRUCCIÓN JULIO, AGOSTO</t>
  </si>
  <si>
    <t>CONSTRUCCIÓN MES DE JUNIO.</t>
  </si>
  <si>
    <t>ENTERRADO</t>
  </si>
  <si>
    <t>USUARIOS CON MEDIDORES ENTERRADOS, SEGUIMIENTO, MALOGRADOS, LIMPIAR MEDIDOR,CAMBIO DE MEDIDOR</t>
  </si>
  <si>
    <t>MEDIDOR ENTERRADO-LIMPIAR</t>
  </si>
  <si>
    <t>CONTRATO DE AGUA Y DESAGUE, ENTREGAR Y FIRMAR</t>
  </si>
  <si>
    <t>PILAR AMERICA NAVINTA ALFARO</t>
  </si>
  <si>
    <t>AWINTA S/N</t>
  </si>
  <si>
    <t>MEDIDOR DENTRO, CAMBIAR DE LUGAR</t>
  </si>
  <si>
    <t xml:space="preserve">CONSTRUCIÓN SETIEMBRE </t>
  </si>
  <si>
    <t>MEDIDOR ENTERRADO(SIEMPRE)</t>
  </si>
  <si>
    <t>CAMBIO DE MEDIDOR(MEDIDOR ENTERRADO)</t>
  </si>
  <si>
    <t xml:space="preserve">ENTERRADO(SIEMPRE),CAMBIO DE LUGAR MEDIDOR </t>
  </si>
  <si>
    <t>MEDIDOR ENTERRADO(LEVANTAR MEDIDOR PARA QUE SE PUEDA LECTURAR)</t>
  </si>
  <si>
    <t>REGISTRO DE DESAGUE MALOGRADO</t>
  </si>
  <si>
    <t>000774</t>
  </si>
  <si>
    <t>21090242</t>
  </si>
  <si>
    <t>000779</t>
  </si>
  <si>
    <t>20209138</t>
  </si>
  <si>
    <t>ESCOBAR CORIMANYA, VICENTE PAUL</t>
  </si>
  <si>
    <t>NEYRA SIVINCHA, NORMA YSABEL</t>
  </si>
  <si>
    <t>000778</t>
  </si>
  <si>
    <t>21133468</t>
  </si>
  <si>
    <t>000776</t>
  </si>
  <si>
    <t>21146464</t>
  </si>
  <si>
    <t>000775</t>
  </si>
  <si>
    <t>21140812</t>
  </si>
  <si>
    <t>000777</t>
  </si>
  <si>
    <t>21008360</t>
  </si>
  <si>
    <t>ARUTAYPE USCAMAYTA, ELIDA MAGALI</t>
  </si>
  <si>
    <t>HUAMANI CHAVEZ, NOHELIA GUISSEL</t>
  </si>
  <si>
    <t>MONTALVO DE CHAVEZ, JESUS LEONOR</t>
  </si>
  <si>
    <t>FALTA FIRMAR  POR EL TITULAR  Y ENTREGAR.</t>
  </si>
  <si>
    <t>TORRES VERA, LIBIA MARLENY</t>
  </si>
  <si>
    <t>FALTA SUBSANAR Y FIRMAR POR EL PRESIDENTE</t>
  </si>
  <si>
    <t xml:space="preserve">    </t>
  </si>
  <si>
    <t xml:space="preserve">  </t>
  </si>
  <si>
    <t>21133410</t>
  </si>
  <si>
    <t>6581491</t>
  </si>
  <si>
    <t>000781</t>
  </si>
  <si>
    <t>21086217</t>
  </si>
  <si>
    <t>000780</t>
  </si>
  <si>
    <t>22392865</t>
  </si>
  <si>
    <t>NEIRA USCAMAYTA, BEGONIA GABRIELA</t>
  </si>
  <si>
    <t>PACHAYZA - PUCRO S/N</t>
  </si>
  <si>
    <t>ROMERO ESCOBAR INGRID MAITE</t>
  </si>
  <si>
    <t>SECTOR PACHAYZA - AWINTA S/N</t>
  </si>
  <si>
    <t>INGRESO X COBRO DE RECIBOS DICIEMBRE 2025</t>
  </si>
  <si>
    <t>000783</t>
  </si>
  <si>
    <t>20386248</t>
  </si>
  <si>
    <t>000793</t>
  </si>
  <si>
    <t>21133489</t>
  </si>
  <si>
    <t>000787</t>
  </si>
  <si>
    <t>21089863</t>
  </si>
  <si>
    <t>000786</t>
  </si>
  <si>
    <t>21146265</t>
  </si>
  <si>
    <t>CASTRO USCAMAYTA MARCELINO RICARDO</t>
  </si>
  <si>
    <t>HUAMANI ÁLVAREZ,FLOR BLANCA</t>
  </si>
  <si>
    <t>CHAUPI S/N</t>
  </si>
  <si>
    <t>TORRES HUAMANI,ANGELA EMILY</t>
  </si>
  <si>
    <t>000784</t>
  </si>
  <si>
    <t>21133484</t>
  </si>
  <si>
    <t>SANCHEZ GONZALES ANITA</t>
  </si>
  <si>
    <t>000788</t>
  </si>
  <si>
    <t>21133041</t>
  </si>
  <si>
    <t>000790</t>
  </si>
  <si>
    <t>22393002</t>
  </si>
  <si>
    <t>000785</t>
  </si>
  <si>
    <t>21090791</t>
  </si>
  <si>
    <t>000789</t>
  </si>
  <si>
    <t>22392999</t>
  </si>
  <si>
    <t>20520454</t>
  </si>
  <si>
    <t>000782</t>
  </si>
  <si>
    <t>22392863</t>
  </si>
  <si>
    <t>000792</t>
  </si>
  <si>
    <t>21133419</t>
  </si>
  <si>
    <t>ANCO RAMOS,SONIA ROXANA</t>
  </si>
  <si>
    <t>PACHAYZA-PUCRO S/N</t>
  </si>
  <si>
    <t>PARTE BAJA - SECTOR HUAYCHA S/N</t>
  </si>
  <si>
    <t>COA CORIMANYA,MELISA RUSS</t>
  </si>
  <si>
    <t>PAMPA S/N</t>
  </si>
  <si>
    <t>NEYRA ESCOBAR,VICTOR HUGO</t>
  </si>
  <si>
    <t>NEYRA RAMIREZ,WASHINTON LUIGI</t>
  </si>
  <si>
    <t>PARTE BAJA - SECTOR TARAPATA</t>
  </si>
  <si>
    <t>VERA,BASILIA</t>
  </si>
  <si>
    <t>CONSTRUCCION SET-OCTUBRE</t>
  </si>
  <si>
    <t>COSTRUCCIÓN SETIEMBRE OCTUBRE</t>
  </si>
  <si>
    <t>CONSTRUCCIÓN MES DE JUNIO - JULIO</t>
  </si>
  <si>
    <t>CONSTRUCCION MES DE OCTUBRE,NOVIEMBRE</t>
  </si>
  <si>
    <t xml:space="preserve"> CONSTRUCCIÓN MES DE ABRIL,MAYO</t>
  </si>
  <si>
    <t>CONSTRUCCIÓN MES DE OCTUBRE</t>
  </si>
  <si>
    <t xml:space="preserve"> CONSTRUCCIÓN MES DE ABRIL</t>
  </si>
  <si>
    <t>CONSTRUCCIÓN AGOST</t>
  </si>
  <si>
    <t>CONSTRUCCIÓN  MES DE OCTUBRE</t>
  </si>
  <si>
    <t>CONSTRUCCIÓN MES DE NOVIEMBRE</t>
  </si>
  <si>
    <t xml:space="preserve"> CONSTRUCCIÓN. JUNIO</t>
  </si>
  <si>
    <t>CONSTRUCCION NOVIEMBRE</t>
  </si>
  <si>
    <t>CONSTRUCCIÓN JULIO AGOSTO</t>
  </si>
  <si>
    <t>CONSTRUCCIÓN SETIEMBRE OCTUBRE</t>
  </si>
  <si>
    <t>CONSTRUCCIÓN MES DE ENERO</t>
  </si>
  <si>
    <t>CONSTRUCCIÓN SETIEMBRE OCTUBRE NOVIEMBRE</t>
  </si>
  <si>
    <t>CONSTRUCCIÓN MES DE  SETIEMBRE</t>
  </si>
  <si>
    <t>CONSTRUCCIÓN MES DE MARZO - NOVIEMBRE</t>
  </si>
  <si>
    <t>CONSTRUCCIÓN MES DE MARZO</t>
  </si>
  <si>
    <t>CONSTRUCCION MES DE OCTUBRE</t>
  </si>
  <si>
    <t>CONSTRUCCION MES DE NOVIEMBRE</t>
  </si>
  <si>
    <t>CONSTRUCCIÓN MES DE OCTUBRE NOVIEMBRE</t>
  </si>
  <si>
    <t>CONSTRUCCIÓN AGOSTO</t>
  </si>
  <si>
    <t>CONSTRUCCIÓN OCTUBRE</t>
  </si>
  <si>
    <t>OCT-NOV-DIC S/78.50 CORTE</t>
  </si>
  <si>
    <t>OCT-NOV-DIC S/21.00 CORTE</t>
  </si>
  <si>
    <t>SET-OCT-NOV-DIC S/20.00 CORTE</t>
  </si>
  <si>
    <t>OCT-NOV-DIC S/65.50 CORTE</t>
  </si>
  <si>
    <t>OCT-NOV-DIC S/34.50 CORTE</t>
  </si>
  <si>
    <t>OCT-NOV-DIC S/31.00 CORTE</t>
  </si>
  <si>
    <t>OCT-NOV-DIC S/15.00 CORTE</t>
  </si>
  <si>
    <t>SET-OCT-NOV-DIC S/ 132.00 CORTE</t>
  </si>
  <si>
    <t>OCT-NOV-DIC S/114.50 CORTE</t>
  </si>
  <si>
    <t>JUL-AGST-SET-OCT-NOV-DIC S/30 CORTE</t>
  </si>
  <si>
    <t>OCT-NOV-DIC S/68.50 CORTE</t>
  </si>
  <si>
    <t>OCT-NOV-DIC S/35.50 CORTE</t>
  </si>
  <si>
    <t>JUN-JUL-AGST-SET-OCT-NOV-DIC S/454.50</t>
  </si>
  <si>
    <t>MARZ-ABR-MAY-JUN-JUL-AGST-SET-OCT-NOV-DIC S/50 CORTE</t>
  </si>
  <si>
    <t>SET-OCT-NOV-DIC S/88.00 CORTE</t>
  </si>
  <si>
    <t>OCT-NOV-DIC S/16.00 CORTE</t>
  </si>
  <si>
    <t>SET-OCT-NOV-DIC S/73.00 CORTE</t>
  </si>
  <si>
    <t>SET-OCT-NOV-DIC S/137.00 CORTE</t>
  </si>
  <si>
    <t>MAY-JUN-JUL-AGST-SET-OCT-NOV-DIC S/40</t>
  </si>
  <si>
    <t>SET-OCT-NOV-DIC S/575.00 CORTE</t>
  </si>
  <si>
    <t>SET-OCT-NOV-DIC S/41.00 CORTE</t>
  </si>
  <si>
    <t>JUL-AGST-SET-OCT-NOV-DIC S/45.00 CORTE</t>
  </si>
  <si>
    <t>OCT-NOV-DIC S/84.50 CORTE</t>
  </si>
  <si>
    <t>AGST-SET-OCT-NOV-DIC S/54.50 CORTE</t>
  </si>
  <si>
    <t>OCT-NOV-DIC S/36.50 CORTE</t>
  </si>
  <si>
    <t>OCT-NOV-DIC S/43.00 CORTE</t>
  </si>
  <si>
    <t>MRZ-ABR-MAY-JUN-JUL-AGST-SET-OCT-NOV-DIC S/50 CORTE</t>
  </si>
  <si>
    <t>SET-OCT-NOV-DIC S/79.00 CORTE</t>
  </si>
  <si>
    <t>OCT-NOV-DIC S/132.00 CORTE</t>
  </si>
  <si>
    <t>OCT-NOV-DIC S/133.00 CORTE</t>
  </si>
  <si>
    <t>OCT-NOV-DIC S/16.50 CORTE</t>
  </si>
  <si>
    <t>AGST-SET-OCT-NOV-DIC S/25.00 CORTE</t>
  </si>
  <si>
    <t>OCT-NOV-DIC S/58.50 CORTE</t>
  </si>
  <si>
    <t>AGST-SET-OCT-NOV-DIC S/122.50 CORTE</t>
  </si>
  <si>
    <t>OCT-NOV-DIC S/128.50 CORTE</t>
  </si>
  <si>
    <t>SET-OCT-NOV-DIC S/81.00 CORTE</t>
  </si>
  <si>
    <t>SET-OCT-NOV-DIC S/168.00 CORTE</t>
  </si>
  <si>
    <t>SET-OCT-NOV-DIC S/49.50 CORTE</t>
  </si>
  <si>
    <t>SET-OCT-NOV-DIC S/30.50 CORTE</t>
  </si>
  <si>
    <t>SET-OCT-NOV-DIC S/89.00 CORTE</t>
  </si>
  <si>
    <t>OCT-NOV-DIC S/172.50 CORTE</t>
  </si>
  <si>
    <t>12 MESES ENERO- DICIEMBRE S/85.00 CORTE</t>
  </si>
  <si>
    <t>OCT-NOV-DIC S/50.50 CORTE</t>
  </si>
  <si>
    <t>OCT-NOV-DIC S/103.50 CORTE</t>
  </si>
  <si>
    <t>SET-OCT-NOV-DIC S/46.50 CORTE</t>
  </si>
  <si>
    <t>OCT-NOV-DIC S/38.50 CORTE</t>
  </si>
  <si>
    <t>OCT-NOV-DIC S/51.50 CORTE</t>
  </si>
  <si>
    <t>OCT-NOV-DIC S/28.50 CORTE</t>
  </si>
  <si>
    <t>SET-OCT-NOV-DIC S/181.00 CORTE</t>
  </si>
  <si>
    <t>OCT-NOV-DIC S/43.50 CORTE</t>
  </si>
  <si>
    <t>OCT-NOV-DIC S/76.00 CORTE</t>
  </si>
  <si>
    <t>OCT-NOV-DIC S/331.50 CORTE</t>
  </si>
  <si>
    <t>OCT-NOV-DIC S/101.50 CORTE</t>
  </si>
  <si>
    <t>SET-OCT-NOV-DIC S/45.00 CORTE</t>
  </si>
  <si>
    <t>AGST-SET-OCT-NOV-DIC S/26.50 CORTE</t>
  </si>
  <si>
    <t>OCT-NOV-DIC S/18.50 CORTE</t>
  </si>
  <si>
    <t>OCT-NOV-DIC S/42.50 CORTE</t>
  </si>
  <si>
    <t>DEUDA 2021-2025 S/300.00 CORTE</t>
  </si>
  <si>
    <t>OCT-NOV-DIC S/48.50 CORTE</t>
  </si>
  <si>
    <t>OCT-NOV-DIC S/45.50 CORTE</t>
  </si>
  <si>
    <t>SET-OCT-NOV-DIC S/39.50 CORTE</t>
  </si>
  <si>
    <t>OCT-NOV-DIC S/73.50 CORTE</t>
  </si>
  <si>
    <t>OCT-NOV-DIC S/195.50 CORTE</t>
  </si>
  <si>
    <t>OCT-NOV-DIC S/1054.00 MEDIDOR MALOGRADO</t>
  </si>
  <si>
    <t>OCT-NOV-DIC S/83.50 CORTE</t>
  </si>
  <si>
    <t>CORTE</t>
  </si>
  <si>
    <t xml:space="preserve">USUARIOS EN CONSTRUCCIÓN POR USO DE AGUA </t>
  </si>
  <si>
    <t xml:space="preserve">ENTERRADO </t>
  </si>
  <si>
    <t>INGRESOS POR GRIFO DE AGUA  (JUNIO 2026)</t>
  </si>
  <si>
    <t>INGRESOS X VENTA DE ACCESORIOS Y TUBERIAS JUNIO 2026</t>
  </si>
  <si>
    <t>INGRESOS MULTAS JUNIO 2026</t>
  </si>
  <si>
    <t>EGRESOS DEL MES  DE JUNIO 2026</t>
  </si>
  <si>
    <t>EGRESOS DE MOVILIDAD PARA MANTENIMIENTO DEL PETAR Y  OTROS. JUNIO 2026</t>
  </si>
  <si>
    <t>000796</t>
  </si>
  <si>
    <t>22392996</t>
  </si>
  <si>
    <t>ALVAREZ CHUQUIYANQUI, MARIBEL NAYELI</t>
  </si>
  <si>
    <t>AUCAYPATA S/N</t>
  </si>
  <si>
    <t>000798</t>
  </si>
  <si>
    <t>24261117</t>
  </si>
  <si>
    <t>ARROYO QUISPE,JERCY ROLANDY</t>
  </si>
  <si>
    <t xml:space="preserve">CHALCO ESCOBAR,REYNA  </t>
  </si>
  <si>
    <t>000797</t>
  </si>
  <si>
    <t>SILLOCA HUAMANI,MARLENY ELIANA</t>
  </si>
  <si>
    <t>24261115</t>
  </si>
  <si>
    <t>000794</t>
  </si>
  <si>
    <t>24261119</t>
  </si>
  <si>
    <t>MARTINEZ ZAMBRANO,GIAN FRANCO</t>
  </si>
  <si>
    <t>000795</t>
  </si>
  <si>
    <t>21133466</t>
  </si>
  <si>
    <t>URDAY COA,JESSICA MERI</t>
  </si>
  <si>
    <t>PACHAYZA-PARTE ALTA S/N</t>
  </si>
  <si>
    <t>abril-mayo</t>
  </si>
  <si>
    <t>marzo-abril-mayo</t>
  </si>
  <si>
    <t>febrero/mayo</t>
  </si>
  <si>
    <t>mayo</t>
  </si>
  <si>
    <t xml:space="preserve">REY HUAMANI ALVARES. DEVOLUCION DE RECIBO N°533055 Y N°56260 </t>
  </si>
  <si>
    <t>septiembre/mayo</t>
  </si>
  <si>
    <t>AMANDA USCAMNAYTA HUAMANI. COMPRA DE TUBO1/2 DE AGUA POTABLE</t>
  </si>
  <si>
    <t>INGRESOS VARIABLES (INSTALACION, CONSTRUCCION Y M.O.) JUNIO2026</t>
  </si>
  <si>
    <t>EUSEBIA USCAMNAYTA HUAMANI. COMPRA DE TUBO1/2 DE AGUA POTABLE</t>
  </si>
  <si>
    <t xml:space="preserve">HERMOGENES USCAMAYTA VERA.ISTALACION DE AGUA POTABLE </t>
  </si>
  <si>
    <t>JANEPP ANASTACIA HUAMANI. PAGO POR CONSTRUCCION DE ENERO A JUNIO</t>
  </si>
  <si>
    <t>IST</t>
  </si>
  <si>
    <t>PAGO DE LUZ SEAL  POR EL MES DE ABRIL Y MARZO 2026</t>
  </si>
  <si>
    <t>SB</t>
  </si>
  <si>
    <t>BOL.</t>
  </si>
  <si>
    <t xml:space="preserve">ESTACIONES SUR ANDINA. GASOLINA </t>
  </si>
  <si>
    <t>CT</t>
  </si>
  <si>
    <t>REC</t>
  </si>
  <si>
    <t>RD</t>
  </si>
  <si>
    <t>COMUNICADO SOBRE CIERRE DE VIA DESDE RADIO CARISMA HACIE ARRIBA POR REPARACION DE AVERIA DE TUBERIA</t>
  </si>
  <si>
    <t>COMUNICADO SOBRE CIERRE DE VIA DESDE GRAS SINTETICO HASTA MOYKEY POR AMPLIACION DE RED DE AGUA POTABLE</t>
  </si>
  <si>
    <t xml:space="preserve">TAXI CRISTIAN NAVINTA. TRASLADO DE EQUIPOS ALQUILADOS GENERADOR.ROTOMATILLO </t>
  </si>
  <si>
    <t>TX</t>
  </si>
  <si>
    <t>GARY SALAR DONMIGEZ. PAGO DE PERSONAL POR PURGAR AGUA DE ASILLO 25-05-2026 Y 01-06-2026</t>
  </si>
  <si>
    <t>SC</t>
  </si>
  <si>
    <t>VA</t>
  </si>
  <si>
    <t>CONS</t>
  </si>
  <si>
    <t>enero/mayo</t>
  </si>
  <si>
    <t>GF</t>
  </si>
  <si>
    <t>TAXI ELVIS TORRES. TRASLADO DE HERRAMIENTAS PACHAYZA A OFICCINA CAAPD</t>
  </si>
  <si>
    <t>EFRAIN BLAS MONTALVO. COMPRA DE UN MEDIDOR</t>
  </si>
  <si>
    <t>NULO</t>
  </si>
  <si>
    <t>GIAN MARTINEZ ZAMBRANO. COMPRA DE UN CODO 1/2. UNIVERSAL 1/2 90° Y UN TEFLON</t>
  </si>
  <si>
    <t>diciembre/mayo</t>
  </si>
  <si>
    <t>febrero-marzo-abril</t>
  </si>
  <si>
    <t>TAXI YORDI LIBAQUE. PARA EL TRASLADO DE MATERIALES OFICINA A PACHAYZA</t>
  </si>
  <si>
    <t>CARLOS CHAUCAYANQUI. PAGO A PERSONAL POR ARREGLO DE TUBERIA EN EL SECTOR DE PACHAYZA</t>
  </si>
  <si>
    <t>GARY SALAR DONMIGEZ. PAGO DE PERSONAL POR ARREGLODE TUBERIA EN EL SECTOR DE PACHAYZA</t>
  </si>
  <si>
    <t>2 ALMUERZOS. POR ARREGLO DE TUBERIA</t>
  </si>
  <si>
    <t>AL</t>
  </si>
  <si>
    <t>1 GASEOSA.1PQTE DE GALLETAS.1 ENCENDEDOR</t>
  </si>
  <si>
    <t>OF</t>
  </si>
  <si>
    <t>LC</t>
  </si>
  <si>
    <t>SERVICIO DE AGUA POTABLE 4 CUBOS. MINERA ORION</t>
  </si>
  <si>
    <t>SERVICIO DE AGUA POTABLE 4 CUBOS. MARTHA</t>
  </si>
  <si>
    <t>SERVICIO DE AGUA POTABLE 3 CUBOS. AGUSTO</t>
  </si>
  <si>
    <t>SERVICIO DE AGUA POTABLE 4 CUBOS. COMEDOR</t>
  </si>
  <si>
    <t>SERVICIO DE AGUA POTABLE 4 CUBOS. ORION</t>
  </si>
  <si>
    <t>SERVICIO DE AGUA POTABLE 4 CUBOS. EMERSON MOLLO</t>
  </si>
  <si>
    <t>SERVICIO DE AGUA POTABLE 5 CUBOS. EMERSON MOLLO</t>
  </si>
  <si>
    <t>SERVICIO DE AGUA POTABLE 4 CUBOS. SOL DE LOS ANDES</t>
  </si>
  <si>
    <t>SERVICIO DE AGUA POTABLE 2 CUBOS. SOL DE LOS ANDES</t>
  </si>
  <si>
    <t>SERVICIO DE AGUA POTABLE 4 CUBOS. JHONSON</t>
  </si>
  <si>
    <t>SERVICIO DE AGUA POTABLE 2 CUBOS. JHONSON</t>
  </si>
  <si>
    <t>YULI TORRES ARUTAYPE. INSTALACION DE DESAGUE</t>
  </si>
  <si>
    <t>RC</t>
  </si>
  <si>
    <t>JORGE HUAMANI URDAY.PAGO POR RECONEXCION DE AGUA POTABLE</t>
  </si>
  <si>
    <t>MARISOL CASTRO HUAMANI. COMPRA DE MEDIDOR</t>
  </si>
  <si>
    <t>marzo/junio</t>
  </si>
  <si>
    <t>abril-mayo-junio</t>
  </si>
  <si>
    <t>junio</t>
  </si>
  <si>
    <t>marzo-junio</t>
  </si>
  <si>
    <t>mayo-junio</t>
  </si>
  <si>
    <t>LECTURADO DEL MES DE MAYO.YOBANA USCAMAYTA 01-06-26 Y 02-06-2026</t>
  </si>
  <si>
    <t>GARY MACOY PAGO A PERSONAL (2) POR DESCARGAR MATERIALES Y ACCESORIOS</t>
  </si>
  <si>
    <t>septiembre/junio</t>
  </si>
  <si>
    <t>PAGO POR HORAS DE MAQUINARIA (4H) RETRO420</t>
  </si>
  <si>
    <t>M</t>
  </si>
  <si>
    <t>COMPRA DE GASOLINA PARA LA CUATRIMOTO</t>
  </si>
  <si>
    <t>TAXI CRISTIAN NAVINTA. TRASLADO DE PERSONAL ASILLO 25-05-2026 Y RECOJO DE PERSONAL DE SANTA ROSA TURNO NOCHE 01-06-2026</t>
  </si>
  <si>
    <t>PAGO A PERSONAL POR ESCARBO DE MEDIDOR (CORTE)</t>
  </si>
  <si>
    <t>TAXI KENJI LIBAQUE. TRASLADO DE MATERIALES (FIERROS Y ALAMBRES) PARA CONSTRUCCION DE ROMPEPRESION</t>
  </si>
  <si>
    <t>LECTURADO DEL MES DE MAYO.LUIS TORRES 01-06-26 Y 02-06-2026</t>
  </si>
  <si>
    <t>LECTURADO DEL MES DE MAYO.NELSON TORRES 01-06-26 Y 02-06-2026</t>
  </si>
  <si>
    <t>FAUSTINA MASEDO. COMPRA DE DESAGUE</t>
  </si>
  <si>
    <t xml:space="preserve">YEDY USCAMAYTA. PAGO POR RECONEXION DE AGUA POTABLE </t>
  </si>
  <si>
    <t>SERVICIO DE AGUA POTABLE 4 CUBOS. KATY</t>
  </si>
  <si>
    <t>SERVICIO DE AGUA POTABLE 3 CUBOS. JHONSON</t>
  </si>
  <si>
    <t>SERVICIO DE AGUA POTABLE 3 CUBOS. BRAYAN HUASHUAYO</t>
  </si>
  <si>
    <t>SERVICIO DE AGUA POTABLE 2 CUBOS. MARTHA</t>
  </si>
  <si>
    <t>SERVICIO DE AGUA POTABLE 2 CUBOS. COMEDOR SHARELI</t>
  </si>
  <si>
    <t>SERVICIO DE AGUA POTABLE 1 CUBOS. KATY</t>
  </si>
  <si>
    <t>SERVICIO DE AGUA POTABLE 4 CUBOS. COMEDOR SHARELI</t>
  </si>
  <si>
    <t>SERVICIO DE AGUA POTABLE 2 CUBOS. MINERA ORION</t>
  </si>
  <si>
    <t>LUNES</t>
  </si>
  <si>
    <t>MARTES</t>
  </si>
  <si>
    <t>MIERCOLES</t>
  </si>
  <si>
    <t>JUEVES</t>
  </si>
  <si>
    <t>VIERNES</t>
  </si>
  <si>
    <t>SABADO</t>
  </si>
  <si>
    <t>DOMINGO</t>
  </si>
  <si>
    <t>CARLOS CHAUCAYANQUI. PAGO A PERSONAL POR PURGAR LA RED MATRIZ DE ASILLO</t>
  </si>
  <si>
    <t xml:space="preserve">TAXI JORGE.TRASLADO IDA Y VUELTA  DE PERSONAL PARA PURGAR EL AGUA DE LA RED  MATRIZ DE ASILLO </t>
  </si>
  <si>
    <t>FAUSTINACHUQUIYANQUI. PAGO POR INSTALACION DE AGUA POTABLE</t>
  </si>
  <si>
    <t>LECTURADO DEL MES DE MAYO.JAMES TORRES 01-06-26 Y 02-06-2026</t>
  </si>
  <si>
    <t xml:space="preserve">REMUNERACION SECRETRARIA MES DE MAYO </t>
  </si>
  <si>
    <t>marzo/abril/mayo</t>
  </si>
  <si>
    <t xml:space="preserve">     </t>
  </si>
  <si>
    <t xml:space="preserve">GASOLINA PARA CUATRIMOTO </t>
  </si>
  <si>
    <t>N/P</t>
  </si>
  <si>
    <t xml:space="preserve">1 PAQ DE AGUA 600ML </t>
  </si>
  <si>
    <t>4 ALMUERZOS. 1 COCA COLA 3L. 1 COCA COLA DE 1LT. POR ARREGLO DE TUBERIA EN PACHAYZA</t>
  </si>
  <si>
    <t xml:space="preserve">CLAVOS DE 2 Y 4 . PARA TRABAJOS DE ROMPE PRESION </t>
  </si>
  <si>
    <t>SERVICIO DE AGUA POTABLE 5 CUBOS. CECAR MOLLO</t>
  </si>
  <si>
    <t>SERVICIO DE AGUA POTABLE 6 CUBOS. EMERSON</t>
  </si>
  <si>
    <t>SERVICIO DE AGUA POTABLE 4 CUBOS. COMEDOR AUGUSTO</t>
  </si>
  <si>
    <t>SERVICIO DE AGUA POTABLE 4 CUBOS. COMPANIA CIMARS</t>
  </si>
  <si>
    <t xml:space="preserve">SERVICIO DE AGUA POTABLE 2 CUBOS. COMEDOR </t>
  </si>
  <si>
    <t>SERVICIO DE AGUA POTABLE 1 CUBOS. HECTOR TORRES</t>
  </si>
  <si>
    <t>SERVICIO DE AGUA POTABLE 1 CUBOS. FAUSTO HUAMANI</t>
  </si>
  <si>
    <t>SERVICIO DE AGUA POTABLE 3 CUBOS. COMEDOR AUGUSTO</t>
  </si>
  <si>
    <t>SERVICIO DE AGUA POTABLE 1 CUBO. DESI SIVINCHA</t>
  </si>
  <si>
    <t>SERVICIO DE AGUA POTABLE 1 CUBO. ROLO ESCOBAR</t>
  </si>
  <si>
    <t>SERVICIO DE AGUA POTABLE  3 CUBOS. COMEDOR</t>
  </si>
  <si>
    <t>SERVICIO DE AGUA POTABLE  4 CUBOS. COMEDOR</t>
  </si>
  <si>
    <t>SERVICIO DE AGUA POTABLE  4 CUBOS. EMERSON</t>
  </si>
  <si>
    <t>SERVICIO DE AGUA POTABLE  4 CUBOS. CERRITO PECOY VICTOR</t>
  </si>
  <si>
    <t>SERVICIO DE AGUA POTABLE  4 CUBOS. JHONSON ARAGON</t>
  </si>
  <si>
    <t>SERVICIO DE AGUA POTABLE  4 CUBOS. COMEDOR SHARELI</t>
  </si>
  <si>
    <t>agosto/junio</t>
  </si>
  <si>
    <t>FAUSTINA CHUQUIYANQUI. PAGO POR INSTALACION DE DESAGUE</t>
  </si>
  <si>
    <t>VALENTIN MONTALVO. PAGO POR INSTALACION DE AGUA POTABLE (SIN EL MEDIDOR)</t>
  </si>
  <si>
    <t>FAUSTINA CHUQUIYANQUI. PAGO POR INSTALACION DE AGUA POTABLE (SIN EL MEDIDOR)</t>
  </si>
  <si>
    <t>VALENTIN MONTALVO. PAGO POR INSTALACION DE DESAGUE</t>
  </si>
  <si>
    <t>JUANA SANCHEZ. COMPRA DE CAJA DE MEDIDOR MAS TAPA</t>
  </si>
  <si>
    <t>febrero/junio</t>
  </si>
  <si>
    <t>CARLOS CHAUCAYANQUI PAGO A PERSONAL POR ARREGLAR TUBERIA 15-06-26, 16-06-26 Y 17-06-26</t>
  </si>
  <si>
    <t>EDGAR YANQUI QUISPE. TRASLADO DE TUBERIA Y FIERROS IDA Y VUELTA DE OFICINA A PACHAYZA  Y  PACHAYZA A OFICINA</t>
  </si>
  <si>
    <t xml:space="preserve">WALTER MAMANI ALE. ALQUILER DE ROTOMARTILLO 15-06-26 </t>
  </si>
  <si>
    <t xml:space="preserve">3 ALMUERZO. GASEOSA </t>
  </si>
  <si>
    <t>2 LAMPA TROMONTINA. 2K CALVO3.2K CLAVO4</t>
  </si>
  <si>
    <t>1 AGUA DE 3LT. GASEOSA DE 3LT</t>
  </si>
  <si>
    <t>2 GASEOSAS . 1 AGUA</t>
  </si>
  <si>
    <t>diciembre/junio</t>
  </si>
  <si>
    <t>PAGO A PERSONAL DE LIMPIEZA. MES DE MAYO LIVIA SURCO ANCCO</t>
  </si>
  <si>
    <t>enero/junio</t>
  </si>
  <si>
    <t>TAXI ANTHONY SILVA TRASLADO DE OFICINA A PACHAYZA PARTE BAJA VERIFICACION DE AGUA 19-06-26</t>
  </si>
  <si>
    <t>SERVICIO DE AGUA POTABLE 7 CUBOS. MINERA SOL DE LOS ANDES</t>
  </si>
  <si>
    <t>SERVICIO DE AGUA POTABLE 7 CUBOS. SOL DE LOS ANDES</t>
  </si>
  <si>
    <t>SERVICIO DE AGUA POTABLE 7 CUBOS. MINERA OREX</t>
  </si>
  <si>
    <t>SERVICIO DE AGUA POTABLE 2 CUBOS. RICHAR</t>
  </si>
  <si>
    <t>SERVICIO DE AGUA POTABLE 1 CUBO. JUAN</t>
  </si>
  <si>
    <t>SERVICIO DE AGUA POTABLE 2 CUBOS. JHONSON ESCOBAR</t>
  </si>
  <si>
    <t>SERVICIO DE AGUA POTABLE 3 CUBOS. JHONSON ESCOBAR</t>
  </si>
  <si>
    <t>SERVICIO DE AGUA POTABLE  3 CUBOS. JHONSON ARAGON</t>
  </si>
  <si>
    <t>SERVICIO DE AGUA POTABLE  4 CUBOS. MARTHA</t>
  </si>
  <si>
    <t>SERVICIO DE AGUA POTABLE 4 CUBOS. MINERA SOL DE LOS ANDES</t>
  </si>
  <si>
    <t>SERVICIO DE AGUA POTABLE 3 CUBOS. AUGUSTO</t>
  </si>
  <si>
    <t>TAXI LUIS COA HUAMANI TRASLADO PARA PACHAYZA PARTE BAJA Y RESERVORIO</t>
  </si>
  <si>
    <t>CARLOS CHAUCAYANQUI. PAGO A POR AMPLIACION DE LA RED DE MATRIZ PACHAYZA 25/05/26 AL 05/06/26 11 DIAS</t>
  </si>
  <si>
    <t>PAGO POR AMPLIACION DE LA RED DE MATRIZ PACHAYZA 25/05/26-03/06/26-05/06/26 3 DIAS</t>
  </si>
  <si>
    <t xml:space="preserve">1 GALON DE PINTURA SOTINADO ARDICO MOTIZADO </t>
  </si>
  <si>
    <t xml:space="preserve">TOMA CORRIENTE. CORTA CABLE . ENCHUFE .30MT DE CABLE #14. UN DESTORNILLADOR </t>
  </si>
  <si>
    <t>000800</t>
  </si>
  <si>
    <t>24261116</t>
  </si>
  <si>
    <t>FLORES MONTALVO, CECILIA FIORELLA</t>
  </si>
  <si>
    <t xml:space="preserve">TAXI GROBER CASTILLO YOGA. TARAPATA PARA OFICINA. OFICINA A TARAPATA Y ESPERA DE 1H </t>
  </si>
  <si>
    <t xml:space="preserve">2GASEOSAS. 1 AGUA PARA ARREGLO EN PACHAYZA </t>
  </si>
  <si>
    <t>ALQUILER DE MAQUINARIA 2H  27-05-26. CELI TORRES</t>
  </si>
  <si>
    <t xml:space="preserve">ALMUERZOS POR AMPLIACION DE MATRIZ EN PACHAYZA 26-05.26 AL 05-06-26  </t>
  </si>
  <si>
    <t>TAXI PACHAYZA PARTE BAJA A PLAZA IDA Y VUELTA. GROBER CASTILLO</t>
  </si>
  <si>
    <t>TAXI PARA TRASLADAR MATERIALES DE OFICINA A PACHAYZA TARAPATA ARREGLO DE TUBERIA. JESUS CABRERA</t>
  </si>
  <si>
    <t>TAXI PARA TRASLADAR MATERIALES Y COMPRA DE CEMENTO . CRISTIAN</t>
  </si>
  <si>
    <t xml:space="preserve">CECILIA FLORES PAGO POR SERVICIO DE AGUA DESDE ENERO HASTA MAYO </t>
  </si>
  <si>
    <t xml:space="preserve">COMPRA DE PRODUCTO DE LIMPIEZA </t>
  </si>
  <si>
    <t xml:space="preserve">TAXI PARA TRASLADO DE PERSONAL Y MATERIALES PALAS TUBO PARA OFICINA </t>
  </si>
  <si>
    <t xml:space="preserve">   </t>
  </si>
  <si>
    <t xml:space="preserve">PAGO A PERSONAL POR AYUDANTE DE ESCARBO DE SANJA EN PAMPA 25-06-26 Y 26-06-26 </t>
  </si>
  <si>
    <t xml:space="preserve">TAXI IDA Y VUELTA HACIA HUAQUILLO PARA INTALACION CON ESPERA </t>
  </si>
  <si>
    <t>TAXI TRASLADO DE PERSONAL HACIA LUCMANI PARA REVISAR RED MATRIZ</t>
  </si>
  <si>
    <t xml:space="preserve">TAXI TRASLADO DE PERSONAL PARA VERIFICAR NUEVA RED DE AGUA POTABLE EN LUCMANI </t>
  </si>
  <si>
    <t>PAGO A PERSONAL POR AMPLIACION DE NUEVA MATRIZ DE AGUA POTABLE EN PACHAYZA 25-05-26 AL 05-06-26 (MENOS DOS DIAS)</t>
  </si>
  <si>
    <t xml:space="preserve">TAXI PARA TARAPATA TRASLADO DE MATERIALES IDA Y VUELTA MAS ESPERA </t>
  </si>
  <si>
    <t>COMUNICADO PARA ASAMBLEA GENERAL EL DIA 28-06-26</t>
  </si>
  <si>
    <r>
      <t>MULTAS (</t>
    </r>
    <r>
      <rPr>
        <sz val="12"/>
        <color theme="1"/>
        <rFont val="Calibri"/>
        <family val="2"/>
        <scheme val="minor"/>
      </rPr>
      <t>reconexion)</t>
    </r>
  </si>
  <si>
    <r>
      <rPr>
        <b/>
        <sz val="12"/>
        <color theme="1"/>
        <rFont val="Calibri"/>
        <family val="2"/>
        <scheme val="minor"/>
      </rPr>
      <t>ALIMENTACION</t>
    </r>
    <r>
      <rPr>
        <sz val="12"/>
        <color theme="1"/>
        <rFont val="Calibri"/>
        <family val="2"/>
        <scheme val="minor"/>
      </rPr>
      <t xml:space="preserve"> (directiva, personal y otros)</t>
    </r>
  </si>
  <si>
    <r>
      <rPr>
        <b/>
        <sz val="12"/>
        <color theme="1"/>
        <rFont val="Calibri"/>
        <family val="2"/>
        <scheme val="minor"/>
      </rPr>
      <t>MOVILIDAD</t>
    </r>
    <r>
      <rPr>
        <sz val="12"/>
        <color theme="1"/>
        <rFont val="Calibri"/>
        <family val="2"/>
        <scheme val="minor"/>
      </rPr>
      <t xml:space="preserve"> (servicio de taxis)</t>
    </r>
  </si>
  <si>
    <r>
      <rPr>
        <b/>
        <sz val="12"/>
        <color theme="1"/>
        <rFont val="Calibri"/>
        <family val="2"/>
        <scheme val="minor"/>
      </rPr>
      <t>REMUNERACION</t>
    </r>
    <r>
      <rPr>
        <sz val="12"/>
        <color theme="1"/>
        <rFont val="Calibri"/>
        <family val="2"/>
        <scheme val="minor"/>
      </rPr>
      <t xml:space="preserve"> (secretaria )</t>
    </r>
  </si>
  <si>
    <r>
      <rPr>
        <b/>
        <sz val="12"/>
        <color theme="1"/>
        <rFont val="Calibri"/>
        <family val="2"/>
        <scheme val="minor"/>
      </rPr>
      <t>LECTURADOS</t>
    </r>
    <r>
      <rPr>
        <sz val="12"/>
        <color theme="1"/>
        <rFont val="Calibri"/>
        <family val="2"/>
        <scheme val="minor"/>
      </rPr>
      <t xml:space="preserve"> (pago a personal)</t>
    </r>
  </si>
  <si>
    <t>RE</t>
  </si>
  <si>
    <t xml:space="preserve">SERVICIO DE AGUA POTABLE  4 CUBOS. COMEDOR </t>
  </si>
  <si>
    <t xml:space="preserve">SERVICIO DE AGUA POTABLE  4 CUBOS. JHONSON </t>
  </si>
  <si>
    <t>TAXI TRASLADO DE PERSONAL PARA PURGAR AGUA EN ASILLO 27-06-26</t>
  </si>
  <si>
    <t xml:space="preserve">PAGO A PERSONAL (2 PERSONAS) POR PURGAR AGUA DE ASILLO 26-06-26 Y 27-06-206 </t>
  </si>
  <si>
    <t>TAXI PARA TRASLADO DE PERSONAL PARA PURGAR AGUA EN ASILLO 26-06-26</t>
  </si>
  <si>
    <t>ALQUILER DE ROTOMARTILLO PARA SANJA EN PACHAYZA ARREGO DE TUBERIA        25-06-26</t>
  </si>
  <si>
    <t xml:space="preserve">PAGO A PERSONAL POR AMPLIACION DE NUEVA MATRIZ DE AGUA POTABLE EN PACHAYZA 25-05-26 AL 05-06-26 (10 DIAS) </t>
  </si>
  <si>
    <t>MAMTEMIMIENTO DE BUZON DE DESAGUE EN PACHAYZA 07-06-26</t>
  </si>
  <si>
    <t>TAXI PARA TRASNPOTARTAR (PARLANTE, MESAS, SILLAS) PARA REUNION GENERAL IDA Y VUELTA PACHAYZA A OFICINA 28-06-26</t>
  </si>
  <si>
    <t xml:space="preserve">SERVICIO DE AGUA POTABLE  4 CUBOS. YULI TORRES </t>
  </si>
  <si>
    <t>SERVICIO DE AGUA POTABLE 1 CUBO. COMEDOR SHARELI</t>
  </si>
  <si>
    <t>SERVICIO DE AGUA POTABLE 4 CUBOS. MINERA CORIRE</t>
  </si>
  <si>
    <t>SERVICIO DE AGUA POTABLE 4 CUBOS. ADALI CHALCO</t>
  </si>
  <si>
    <t>SERVICIO DE AGUA POTABLE 6 CUBOS. VICENTE SIVINCHA</t>
  </si>
  <si>
    <t>SERVICIO DE AGUA POTABLE 4 CUBOS.  SOL DE LOS ANDES</t>
  </si>
  <si>
    <t>SERVICIO DE AGUA POTABLE 2 CUBOS. MARTHA- AUGUSTO</t>
  </si>
  <si>
    <t>SERVICIO DE AGUA POTABLE  4 CUBOS. JHONSON MONTALVO</t>
  </si>
  <si>
    <t>SERVICIO DE AGUA POTABLE 5 CUBOS. NICOLAS</t>
  </si>
  <si>
    <t>SERVICIO DE AGUA POTABLE 2 CUBOS. RUFO</t>
  </si>
  <si>
    <t>SERVICIO DE AGUA POTABLE 6 CUBOS. MINERA JITAN</t>
  </si>
  <si>
    <t>SERVICIO DE AGUA POTABLE 4 CUBOS. MARTHA- AUGUSTO</t>
  </si>
  <si>
    <t>SERVICIO DE AGUA POTABLE 4 CUBOS. MINERA YANAQUIHUA</t>
  </si>
  <si>
    <t>SERVICIO DE AGUA POTABLE 3 CUBOS. MARTHA</t>
  </si>
  <si>
    <t>SERVICIO DE AGUA POTABLE  4 CUBOS. SHARELI</t>
  </si>
  <si>
    <t>SERVICIO DE AGUA POTABLE  6 CUBOS. EMERSON</t>
  </si>
  <si>
    <t>SERVICIO DE AGUA POTABLE  4 CUBOS. JHONSON ESCOBAR</t>
  </si>
  <si>
    <t>SERVICIO DE AGUA POTABLE 5 CUBOS.  SOL DE LOS ANDES</t>
  </si>
  <si>
    <t>RESUMEN DE CAJA CHICA MES JUNIO 2026</t>
  </si>
  <si>
    <r>
      <rPr>
        <b/>
        <sz val="12"/>
        <color theme="1"/>
        <rFont val="Calibri"/>
        <family val="2"/>
        <scheme val="minor"/>
      </rPr>
      <t>COMUNICADOS EN LA RADIO</t>
    </r>
    <r>
      <rPr>
        <sz val="12"/>
        <color theme="1"/>
        <rFont val="Calibri"/>
        <family val="2"/>
        <scheme val="minor"/>
      </rPr>
      <t xml:space="preserve"> </t>
    </r>
  </si>
  <si>
    <r>
      <rPr>
        <b/>
        <sz val="12"/>
        <color theme="1"/>
        <rFont val="Calibri"/>
        <family val="2"/>
        <scheme val="minor"/>
      </rPr>
      <t xml:space="preserve">SERVICIOS BASICOS </t>
    </r>
    <r>
      <rPr>
        <sz val="12"/>
        <color theme="1"/>
        <rFont val="Calibri"/>
        <family val="2"/>
        <scheme val="minor"/>
      </rPr>
      <t>( luz,internet )</t>
    </r>
  </si>
  <si>
    <r>
      <rPr>
        <b/>
        <sz val="12"/>
        <color theme="1"/>
        <rFont val="Calibri"/>
        <family val="2"/>
        <scheme val="minor"/>
      </rPr>
      <t>SERVICIOS CONTRATADOS</t>
    </r>
    <r>
      <rPr>
        <sz val="12"/>
        <color theme="1"/>
        <rFont val="Calibri"/>
        <family val="2"/>
        <scheme val="minor"/>
      </rPr>
      <t xml:space="preserve"> ( personal de apoyo,peones, servicio de limpieza, otros)</t>
    </r>
  </si>
  <si>
    <r>
      <t>MAQUINARIA (</t>
    </r>
    <r>
      <rPr>
        <sz val="12"/>
        <color theme="1"/>
        <rFont val="Calibri"/>
        <family val="2"/>
        <scheme val="minor"/>
      </rPr>
      <t xml:space="preserve"> alquiler de retro excabadora, rotomartillo </t>
    </r>
    <r>
      <rPr>
        <b/>
        <sz val="12"/>
        <color theme="1"/>
        <rFont val="Calibri"/>
        <family val="2"/>
        <scheme val="minor"/>
      </rPr>
      <t>)</t>
    </r>
  </si>
  <si>
    <r>
      <rPr>
        <b/>
        <sz val="12"/>
        <color theme="1"/>
        <rFont val="Calibri"/>
        <family val="2"/>
        <scheme val="minor"/>
      </rPr>
      <t xml:space="preserve">CUATRIMOTO </t>
    </r>
    <r>
      <rPr>
        <sz val="12"/>
        <color theme="1"/>
        <rFont val="Calibri"/>
        <family val="2"/>
        <scheme val="minor"/>
      </rPr>
      <t>(gasolina )</t>
    </r>
  </si>
  <si>
    <t>MO</t>
  </si>
  <si>
    <t xml:space="preserve"> MO</t>
  </si>
  <si>
    <r>
      <t>MATERIALES Y/O ACCESORIOS (</t>
    </r>
    <r>
      <rPr>
        <sz val="12"/>
        <color theme="1"/>
        <rFont val="Calibri"/>
        <family val="2"/>
        <scheme val="minor"/>
      </rPr>
      <t>lampara, toma corriente y otros)</t>
    </r>
  </si>
  <si>
    <t>CAJA MES DE JUNIO DEL 2025</t>
  </si>
  <si>
    <t>SERVICIO DE AGUA POTABLE  4 CUBOS. MARTHA COMEDOR</t>
  </si>
  <si>
    <t>SERVICIO DE AGUA POTABLE 6 CUBOS. MINERA LOROROC</t>
  </si>
  <si>
    <t>SERVICIO DE AGUA POTABLE  4 CUBOS. AGUSTO-SHERELI</t>
  </si>
  <si>
    <t>SERVICIO DE AGUA POTABLE  5 CUBOS. EMERSON MOLLO</t>
  </si>
  <si>
    <t>ALIMENTACION POR CONSUMO DE TRABAJADORES PARA EL MANTENIMIENTO DEL PTAR</t>
  </si>
  <si>
    <t>PAGO DEL SERVICIO DE INTERNET MES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</si>
</sst>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S/&quot;\ #,##0.00;[Red]\-&quot;S/&quot;\ #,##0.00"/>
    <numFmt numFmtId="41" formatCode="_-* #,##0_-;\-* #,##0_-;_-* &quot;-&quot;_-;_-@_-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dd/mm/yyyy;@"/>
    <numFmt numFmtId="165" formatCode="&quot;S/.&quot;#,##0.00"/>
    <numFmt numFmtId="166" formatCode="_-* #,##0.00\ _€_-;\-* #,##0.00\ _€_-;_-* &quot;-&quot;??\ _€_-;_-@_-"/>
    <numFmt numFmtId="167" formatCode="_-[$S/-280A]\ * #,##0.00_-;\-[$S/-280A]\ * #,##0.00_-;_-[$S/-280A]\ * &quot;-&quot;??_-;_-@_-"/>
  </numFmts>
  <fonts count="4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6600F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FF6600"/>
      <name val="Calibri"/>
      <family val="2"/>
      <scheme val="minor"/>
    </font>
    <font>
      <sz val="11"/>
      <color rgb="FF007BB8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 tint="4.9989318521683403E-2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590000"/>
      <name val="Calibri"/>
      <family val="2"/>
      <scheme val="minor"/>
    </font>
    <font>
      <sz val="11"/>
      <color rgb="FF005E00"/>
      <name val="Calibri"/>
      <family val="2"/>
      <scheme val="minor"/>
    </font>
    <font>
      <b/>
      <sz val="11"/>
      <color rgb="FFFF6600"/>
      <name val="Calibri"/>
      <family val="2"/>
      <scheme val="minor"/>
    </font>
    <font>
      <sz val="11"/>
      <color rgb="FF808000"/>
      <name val="Calibri"/>
      <family val="2"/>
      <scheme val="minor"/>
    </font>
    <font>
      <b/>
      <sz val="11"/>
      <color rgb="FF808000"/>
      <name val="Calibri"/>
      <family val="2"/>
      <scheme val="minor"/>
    </font>
    <font>
      <sz val="10"/>
      <color rgb="FF808000"/>
      <name val="Calibri"/>
      <family val="2"/>
      <scheme val="minor"/>
    </font>
    <font>
      <b/>
      <sz val="11"/>
      <color rgb="FF007BB8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BB8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66FFFF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1" fillId="0" borderId="0"/>
  </cellStyleXfs>
  <cellXfs count="366">
    <xf numFmtId="0" fontId="0" fillId="0" borderId="0" xfId="0"/>
    <xf numFmtId="16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43" fontId="0" fillId="0" borderId="1" xfId="0" applyNumberFormat="1" applyBorder="1"/>
    <xf numFmtId="0" fontId="1" fillId="0" borderId="0" xfId="0" applyFont="1" applyAlignment="1">
      <alignment horizontal="center" vertical="center"/>
    </xf>
    <xf numFmtId="43" fontId="0" fillId="0" borderId="0" xfId="0" applyNumberFormat="1"/>
    <xf numFmtId="0" fontId="3" fillId="4" borderId="4" xfId="0" applyFont="1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165" fontId="3" fillId="5" borderId="7" xfId="0" applyNumberFormat="1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left" vertical="center"/>
    </xf>
    <xf numFmtId="14" fontId="4" fillId="2" borderId="5" xfId="0" applyNumberFormat="1" applyFont="1" applyFill="1" applyBorder="1" applyAlignment="1">
      <alignment horizontal="left" vertical="center"/>
    </xf>
    <xf numFmtId="14" fontId="4" fillId="2" borderId="8" xfId="0" applyNumberFormat="1" applyFont="1" applyFill="1" applyBorder="1" applyAlignment="1">
      <alignment horizontal="right" vertical="center"/>
    </xf>
    <xf numFmtId="0" fontId="0" fillId="0" borderId="10" xfId="0" applyBorder="1"/>
    <xf numFmtId="0" fontId="1" fillId="0" borderId="12" xfId="0" applyFont="1" applyBorder="1" applyAlignment="1">
      <alignment horizontal="right" vertical="center"/>
    </xf>
    <xf numFmtId="0" fontId="0" fillId="4" borderId="6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3" fillId="5" borderId="7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3" fontId="2" fillId="0" borderId="1" xfId="0" applyNumberFormat="1" applyFont="1" applyBorder="1" applyAlignment="1">
      <alignment vertical="center"/>
    </xf>
    <xf numFmtId="14" fontId="4" fillId="2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5" fillId="2" borderId="1" xfId="0" applyFont="1" applyFill="1" applyBorder="1"/>
    <xf numFmtId="165" fontId="5" fillId="2" borderId="1" xfId="0" applyNumberFormat="1" applyFont="1" applyFill="1" applyBorder="1"/>
    <xf numFmtId="0" fontId="9" fillId="0" borderId="0" xfId="0" applyFont="1" applyAlignment="1">
      <alignment horizontal="center"/>
    </xf>
    <xf numFmtId="43" fontId="7" fillId="0" borderId="0" xfId="0" applyNumberFormat="1" applyFont="1"/>
    <xf numFmtId="0" fontId="10" fillId="0" borderId="0" xfId="0" applyFont="1"/>
    <xf numFmtId="0" fontId="1" fillId="3" borderId="10" xfId="0" applyFont="1" applyFill="1" applyBorder="1" applyAlignment="1">
      <alignment horizontal="right"/>
    </xf>
    <xf numFmtId="43" fontId="7" fillId="3" borderId="12" xfId="0" applyNumberFormat="1" applyFont="1" applyFill="1" applyBorder="1"/>
    <xf numFmtId="0" fontId="1" fillId="0" borderId="0" xfId="0" applyFont="1"/>
    <xf numFmtId="0" fontId="12" fillId="0" borderId="0" xfId="0" applyFont="1" applyAlignment="1">
      <alignment horizontal="center"/>
    </xf>
    <xf numFmtId="43" fontId="7" fillId="3" borderId="13" xfId="0" applyNumberFormat="1" applyFont="1" applyFill="1" applyBorder="1"/>
    <xf numFmtId="165" fontId="4" fillId="8" borderId="1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right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  <xf numFmtId="0" fontId="7" fillId="9" borderId="6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left" vertical="center"/>
    </xf>
    <xf numFmtId="164" fontId="0" fillId="0" borderId="0" xfId="0" applyNumberFormat="1"/>
    <xf numFmtId="49" fontId="0" fillId="0" borderId="0" xfId="0" applyNumberFormat="1"/>
    <xf numFmtId="0" fontId="14" fillId="0" borderId="0" xfId="0" applyFont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15" fillId="10" borderId="0" xfId="0" applyFont="1" applyFill="1"/>
    <xf numFmtId="0" fontId="6" fillId="10" borderId="0" xfId="0" applyFont="1" applyFill="1"/>
    <xf numFmtId="0" fontId="6" fillId="10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43" fontId="4" fillId="0" borderId="0" xfId="0" applyNumberFormat="1" applyFont="1" applyAlignment="1">
      <alignment vertical="center"/>
    </xf>
    <xf numFmtId="0" fontId="4" fillId="0" borderId="0" xfId="0" applyFont="1"/>
    <xf numFmtId="43" fontId="15" fillId="0" borderId="0" xfId="0" applyNumberFormat="1" applyFont="1" applyAlignment="1">
      <alignment vertical="center"/>
    </xf>
    <xf numFmtId="0" fontId="6" fillId="3" borderId="0" xfId="0" applyFont="1" applyFill="1" applyAlignment="1">
      <alignment horizontal="right" vertical="center"/>
    </xf>
    <xf numFmtId="43" fontId="6" fillId="3" borderId="0" xfId="0" applyNumberFormat="1" applyFont="1" applyFill="1" applyAlignment="1">
      <alignment vertical="center"/>
    </xf>
    <xf numFmtId="0" fontId="6" fillId="10" borderId="0" xfId="0" applyFont="1" applyFill="1" applyAlignment="1">
      <alignment vertical="center"/>
    </xf>
    <xf numFmtId="0" fontId="15" fillId="10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13" fillId="3" borderId="0" xfId="0" applyFont="1" applyFill="1" applyAlignment="1">
      <alignment horizontal="right" vertical="center"/>
    </xf>
    <xf numFmtId="43" fontId="13" fillId="3" borderId="0" xfId="0" applyNumberFormat="1" applyFont="1" applyFill="1" applyAlignment="1">
      <alignment vertical="center"/>
    </xf>
    <xf numFmtId="0" fontId="0" fillId="0" borderId="17" xfId="0" applyBorder="1"/>
    <xf numFmtId="43" fontId="16" fillId="0" borderId="0" xfId="0" applyNumberFormat="1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4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right"/>
    </xf>
    <xf numFmtId="43" fontId="4" fillId="2" borderId="1" xfId="0" applyNumberFormat="1" applyFont="1" applyFill="1" applyBorder="1" applyAlignment="1">
      <alignment horizontal="right" vertical="center"/>
    </xf>
    <xf numFmtId="43" fontId="1" fillId="3" borderId="13" xfId="0" applyNumberFormat="1" applyFont="1" applyFill="1" applyBorder="1"/>
    <xf numFmtId="41" fontId="4" fillId="2" borderId="4" xfId="0" applyNumberFormat="1" applyFont="1" applyFill="1" applyBorder="1" applyAlignment="1">
      <alignment horizontal="center" vertical="center"/>
    </xf>
    <xf numFmtId="41" fontId="1" fillId="3" borderId="11" xfId="0" applyNumberFormat="1" applyFont="1" applyFill="1" applyBorder="1" applyAlignment="1">
      <alignment horizontal="center"/>
    </xf>
    <xf numFmtId="43" fontId="1" fillId="3" borderId="13" xfId="0" applyNumberFormat="1" applyFont="1" applyFill="1" applyBorder="1" applyAlignment="1">
      <alignment vertical="center"/>
    </xf>
    <xf numFmtId="43" fontId="7" fillId="3" borderId="1" xfId="0" applyNumberFormat="1" applyFont="1" applyFill="1" applyBorder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7" fillId="3" borderId="13" xfId="0" applyNumberFormat="1" applyFont="1" applyFill="1" applyBorder="1" applyAlignment="1">
      <alignment horizontal="center" vertical="center"/>
    </xf>
    <xf numFmtId="43" fontId="7" fillId="11" borderId="11" xfId="0" applyNumberFormat="1" applyFont="1" applyFill="1" applyBorder="1"/>
    <xf numFmtId="43" fontId="7" fillId="13" borderId="10" xfId="0" applyNumberFormat="1" applyFont="1" applyFill="1" applyBorder="1"/>
    <xf numFmtId="43" fontId="7" fillId="13" borderId="11" xfId="0" applyNumberFormat="1" applyFont="1" applyFill="1" applyBorder="1"/>
    <xf numFmtId="0" fontId="1" fillId="13" borderId="12" xfId="0" applyFont="1" applyFill="1" applyBorder="1" applyAlignment="1">
      <alignment horizontal="center" vertical="center"/>
    </xf>
    <xf numFmtId="43" fontId="7" fillId="11" borderId="12" xfId="0" applyNumberFormat="1" applyFont="1" applyFill="1" applyBorder="1"/>
    <xf numFmtId="43" fontId="19" fillId="14" borderId="13" xfId="0" applyNumberFormat="1" applyFont="1" applyFill="1" applyBorder="1" applyAlignment="1">
      <alignment horizontal="center" vertical="center"/>
    </xf>
    <xf numFmtId="43" fontId="0" fillId="12" borderId="20" xfId="0" applyNumberFormat="1" applyFill="1" applyBorder="1"/>
    <xf numFmtId="43" fontId="0" fillId="0" borderId="7" xfId="0" applyNumberFormat="1" applyBorder="1"/>
    <xf numFmtId="43" fontId="0" fillId="12" borderId="22" xfId="0" applyNumberFormat="1" applyFill="1" applyBorder="1"/>
    <xf numFmtId="0" fontId="11" fillId="11" borderId="24" xfId="0" applyFont="1" applyFill="1" applyBorder="1" applyAlignment="1">
      <alignment horizontal="center" vertical="center" wrapText="1"/>
    </xf>
    <xf numFmtId="0" fontId="11" fillId="12" borderId="13" xfId="0" applyFont="1" applyFill="1" applyBorder="1" applyAlignment="1">
      <alignment horizontal="center" vertical="center" wrapText="1"/>
    </xf>
    <xf numFmtId="43" fontId="0" fillId="0" borderId="22" xfId="0" applyNumberFormat="1" applyBorder="1"/>
    <xf numFmtId="43" fontId="0" fillId="0" borderId="20" xfId="0" applyNumberFormat="1" applyBorder="1"/>
    <xf numFmtId="43" fontId="0" fillId="0" borderId="21" xfId="0" applyNumberFormat="1" applyBorder="1"/>
    <xf numFmtId="0" fontId="11" fillId="11" borderId="23" xfId="0" applyFont="1" applyFill="1" applyBorder="1" applyAlignment="1">
      <alignment horizontal="center" vertical="center" wrapText="1"/>
    </xf>
    <xf numFmtId="0" fontId="11" fillId="11" borderId="15" xfId="0" applyFont="1" applyFill="1" applyBorder="1" applyAlignment="1">
      <alignment horizontal="center" vertical="center" wrapText="1"/>
    </xf>
    <xf numFmtId="43" fontId="0" fillId="0" borderId="25" xfId="0" applyNumberFormat="1" applyBorder="1"/>
    <xf numFmtId="43" fontId="0" fillId="0" borderId="26" xfId="0" applyNumberFormat="1" applyBorder="1"/>
    <xf numFmtId="43" fontId="0" fillId="0" borderId="27" xfId="0" applyNumberFormat="1" applyBorder="1"/>
    <xf numFmtId="43" fontId="0" fillId="0" borderId="28" xfId="0" applyNumberFormat="1" applyBorder="1"/>
    <xf numFmtId="43" fontId="0" fillId="0" borderId="29" xfId="0" applyNumberFormat="1" applyBorder="1"/>
    <xf numFmtId="0" fontId="11" fillId="11" borderId="13" xfId="0" applyFont="1" applyFill="1" applyBorder="1" applyAlignment="1">
      <alignment horizontal="center" vertical="center"/>
    </xf>
    <xf numFmtId="164" fontId="0" fillId="0" borderId="22" xfId="0" applyNumberFormat="1" applyBorder="1"/>
    <xf numFmtId="43" fontId="19" fillId="14" borderId="13" xfId="0" applyNumberFormat="1" applyFont="1" applyFill="1" applyBorder="1"/>
    <xf numFmtId="0" fontId="17" fillId="14" borderId="13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14" fontId="4" fillId="2" borderId="14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14" fontId="4" fillId="2" borderId="4" xfId="0" applyNumberFormat="1" applyFont="1" applyFill="1" applyBorder="1" applyAlignment="1">
      <alignment horizontal="left" vertical="center"/>
    </xf>
    <xf numFmtId="14" fontId="4" fillId="2" borderId="30" xfId="0" applyNumberFormat="1" applyFont="1" applyFill="1" applyBorder="1" applyAlignment="1">
      <alignment horizontal="left" vertical="center"/>
    </xf>
    <xf numFmtId="0" fontId="1" fillId="0" borderId="1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0" fillId="2" borderId="0" xfId="0" applyFill="1"/>
    <xf numFmtId="4" fontId="5" fillId="0" borderId="1" xfId="0" applyNumberFormat="1" applyFont="1" applyBorder="1" applyAlignment="1">
      <alignment vertical="center"/>
    </xf>
    <xf numFmtId="43" fontId="2" fillId="0" borderId="1" xfId="0" applyNumberFormat="1" applyFont="1" applyBorder="1"/>
    <xf numFmtId="0" fontId="20" fillId="0" borderId="0" xfId="0" applyFont="1"/>
    <xf numFmtId="0" fontId="11" fillId="11" borderId="12" xfId="0" applyFont="1" applyFill="1" applyBorder="1" applyAlignment="1">
      <alignment horizontal="center" vertical="center" wrapText="1"/>
    </xf>
    <xf numFmtId="43" fontId="0" fillId="0" borderId="32" xfId="0" applyNumberFormat="1" applyBorder="1"/>
    <xf numFmtId="43" fontId="0" fillId="0" borderId="33" xfId="0" applyNumberFormat="1" applyBorder="1"/>
    <xf numFmtId="43" fontId="0" fillId="0" borderId="34" xfId="0" applyNumberFormat="1" applyBorder="1"/>
    <xf numFmtId="43" fontId="7" fillId="12" borderId="12" xfId="0" applyNumberFormat="1" applyFont="1" applyFill="1" applyBorder="1"/>
    <xf numFmtId="166" fontId="7" fillId="13" borderId="11" xfId="0" applyNumberFormat="1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vertical="center"/>
    </xf>
    <xf numFmtId="0" fontId="3" fillId="12" borderId="4" xfId="0" applyFont="1" applyFill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165" fontId="3" fillId="12" borderId="7" xfId="0" applyNumberFormat="1" applyFont="1" applyFill="1" applyBorder="1" applyAlignment="1">
      <alignment horizontal="center" vertical="center"/>
    </xf>
    <xf numFmtId="0" fontId="0" fillId="17" borderId="2" xfId="0" applyFill="1" applyBorder="1" applyAlignment="1">
      <alignment vertical="center"/>
    </xf>
    <xf numFmtId="0" fontId="0" fillId="17" borderId="3" xfId="0" applyFill="1" applyBorder="1" applyAlignment="1">
      <alignment vertical="center"/>
    </xf>
    <xf numFmtId="0" fontId="3" fillId="17" borderId="4" xfId="0" applyFont="1" applyFill="1" applyBorder="1" applyAlignment="1">
      <alignment horizontal="center" vertical="center"/>
    </xf>
    <xf numFmtId="0" fontId="0" fillId="17" borderId="5" xfId="0" applyFill="1" applyBorder="1" applyAlignment="1">
      <alignment vertical="center"/>
    </xf>
    <xf numFmtId="0" fontId="0" fillId="0" borderId="1" xfId="0" applyBorder="1" applyAlignment="1">
      <alignment vertical="center"/>
    </xf>
    <xf numFmtId="14" fontId="4" fillId="3" borderId="35" xfId="0" applyNumberFormat="1" applyFont="1" applyFill="1" applyBorder="1" applyAlignment="1">
      <alignment horizontal="center" vertical="center"/>
    </xf>
    <xf numFmtId="14" fontId="4" fillId="3" borderId="36" xfId="0" applyNumberFormat="1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right" vertical="center"/>
    </xf>
    <xf numFmtId="43" fontId="7" fillId="3" borderId="38" xfId="0" applyNumberFormat="1" applyFont="1" applyFill="1" applyBorder="1" applyAlignment="1">
      <alignment vertic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4" fontId="0" fillId="0" borderId="0" xfId="0" applyNumberFormat="1"/>
    <xf numFmtId="0" fontId="21" fillId="18" borderId="6" xfId="0" applyFont="1" applyFill="1" applyBorder="1" applyAlignment="1">
      <alignment vertical="center"/>
    </xf>
    <xf numFmtId="0" fontId="21" fillId="18" borderId="4" xfId="0" applyFont="1" applyFill="1" applyBorder="1" applyAlignment="1">
      <alignment vertical="center"/>
    </xf>
    <xf numFmtId="0" fontId="19" fillId="18" borderId="4" xfId="0" applyFont="1" applyFill="1" applyBorder="1" applyAlignment="1">
      <alignment horizontal="center" vertical="center"/>
    </xf>
    <xf numFmtId="0" fontId="22" fillId="18" borderId="4" xfId="0" applyFont="1" applyFill="1" applyBorder="1" applyAlignment="1">
      <alignment horizontal="center" vertical="center"/>
    </xf>
    <xf numFmtId="0" fontId="21" fillId="18" borderId="5" xfId="0" applyFont="1" applyFill="1" applyBorder="1" applyAlignment="1">
      <alignment vertical="center"/>
    </xf>
    <xf numFmtId="4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7" xfId="0" applyBorder="1"/>
    <xf numFmtId="0" fontId="0" fillId="21" borderId="0" xfId="0" applyFill="1"/>
    <xf numFmtId="0" fontId="9" fillId="21" borderId="0" xfId="0" applyFont="1" applyFill="1" applyAlignment="1">
      <alignment horizontal="center"/>
    </xf>
    <xf numFmtId="43" fontId="2" fillId="0" borderId="7" xfId="0" applyNumberFormat="1" applyFont="1" applyBorder="1"/>
    <xf numFmtId="0" fontId="25" fillId="11" borderId="12" xfId="0" applyFont="1" applyFill="1" applyBorder="1" applyAlignment="1">
      <alignment horizontal="center" vertical="center" wrapText="1"/>
    </xf>
    <xf numFmtId="43" fontId="7" fillId="20" borderId="12" xfId="0" applyNumberFormat="1" applyFont="1" applyFill="1" applyBorder="1"/>
    <xf numFmtId="43" fontId="1" fillId="20" borderId="12" xfId="0" applyNumberFormat="1" applyFont="1" applyFill="1" applyBorder="1" applyAlignment="1">
      <alignment horizontal="center" vertical="center"/>
    </xf>
    <xf numFmtId="0" fontId="7" fillId="22" borderId="9" xfId="0" applyFont="1" applyFill="1" applyBorder="1" applyAlignment="1">
      <alignment horizontal="center"/>
    </xf>
    <xf numFmtId="165" fontId="7" fillId="22" borderId="9" xfId="0" applyNumberFormat="1" applyFont="1" applyFill="1" applyBorder="1" applyAlignment="1">
      <alignment horizontal="center"/>
    </xf>
    <xf numFmtId="43" fontId="5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0" fontId="30" fillId="3" borderId="1" xfId="0" applyFont="1" applyFill="1" applyBorder="1" applyAlignment="1">
      <alignment vertical="center"/>
    </xf>
    <xf numFmtId="0" fontId="0" fillId="0" borderId="31" xfId="0" applyBorder="1"/>
    <xf numFmtId="0" fontId="3" fillId="16" borderId="31" xfId="0" applyFont="1" applyFill="1" applyBorder="1" applyAlignment="1">
      <alignment horizontal="center" vertical="center"/>
    </xf>
    <xf numFmtId="165" fontId="3" fillId="16" borderId="31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7" fillId="0" borderId="7" xfId="0" applyFont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1" fillId="0" borderId="7" xfId="0" applyFont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right" vertical="center"/>
    </xf>
    <xf numFmtId="0" fontId="28" fillId="0" borderId="0" xfId="0" applyFont="1"/>
    <xf numFmtId="0" fontId="35" fillId="0" borderId="0" xfId="0" applyFont="1"/>
    <xf numFmtId="0" fontId="36" fillId="0" borderId="1" xfId="0" applyFont="1" applyBorder="1" applyAlignment="1">
      <alignment vertical="center"/>
    </xf>
    <xf numFmtId="0" fontId="37" fillId="0" borderId="1" xfId="0" applyFont="1" applyBorder="1" applyAlignment="1">
      <alignment vertical="center"/>
    </xf>
    <xf numFmtId="0" fontId="38" fillId="0" borderId="1" xfId="0" applyFont="1" applyBorder="1" applyAlignment="1">
      <alignment wrapText="1"/>
    </xf>
    <xf numFmtId="0" fontId="36" fillId="0" borderId="1" xfId="0" applyFont="1" applyBorder="1"/>
    <xf numFmtId="0" fontId="37" fillId="0" borderId="1" xfId="0" applyFont="1" applyBorder="1"/>
    <xf numFmtId="49" fontId="36" fillId="0" borderId="1" xfId="0" applyNumberFormat="1" applyFont="1" applyBorder="1" applyAlignment="1">
      <alignment horizontal="left"/>
    </xf>
    <xf numFmtId="0" fontId="38" fillId="0" borderId="1" xfId="0" applyFont="1" applyBorder="1" applyAlignment="1">
      <alignment horizontal="left" vertical="top" wrapText="1"/>
    </xf>
    <xf numFmtId="0" fontId="38" fillId="0" borderId="1" xfId="0" applyFont="1" applyBorder="1" applyAlignment="1">
      <alignment vertical="center"/>
    </xf>
    <xf numFmtId="0" fontId="38" fillId="0" borderId="31" xfId="0" applyFont="1" applyBorder="1" applyAlignment="1">
      <alignment wrapText="1"/>
    </xf>
    <xf numFmtId="0" fontId="39" fillId="0" borderId="1" xfId="0" applyFont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40" fillId="0" borderId="1" xfId="0" applyFont="1" applyBorder="1" applyAlignment="1">
      <alignment horizontal="left" vertical="center"/>
    </xf>
    <xf numFmtId="0" fontId="40" fillId="3" borderId="1" xfId="0" applyFont="1" applyFill="1" applyBorder="1" applyAlignment="1">
      <alignment horizontal="left" vertical="center"/>
    </xf>
    <xf numFmtId="2" fontId="0" fillId="0" borderId="0" xfId="0" applyNumberFormat="1"/>
    <xf numFmtId="14" fontId="0" fillId="0" borderId="28" xfId="0" applyNumberFormat="1" applyBorder="1"/>
    <xf numFmtId="0" fontId="0" fillId="0" borderId="28" xfId="0" applyBorder="1"/>
    <xf numFmtId="14" fontId="0" fillId="0" borderId="28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2" fontId="0" fillId="0" borderId="28" xfId="0" applyNumberFormat="1" applyBorder="1" applyAlignment="1">
      <alignment horizontal="right" vertical="center"/>
    </xf>
    <xf numFmtId="14" fontId="0" fillId="0" borderId="41" xfId="0" applyNumberFormat="1" applyBorder="1" applyAlignment="1">
      <alignment horizontal="center" vertical="center"/>
    </xf>
    <xf numFmtId="8" fontId="0" fillId="0" borderId="0" xfId="0" applyNumberFormat="1" applyAlignment="1">
      <alignment horizontal="center"/>
    </xf>
    <xf numFmtId="2" fontId="0" fillId="0" borderId="1" xfId="0" applyNumberFormat="1" applyBorder="1"/>
    <xf numFmtId="2" fontId="5" fillId="0" borderId="1" xfId="0" applyNumberFormat="1" applyFont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0" fontId="1" fillId="0" borderId="36" xfId="0" applyFont="1" applyBorder="1" applyAlignment="1">
      <alignment horizontal="right" vertical="center"/>
    </xf>
    <xf numFmtId="0" fontId="0" fillId="0" borderId="39" xfId="0" applyBorder="1" applyAlignment="1">
      <alignment horizontal="center" vertical="center"/>
    </xf>
    <xf numFmtId="43" fontId="1" fillId="3" borderId="40" xfId="0" applyNumberFormat="1" applyFont="1" applyFill="1" applyBorder="1" applyAlignment="1">
      <alignment vertical="center"/>
    </xf>
    <xf numFmtId="0" fontId="0" fillId="0" borderId="9" xfId="0" applyBorder="1"/>
    <xf numFmtId="43" fontId="0" fillId="0" borderId="31" xfId="0" applyNumberFormat="1" applyBorder="1"/>
    <xf numFmtId="0" fontId="0" fillId="0" borderId="9" xfId="0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2" fontId="0" fillId="0" borderId="31" xfId="0" applyNumberFormat="1" applyBorder="1" applyAlignment="1">
      <alignment horizontal="right" vertical="center"/>
    </xf>
    <xf numFmtId="43" fontId="1" fillId="3" borderId="1" xfId="0" applyNumberFormat="1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vertical="center"/>
    </xf>
    <xf numFmtId="0" fontId="19" fillId="19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vertical="center"/>
    </xf>
    <xf numFmtId="165" fontId="3" fillId="1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43" fontId="1" fillId="3" borderId="1" xfId="0" applyNumberFormat="1" applyFont="1" applyFill="1" applyBorder="1" applyAlignment="1">
      <alignment vertical="center"/>
    </xf>
    <xf numFmtId="0" fontId="21" fillId="15" borderId="1" xfId="0" applyFont="1" applyFill="1" applyBorder="1" applyAlignment="1">
      <alignment vertical="center"/>
    </xf>
    <xf numFmtId="0" fontId="19" fillId="15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vertical="center"/>
    </xf>
    <xf numFmtId="165" fontId="3" fillId="11" borderId="1" xfId="0" applyNumberFormat="1" applyFont="1" applyFill="1" applyBorder="1" applyAlignment="1">
      <alignment horizontal="center" vertical="center"/>
    </xf>
    <xf numFmtId="0" fontId="0" fillId="0" borderId="41" xfId="0" applyBorder="1"/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7" xfId="0" applyNumberFormat="1" applyBorder="1" applyAlignment="1">
      <alignment horizontal="right" vertical="center"/>
    </xf>
    <xf numFmtId="0" fontId="41" fillId="0" borderId="1" xfId="1" applyBorder="1"/>
    <xf numFmtId="0" fontId="1" fillId="0" borderId="1" xfId="0" applyFont="1" applyBorder="1"/>
    <xf numFmtId="0" fontId="0" fillId="0" borderId="1" xfId="0" applyBorder="1" applyAlignment="1">
      <alignment wrapText="1"/>
    </xf>
    <xf numFmtId="43" fontId="0" fillId="0" borderId="41" xfId="0" applyNumberFormat="1" applyBorder="1"/>
    <xf numFmtId="0" fontId="0" fillId="0" borderId="0" xfId="0" applyAlignment="1">
      <alignment wrapText="1"/>
    </xf>
    <xf numFmtId="0" fontId="42" fillId="0" borderId="1" xfId="1" applyFont="1" applyBorder="1"/>
    <xf numFmtId="0" fontId="42" fillId="0" borderId="1" xfId="0" applyFont="1" applyBorder="1"/>
    <xf numFmtId="0" fontId="42" fillId="0" borderId="1" xfId="0" applyFont="1" applyBorder="1" applyAlignment="1">
      <alignment horizontal="left" vertical="top"/>
    </xf>
    <xf numFmtId="0" fontId="25" fillId="0" borderId="1" xfId="1" applyFont="1" applyBorder="1"/>
    <xf numFmtId="0" fontId="25" fillId="0" borderId="1" xfId="0" applyFont="1" applyBorder="1"/>
    <xf numFmtId="0" fontId="25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wrapText="1"/>
    </xf>
    <xf numFmtId="0" fontId="25" fillId="0" borderId="1" xfId="0" applyFont="1" applyBorder="1" applyAlignment="1">
      <alignment horizontal="left" vertical="top" wrapText="1"/>
    </xf>
    <xf numFmtId="14" fontId="0" fillId="0" borderId="7" xfId="0" applyNumberFormat="1" applyBorder="1"/>
    <xf numFmtId="14" fontId="0" fillId="0" borderId="41" xfId="0" applyNumberFormat="1" applyBorder="1"/>
    <xf numFmtId="14" fontId="0" fillId="0" borderId="9" xfId="0" applyNumberFormat="1" applyBorder="1"/>
    <xf numFmtId="0" fontId="0" fillId="0" borderId="41" xfId="0" applyBorder="1" applyAlignment="1">
      <alignment horizontal="center" vertical="center"/>
    </xf>
    <xf numFmtId="2" fontId="0" fillId="0" borderId="28" xfId="0" applyNumberFormat="1" applyBorder="1"/>
    <xf numFmtId="0" fontId="0" fillId="0" borderId="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5" xfId="0" applyBorder="1"/>
    <xf numFmtId="0" fontId="41" fillId="0" borderId="28" xfId="1" applyBorder="1"/>
    <xf numFmtId="0" fontId="0" fillId="0" borderId="1" xfId="0" applyBorder="1" applyAlignment="1">
      <alignment horizontal="left" vertical="top"/>
    </xf>
    <xf numFmtId="0" fontId="0" fillId="0" borderId="36" xfId="0" applyBorder="1"/>
    <xf numFmtId="0" fontId="5" fillId="0" borderId="1" xfId="0" applyFont="1" applyBorder="1" applyAlignment="1">
      <alignment horizontal="left" vertical="center" wrapText="1"/>
    </xf>
    <xf numFmtId="0" fontId="1" fillId="16" borderId="42" xfId="0" applyFont="1" applyFill="1" applyBorder="1" applyAlignment="1">
      <alignment vertical="center"/>
    </xf>
    <xf numFmtId="14" fontId="0" fillId="0" borderId="42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2" fontId="0" fillId="4" borderId="36" xfId="0" applyNumberFormat="1" applyFill="1" applyBorder="1"/>
    <xf numFmtId="4" fontId="0" fillId="4" borderId="36" xfId="0" applyNumberFormat="1" applyFill="1" applyBorder="1"/>
    <xf numFmtId="0" fontId="0" fillId="0" borderId="44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0" fillId="0" borderId="42" xfId="0" applyBorder="1" applyAlignment="1">
      <alignment horizontal="center" vertical="center"/>
    </xf>
    <xf numFmtId="2" fontId="0" fillId="0" borderId="42" xfId="0" applyNumberFormat="1" applyBorder="1" applyAlignment="1">
      <alignment horizontal="right" vertical="center"/>
    </xf>
    <xf numFmtId="2" fontId="0" fillId="0" borderId="41" xfId="0" applyNumberFormat="1" applyBorder="1" applyAlignment="1">
      <alignment horizontal="right" vertical="center"/>
    </xf>
    <xf numFmtId="2" fontId="0" fillId="24" borderId="0" xfId="0" applyNumberFormat="1" applyFill="1"/>
    <xf numFmtId="0" fontId="0" fillId="0" borderId="4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2" xfId="0" applyBorder="1"/>
    <xf numFmtId="43" fontId="0" fillId="0" borderId="42" xfId="0" applyNumberFormat="1" applyBorder="1"/>
    <xf numFmtId="14" fontId="0" fillId="0" borderId="42" xfId="0" applyNumberFormat="1" applyBorder="1"/>
    <xf numFmtId="14" fontId="0" fillId="0" borderId="44" xfId="0" applyNumberFormat="1" applyBorder="1"/>
    <xf numFmtId="0" fontId="0" fillId="0" borderId="24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24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2" fontId="1" fillId="0" borderId="24" xfId="0" applyNumberFormat="1" applyFont="1" applyBorder="1" applyAlignment="1">
      <alignment horizontal="center" vertical="center"/>
    </xf>
    <xf numFmtId="2" fontId="0" fillId="0" borderId="16" xfId="0" applyNumberFormat="1" applyBorder="1" applyAlignment="1">
      <alignment horizontal="right" vertical="center"/>
    </xf>
    <xf numFmtId="14" fontId="0" fillId="0" borderId="44" xfId="0" applyNumberFormat="1" applyBorder="1" applyAlignment="1">
      <alignment horizontal="center" vertical="center"/>
    </xf>
    <xf numFmtId="4" fontId="0" fillId="24" borderId="0" xfId="0" applyNumberFormat="1" applyFill="1"/>
    <xf numFmtId="164" fontId="5" fillId="2" borderId="42" xfId="0" applyNumberFormat="1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43" fontId="5" fillId="0" borderId="42" xfId="0" applyNumberFormat="1" applyFont="1" applyBorder="1" applyAlignment="1">
      <alignment vertical="center"/>
    </xf>
    <xf numFmtId="0" fontId="5" fillId="0" borderId="42" xfId="0" applyFont="1" applyBorder="1" applyAlignment="1">
      <alignment horizontal="center" vertical="center" wrapText="1"/>
    </xf>
    <xf numFmtId="0" fontId="5" fillId="0" borderId="42" xfId="0" applyFont="1" applyBorder="1" applyAlignment="1">
      <alignment vertical="center" wrapText="1"/>
    </xf>
    <xf numFmtId="0" fontId="2" fillId="0" borderId="42" xfId="0" applyFont="1" applyBorder="1" applyAlignment="1">
      <alignment vertical="center" wrapText="1"/>
    </xf>
    <xf numFmtId="2" fontId="0" fillId="0" borderId="24" xfId="0" applyNumberFormat="1" applyBorder="1" applyAlignment="1">
      <alignment horizontal="right" vertical="center"/>
    </xf>
    <xf numFmtId="0" fontId="1" fillId="0" borderId="11" xfId="0" applyFont="1" applyBorder="1" applyAlignment="1">
      <alignment horizontal="center" vertical="center"/>
    </xf>
    <xf numFmtId="14" fontId="0" fillId="2" borderId="28" xfId="0" applyNumberFormat="1" applyFill="1" applyBorder="1"/>
    <xf numFmtId="0" fontId="0" fillId="2" borderId="28" xfId="0" applyFill="1" applyBorder="1"/>
    <xf numFmtId="43" fontId="0" fillId="2" borderId="28" xfId="0" applyNumberFormat="1" applyFill="1" applyBorder="1"/>
    <xf numFmtId="14" fontId="0" fillId="2" borderId="44" xfId="0" applyNumberFormat="1" applyFill="1" applyBorder="1"/>
    <xf numFmtId="4" fontId="0" fillId="4" borderId="46" xfId="0" applyNumberFormat="1" applyFill="1" applyBorder="1"/>
    <xf numFmtId="4" fontId="0" fillId="4" borderId="11" xfId="0" applyNumberFormat="1" applyFill="1" applyBorder="1"/>
    <xf numFmtId="14" fontId="0" fillId="2" borderId="7" xfId="0" applyNumberFormat="1" applyFill="1" applyBorder="1"/>
    <xf numFmtId="14" fontId="0" fillId="2" borderId="41" xfId="0" applyNumberFormat="1" applyFill="1" applyBorder="1"/>
    <xf numFmtId="0" fontId="41" fillId="0" borderId="0" xfId="1"/>
    <xf numFmtId="0" fontId="41" fillId="0" borderId="42" xfId="1" applyBorder="1"/>
    <xf numFmtId="43" fontId="2" fillId="0" borderId="42" xfId="0" applyNumberFormat="1" applyFont="1" applyBorder="1" applyAlignment="1">
      <alignment vertical="center"/>
    </xf>
    <xf numFmtId="43" fontId="0" fillId="4" borderId="46" xfId="0" applyNumberFormat="1" applyFill="1" applyBorder="1"/>
    <xf numFmtId="0" fontId="7" fillId="0" borderId="0" xfId="0" applyFont="1" applyAlignment="1">
      <alignment horizontal="left" vertical="center"/>
    </xf>
    <xf numFmtId="0" fontId="0" fillId="24" borderId="0" xfId="0" applyFill="1"/>
    <xf numFmtId="0" fontId="2" fillId="25" borderId="0" xfId="0" applyFont="1" applyFill="1"/>
    <xf numFmtId="0" fontId="0" fillId="3" borderId="0" xfId="0" applyFill="1"/>
    <xf numFmtId="0" fontId="0" fillId="17" borderId="0" xfId="0" applyFill="1"/>
    <xf numFmtId="0" fontId="0" fillId="26" borderId="0" xfId="0" applyFill="1"/>
    <xf numFmtId="0" fontId="0" fillId="13" borderId="0" xfId="0" applyFill="1"/>
    <xf numFmtId="0" fontId="0" fillId="27" borderId="0" xfId="0" applyFill="1"/>
    <xf numFmtId="0" fontId="0" fillId="0" borderId="46" xfId="0" applyBorder="1"/>
    <xf numFmtId="0" fontId="0" fillId="0" borderId="37" xfId="0" applyBorder="1"/>
    <xf numFmtId="0" fontId="15" fillId="2" borderId="0" xfId="0" applyFont="1" applyFill="1" applyAlignment="1">
      <alignment vertical="center"/>
    </xf>
    <xf numFmtId="0" fontId="13" fillId="2" borderId="0" xfId="0" applyFont="1" applyFill="1" applyAlignment="1">
      <alignment horizontal="right" vertical="center"/>
    </xf>
    <xf numFmtId="43" fontId="13" fillId="2" borderId="0" xfId="0" applyNumberFormat="1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0" fillId="28" borderId="0" xfId="0" applyFill="1"/>
    <xf numFmtId="0" fontId="0" fillId="29" borderId="0" xfId="0" applyFill="1"/>
    <xf numFmtId="43" fontId="0" fillId="4" borderId="0" xfId="0" applyNumberFormat="1" applyFill="1"/>
    <xf numFmtId="0" fontId="0" fillId="0" borderId="44" xfId="0" applyBorder="1"/>
    <xf numFmtId="43" fontId="0" fillId="0" borderId="44" xfId="0" applyNumberFormat="1" applyBorder="1"/>
    <xf numFmtId="0" fontId="1" fillId="0" borderId="4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2" fontId="1" fillId="0" borderId="47" xfId="0" applyNumberFormat="1" applyFont="1" applyBorder="1" applyAlignment="1">
      <alignment horizontal="center" vertical="center"/>
    </xf>
    <xf numFmtId="2" fontId="1" fillId="0" borderId="41" xfId="0" applyNumberFormat="1" applyFon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2" fontId="0" fillId="0" borderId="41" xfId="0" applyNumberFormat="1" applyBorder="1" applyAlignment="1">
      <alignment horizontal="center" vertical="center"/>
    </xf>
    <xf numFmtId="2" fontId="1" fillId="0" borderId="43" xfId="0" applyNumberFormat="1" applyFont="1" applyBorder="1" applyAlignment="1">
      <alignment horizontal="center" vertical="center"/>
    </xf>
    <xf numFmtId="2" fontId="1" fillId="0" borderId="19" xfId="0" applyNumberFormat="1" applyFont="1" applyBorder="1" applyAlignment="1">
      <alignment horizontal="center" vertical="center"/>
    </xf>
    <xf numFmtId="2" fontId="1" fillId="0" borderId="37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43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</cellXfs>
  <cellStyles count="2">
    <cellStyle name="Normal" xfId="0" builtinId="0"/>
    <cellStyle name="Normal 2" xfId="1" xr:uid="{EE83D34C-0C30-47FA-AE27-F546D0046771}"/>
  </cellStyles>
  <dxfs count="0"/>
  <tableStyles count="0" defaultTableStyle="TableStyleMedium2" defaultPivotStyle="PivotStyleLight16"/>
  <colors>
    <mruColors>
      <color rgb="FF66FFFF"/>
      <color rgb="FF9966FF"/>
      <color rgb="FFFFCCFF"/>
      <color rgb="FF00B0F0"/>
      <color rgb="FF99FF99"/>
      <color rgb="FF00CC66"/>
      <color rgb="FF33CCCC"/>
      <color rgb="FF808000"/>
      <color rgb="FFFFFF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848F-C170-4BF5-8B76-4FC0302108C4}">
  <sheetPr>
    <tabColor rgb="FFFFFF00"/>
  </sheetPr>
  <dimension ref="A1:U823"/>
  <sheetViews>
    <sheetView zoomScale="89" zoomScaleNormal="89" workbookViewId="0">
      <pane ySplit="3" topLeftCell="A283" activePane="bottomLeft" state="frozen"/>
      <selection pane="bottomLeft" activeCell="B1" sqref="B1:B1048576"/>
    </sheetView>
  </sheetViews>
  <sheetFormatPr baseColWidth="10" defaultRowHeight="15" x14ac:dyDescent="0.25"/>
  <cols>
    <col min="2" max="2" width="8" customWidth="1"/>
    <col min="3" max="3" width="11.140625" customWidth="1"/>
    <col min="4" max="4" width="11.28515625" bestFit="1" customWidth="1"/>
    <col min="5" max="5" width="40.140625" bestFit="1" customWidth="1"/>
    <col min="6" max="6" width="30" customWidth="1"/>
    <col min="7" max="8" width="8.42578125" hidden="1" customWidth="1"/>
    <col min="9" max="9" width="2.140625" hidden="1" customWidth="1"/>
    <col min="10" max="10" width="17.7109375" customWidth="1"/>
    <col min="11" max="11" width="9.140625" customWidth="1"/>
    <col min="12" max="12" width="13" customWidth="1"/>
    <col min="13" max="13" width="11.85546875" bestFit="1" customWidth="1"/>
    <col min="15" max="15" width="12.140625" customWidth="1"/>
    <col min="16" max="16" width="9.42578125" customWidth="1"/>
    <col min="18" max="18" width="15.5703125" customWidth="1"/>
    <col min="19" max="19" width="42.28515625" customWidth="1"/>
    <col min="20" max="20" width="31.85546875" customWidth="1"/>
    <col min="21" max="21" width="13.5703125" customWidth="1"/>
  </cols>
  <sheetData>
    <row r="1" spans="1:21" x14ac:dyDescent="0.25">
      <c r="E1" s="37"/>
      <c r="R1" t="s">
        <v>2387</v>
      </c>
    </row>
    <row r="2" spans="1:21" x14ac:dyDescent="0.25">
      <c r="B2" t="s">
        <v>51</v>
      </c>
    </row>
    <row r="3" spans="1:21" ht="45" x14ac:dyDescent="0.25">
      <c r="A3" s="171" t="s">
        <v>70</v>
      </c>
      <c r="B3" s="172" t="s">
        <v>1</v>
      </c>
      <c r="C3" s="171" t="s">
        <v>2</v>
      </c>
      <c r="D3" s="173" t="s">
        <v>3</v>
      </c>
      <c r="E3" s="173" t="s">
        <v>4</v>
      </c>
      <c r="F3" s="173" t="s">
        <v>5</v>
      </c>
      <c r="G3" s="173" t="s">
        <v>6</v>
      </c>
      <c r="H3" s="173"/>
      <c r="I3" s="173" t="s">
        <v>7</v>
      </c>
      <c r="J3" s="173" t="s">
        <v>8</v>
      </c>
      <c r="K3" s="173" t="s">
        <v>9</v>
      </c>
      <c r="L3" s="173" t="s">
        <v>10</v>
      </c>
      <c r="M3" s="173" t="s">
        <v>11</v>
      </c>
      <c r="N3" s="5"/>
    </row>
    <row r="4" spans="1:21" x14ac:dyDescent="0.25">
      <c r="A4" s="181">
        <v>46174</v>
      </c>
      <c r="B4" s="2" t="s">
        <v>2368</v>
      </c>
      <c r="C4" s="2" t="s">
        <v>2369</v>
      </c>
      <c r="D4" s="2" t="s">
        <v>12</v>
      </c>
      <c r="E4" s="2" t="s">
        <v>2371</v>
      </c>
      <c r="F4" s="2" t="s">
        <v>43</v>
      </c>
      <c r="G4" s="2"/>
      <c r="H4" s="2"/>
      <c r="I4" s="2"/>
      <c r="J4" s="2" t="s">
        <v>2551</v>
      </c>
      <c r="K4" s="2">
        <v>2</v>
      </c>
      <c r="L4" s="4">
        <v>32</v>
      </c>
      <c r="N4" s="5"/>
    </row>
    <row r="5" spans="1:21" x14ac:dyDescent="0.25">
      <c r="A5" s="181">
        <v>46174</v>
      </c>
      <c r="B5" s="2" t="s">
        <v>1759</v>
      </c>
      <c r="C5" s="2" t="s">
        <v>1760</v>
      </c>
      <c r="D5" s="2" t="s">
        <v>14</v>
      </c>
      <c r="E5" s="2" t="s">
        <v>2371</v>
      </c>
      <c r="F5" s="2" t="s">
        <v>32</v>
      </c>
      <c r="G5" s="2"/>
      <c r="H5" s="2"/>
      <c r="I5" s="2"/>
      <c r="J5" s="2" t="s">
        <v>2551</v>
      </c>
      <c r="K5" s="2">
        <v>2</v>
      </c>
      <c r="L5" s="4">
        <v>28</v>
      </c>
      <c r="N5" s="5"/>
      <c r="O5" s="2"/>
      <c r="P5" s="248" t="s">
        <v>1376</v>
      </c>
      <c r="Q5" s="248" t="s">
        <v>1375</v>
      </c>
      <c r="R5" s="2" t="s">
        <v>16</v>
      </c>
      <c r="S5" s="248" t="s">
        <v>1374</v>
      </c>
      <c r="T5" s="248" t="s">
        <v>56</v>
      </c>
      <c r="U5" s="2"/>
    </row>
    <row r="6" spans="1:21" x14ac:dyDescent="0.25">
      <c r="A6" s="181">
        <v>46174</v>
      </c>
      <c r="B6" s="2" t="s">
        <v>1948</v>
      </c>
      <c r="C6" s="2" t="s">
        <v>2287</v>
      </c>
      <c r="D6" s="2" t="s">
        <v>0</v>
      </c>
      <c r="E6" s="2" t="s">
        <v>1949</v>
      </c>
      <c r="F6" s="2" t="s">
        <v>1950</v>
      </c>
      <c r="G6" s="2"/>
      <c r="H6" s="2"/>
      <c r="I6" s="2"/>
      <c r="J6" s="2" t="s">
        <v>2552</v>
      </c>
      <c r="K6" s="2">
        <v>3</v>
      </c>
      <c r="L6" s="4">
        <v>92</v>
      </c>
      <c r="M6" s="6"/>
      <c r="N6" s="5"/>
      <c r="O6" s="2"/>
      <c r="P6" s="248" t="s">
        <v>160</v>
      </c>
      <c r="Q6" s="248" t="s">
        <v>161</v>
      </c>
      <c r="R6" s="2" t="s">
        <v>16</v>
      </c>
      <c r="S6" s="248" t="s">
        <v>162</v>
      </c>
      <c r="T6" s="248" t="s">
        <v>56</v>
      </c>
      <c r="U6" s="2"/>
    </row>
    <row r="7" spans="1:21" x14ac:dyDescent="0.25">
      <c r="A7" s="181">
        <v>46174</v>
      </c>
      <c r="B7" s="2" t="s">
        <v>2202</v>
      </c>
      <c r="C7" s="2" t="s">
        <v>2203</v>
      </c>
      <c r="D7" s="2" t="s">
        <v>0</v>
      </c>
      <c r="E7" s="2" t="s">
        <v>2204</v>
      </c>
      <c r="F7" s="2" t="s">
        <v>83</v>
      </c>
      <c r="G7" s="2"/>
      <c r="H7" s="2"/>
      <c r="I7" s="2"/>
      <c r="J7" s="2" t="s">
        <v>2553</v>
      </c>
      <c r="K7" s="2">
        <v>4</v>
      </c>
      <c r="L7" s="4">
        <v>99</v>
      </c>
      <c r="N7" s="5"/>
      <c r="O7" s="2"/>
      <c r="P7" s="248" t="s">
        <v>1373</v>
      </c>
      <c r="Q7" s="248" t="s">
        <v>1372</v>
      </c>
      <c r="R7" s="2" t="s">
        <v>16</v>
      </c>
      <c r="S7" s="248" t="s">
        <v>1371</v>
      </c>
      <c r="T7" s="248" t="s">
        <v>56</v>
      </c>
      <c r="U7" s="2"/>
    </row>
    <row r="8" spans="1:21" x14ac:dyDescent="0.25">
      <c r="A8" s="181">
        <v>46174</v>
      </c>
      <c r="B8" s="2" t="s">
        <v>2205</v>
      </c>
      <c r="C8" s="2" t="s">
        <v>2206</v>
      </c>
      <c r="D8" s="2" t="s">
        <v>0</v>
      </c>
      <c r="E8" s="2" t="s">
        <v>2204</v>
      </c>
      <c r="F8" s="2" t="s">
        <v>2207</v>
      </c>
      <c r="G8" s="2"/>
      <c r="H8" s="2"/>
      <c r="I8" s="2"/>
      <c r="J8" s="2" t="s">
        <v>2553</v>
      </c>
      <c r="K8" s="2">
        <v>4</v>
      </c>
      <c r="L8" s="4">
        <v>65</v>
      </c>
      <c r="N8" s="5"/>
      <c r="O8" s="2"/>
      <c r="P8" s="248" t="s">
        <v>1370</v>
      </c>
      <c r="Q8" s="248" t="s">
        <v>1369</v>
      </c>
      <c r="R8" s="2" t="s">
        <v>16</v>
      </c>
      <c r="S8" s="248" t="s">
        <v>1368</v>
      </c>
      <c r="T8" s="248" t="s">
        <v>56</v>
      </c>
      <c r="U8" s="2"/>
    </row>
    <row r="9" spans="1:21" x14ac:dyDescent="0.25">
      <c r="A9" s="181">
        <v>46174</v>
      </c>
      <c r="B9" s="2" t="s">
        <v>1855</v>
      </c>
      <c r="C9" s="2" t="s">
        <v>1856</v>
      </c>
      <c r="D9" s="2" t="s">
        <v>0</v>
      </c>
      <c r="E9" s="2" t="s">
        <v>1857</v>
      </c>
      <c r="F9" s="2" t="s">
        <v>1858</v>
      </c>
      <c r="G9" s="2"/>
      <c r="H9" s="2"/>
      <c r="I9" s="2"/>
      <c r="J9" s="2" t="s">
        <v>2551</v>
      </c>
      <c r="K9" s="2">
        <v>2</v>
      </c>
      <c r="L9" s="4">
        <v>18</v>
      </c>
      <c r="N9" s="5"/>
      <c r="O9" s="2"/>
      <c r="P9" s="248" t="s">
        <v>1367</v>
      </c>
      <c r="Q9" s="248" t="s">
        <v>1366</v>
      </c>
      <c r="R9" s="2" t="s">
        <v>16</v>
      </c>
      <c r="S9" s="248" t="s">
        <v>1365</v>
      </c>
      <c r="T9" s="248" t="s">
        <v>56</v>
      </c>
      <c r="U9" s="2"/>
    </row>
    <row r="10" spans="1:21" x14ac:dyDescent="0.25">
      <c r="A10" s="181">
        <v>46174</v>
      </c>
      <c r="B10" s="2" t="s">
        <v>1127</v>
      </c>
      <c r="C10" s="2" t="s">
        <v>1128</v>
      </c>
      <c r="D10" s="2" t="s">
        <v>0</v>
      </c>
      <c r="E10" s="2" t="s">
        <v>1129</v>
      </c>
      <c r="F10" s="2" t="s">
        <v>83</v>
      </c>
      <c r="G10" s="2"/>
      <c r="H10" s="2"/>
      <c r="I10" s="2"/>
      <c r="J10" s="2" t="s">
        <v>2554</v>
      </c>
      <c r="K10" s="2">
        <v>1</v>
      </c>
      <c r="L10" s="4">
        <v>5</v>
      </c>
      <c r="N10" s="5"/>
      <c r="O10" s="2"/>
      <c r="P10" s="248" t="s">
        <v>163</v>
      </c>
      <c r="Q10" s="248" t="s">
        <v>164</v>
      </c>
      <c r="R10" s="2" t="s">
        <v>17</v>
      </c>
      <c r="S10" s="248" t="s">
        <v>165</v>
      </c>
      <c r="T10" s="248" t="s">
        <v>166</v>
      </c>
      <c r="U10" s="2"/>
    </row>
    <row r="11" spans="1:21" x14ac:dyDescent="0.25">
      <c r="A11" s="181">
        <v>46174</v>
      </c>
      <c r="B11" s="2" t="s">
        <v>1208</v>
      </c>
      <c r="C11" s="2" t="s">
        <v>1209</v>
      </c>
      <c r="D11" s="2" t="s">
        <v>0</v>
      </c>
      <c r="E11" s="2" t="s">
        <v>1210</v>
      </c>
      <c r="F11" s="2" t="s">
        <v>83</v>
      </c>
      <c r="G11" s="2"/>
      <c r="H11" s="2"/>
      <c r="I11" s="2"/>
      <c r="J11" s="2" t="s">
        <v>2554</v>
      </c>
      <c r="K11" s="2">
        <v>1</v>
      </c>
      <c r="L11" s="4">
        <v>10.5</v>
      </c>
      <c r="N11" s="5"/>
      <c r="O11" s="2"/>
      <c r="P11" s="248" t="s">
        <v>167</v>
      </c>
      <c r="Q11" s="248" t="s">
        <v>168</v>
      </c>
      <c r="R11" s="2" t="s">
        <v>17</v>
      </c>
      <c r="S11" s="248" t="s">
        <v>169</v>
      </c>
      <c r="T11" s="248" t="s">
        <v>170</v>
      </c>
      <c r="U11" s="2"/>
    </row>
    <row r="12" spans="1:21" x14ac:dyDescent="0.25">
      <c r="A12" s="181">
        <v>46174</v>
      </c>
      <c r="B12" s="2" t="s">
        <v>386</v>
      </c>
      <c r="C12" s="2" t="s">
        <v>387</v>
      </c>
      <c r="D12" s="2" t="s">
        <v>12</v>
      </c>
      <c r="E12" s="2" t="s">
        <v>388</v>
      </c>
      <c r="F12" s="2" t="s">
        <v>301</v>
      </c>
      <c r="G12" s="2"/>
      <c r="H12" s="2"/>
      <c r="I12" s="2"/>
      <c r="J12" s="2" t="s">
        <v>2551</v>
      </c>
      <c r="K12" s="2">
        <v>2</v>
      </c>
      <c r="L12" s="4">
        <v>10</v>
      </c>
      <c r="N12" s="5"/>
      <c r="O12" s="2"/>
      <c r="P12" s="248" t="s">
        <v>1998</v>
      </c>
      <c r="Q12" s="248" t="s">
        <v>1999</v>
      </c>
      <c r="R12" s="2" t="s">
        <v>17</v>
      </c>
      <c r="S12" s="248" t="s">
        <v>2000</v>
      </c>
      <c r="T12" s="248" t="s">
        <v>170</v>
      </c>
      <c r="U12" s="2"/>
    </row>
    <row r="13" spans="1:21" x14ac:dyDescent="0.25">
      <c r="A13" s="181">
        <v>46174</v>
      </c>
      <c r="B13" s="2" t="s">
        <v>2095</v>
      </c>
      <c r="C13" s="2" t="s">
        <v>2096</v>
      </c>
      <c r="D13" s="2" t="s">
        <v>12</v>
      </c>
      <c r="E13" s="2" t="s">
        <v>2097</v>
      </c>
      <c r="F13" s="2" t="s">
        <v>46</v>
      </c>
      <c r="G13" s="2"/>
      <c r="H13" s="2"/>
      <c r="I13" s="2"/>
      <c r="J13" s="2" t="s">
        <v>2551</v>
      </c>
      <c r="K13" s="2">
        <v>2</v>
      </c>
      <c r="L13" s="4">
        <v>10</v>
      </c>
      <c r="N13" s="5"/>
      <c r="O13" s="2"/>
      <c r="P13" s="248" t="s">
        <v>1377</v>
      </c>
      <c r="Q13" s="248" t="s">
        <v>1378</v>
      </c>
      <c r="R13" s="2" t="s">
        <v>17</v>
      </c>
      <c r="S13" s="248" t="s">
        <v>1379</v>
      </c>
      <c r="T13" s="248" t="s">
        <v>170</v>
      </c>
      <c r="U13" s="2"/>
    </row>
    <row r="14" spans="1:21" x14ac:dyDescent="0.25">
      <c r="A14" s="181">
        <v>46174</v>
      </c>
      <c r="B14" s="2" t="s">
        <v>1172</v>
      </c>
      <c r="C14" s="2" t="s">
        <v>1173</v>
      </c>
      <c r="D14" s="2" t="s">
        <v>0</v>
      </c>
      <c r="E14" s="2" t="s">
        <v>1174</v>
      </c>
      <c r="F14" s="2" t="s">
        <v>995</v>
      </c>
      <c r="G14" s="2"/>
      <c r="H14" s="2"/>
      <c r="I14" s="2"/>
      <c r="J14" s="2" t="s">
        <v>2554</v>
      </c>
      <c r="K14" s="2">
        <v>1</v>
      </c>
      <c r="L14" s="4">
        <v>5</v>
      </c>
      <c r="N14" s="5"/>
      <c r="O14" s="2"/>
      <c r="P14" s="248" t="s">
        <v>171</v>
      </c>
      <c r="Q14" s="248" t="s">
        <v>172</v>
      </c>
      <c r="R14" s="2" t="s">
        <v>17</v>
      </c>
      <c r="S14" s="248" t="s">
        <v>173</v>
      </c>
      <c r="T14" s="248" t="s">
        <v>170</v>
      </c>
      <c r="U14" s="2"/>
    </row>
    <row r="15" spans="1:21" x14ac:dyDescent="0.25">
      <c r="A15" s="181">
        <v>46174</v>
      </c>
      <c r="B15" s="2" t="s">
        <v>1161</v>
      </c>
      <c r="C15" s="2" t="s">
        <v>1162</v>
      </c>
      <c r="D15" s="2" t="s">
        <v>0</v>
      </c>
      <c r="E15" s="2" t="s">
        <v>1163</v>
      </c>
      <c r="F15" s="2" t="s">
        <v>83</v>
      </c>
      <c r="G15" s="2"/>
      <c r="H15" s="2"/>
      <c r="I15" s="2"/>
      <c r="J15" s="2" t="s">
        <v>2554</v>
      </c>
      <c r="K15" s="2">
        <v>1</v>
      </c>
      <c r="L15" s="4">
        <v>5</v>
      </c>
      <c r="N15" s="5"/>
      <c r="O15" s="2"/>
      <c r="P15" s="248" t="s">
        <v>1380</v>
      </c>
      <c r="Q15" s="248" t="s">
        <v>1381</v>
      </c>
      <c r="R15" s="2" t="s">
        <v>17</v>
      </c>
      <c r="S15" s="248" t="s">
        <v>1382</v>
      </c>
      <c r="T15" s="248" t="s">
        <v>170</v>
      </c>
      <c r="U15" s="2"/>
    </row>
    <row r="16" spans="1:21" x14ac:dyDescent="0.25">
      <c r="A16" s="181">
        <v>46174</v>
      </c>
      <c r="B16" s="2" t="s">
        <v>1178</v>
      </c>
      <c r="C16" s="2" t="s">
        <v>1179</v>
      </c>
      <c r="D16" s="2" t="s">
        <v>0</v>
      </c>
      <c r="E16" s="2" t="s">
        <v>1180</v>
      </c>
      <c r="F16" s="2" t="s">
        <v>860</v>
      </c>
      <c r="G16" s="2"/>
      <c r="H16" s="2"/>
      <c r="I16" s="2"/>
      <c r="J16" s="2" t="s">
        <v>2554</v>
      </c>
      <c r="K16" s="2">
        <v>1</v>
      </c>
      <c r="L16" s="4">
        <v>5</v>
      </c>
      <c r="N16" s="5"/>
      <c r="O16" s="2"/>
      <c r="P16" s="2" t="s">
        <v>2533</v>
      </c>
      <c r="Q16" s="2" t="s">
        <v>2534</v>
      </c>
      <c r="R16" s="2" t="s">
        <v>13</v>
      </c>
      <c r="S16" s="2" t="s">
        <v>2535</v>
      </c>
      <c r="T16" s="2" t="s">
        <v>2536</v>
      </c>
      <c r="U16" s="2"/>
    </row>
    <row r="17" spans="1:21" x14ac:dyDescent="0.25">
      <c r="A17" s="181">
        <v>46174</v>
      </c>
      <c r="B17" s="2" t="s">
        <v>1175</v>
      </c>
      <c r="C17" s="2" t="s">
        <v>1176</v>
      </c>
      <c r="D17" s="2" t="s">
        <v>0</v>
      </c>
      <c r="E17" s="2" t="s">
        <v>1177</v>
      </c>
      <c r="F17" s="2" t="s">
        <v>83</v>
      </c>
      <c r="G17" s="2"/>
      <c r="H17" s="2"/>
      <c r="I17" s="2"/>
      <c r="J17" s="2" t="s">
        <v>2554</v>
      </c>
      <c r="K17" s="2">
        <v>1</v>
      </c>
      <c r="L17" s="4">
        <v>5</v>
      </c>
      <c r="N17" s="5"/>
      <c r="O17" s="2"/>
      <c r="P17" s="2" t="s">
        <v>174</v>
      </c>
      <c r="Q17" s="2" t="s">
        <v>175</v>
      </c>
      <c r="R17" s="2" t="s">
        <v>13</v>
      </c>
      <c r="S17" s="2" t="s">
        <v>176</v>
      </c>
      <c r="T17" s="2" t="s">
        <v>43</v>
      </c>
      <c r="U17" s="2"/>
    </row>
    <row r="18" spans="1:21" x14ac:dyDescent="0.25">
      <c r="A18" s="181">
        <v>46174</v>
      </c>
      <c r="B18" s="2" t="s">
        <v>1169</v>
      </c>
      <c r="C18" s="2" t="s">
        <v>1170</v>
      </c>
      <c r="D18" s="2" t="s">
        <v>0</v>
      </c>
      <c r="E18" s="2" t="s">
        <v>1171</v>
      </c>
      <c r="F18" s="2" t="s">
        <v>995</v>
      </c>
      <c r="G18" s="2"/>
      <c r="H18" s="2"/>
      <c r="I18" s="2"/>
      <c r="J18" s="2" t="s">
        <v>2554</v>
      </c>
      <c r="K18" s="2">
        <v>1</v>
      </c>
      <c r="L18" s="4">
        <v>5</v>
      </c>
      <c r="N18" s="5"/>
      <c r="O18" s="2"/>
      <c r="P18" s="2" t="s">
        <v>177</v>
      </c>
      <c r="Q18" s="2" t="s">
        <v>178</v>
      </c>
      <c r="R18" s="2" t="s">
        <v>13</v>
      </c>
      <c r="S18" s="2" t="s">
        <v>179</v>
      </c>
      <c r="T18" s="2" t="s">
        <v>43</v>
      </c>
      <c r="U18" s="2"/>
    </row>
    <row r="19" spans="1:21" x14ac:dyDescent="0.25">
      <c r="A19" s="181">
        <v>46174</v>
      </c>
      <c r="B19" s="2" t="s">
        <v>1585</v>
      </c>
      <c r="C19" s="2" t="s">
        <v>1586</v>
      </c>
      <c r="D19" s="2" t="s">
        <v>12</v>
      </c>
      <c r="E19" s="2" t="s">
        <v>1587</v>
      </c>
      <c r="F19" s="2" t="s">
        <v>309</v>
      </c>
      <c r="G19" s="2"/>
      <c r="H19" s="2"/>
      <c r="I19" s="2"/>
      <c r="J19" s="2" t="s">
        <v>2554</v>
      </c>
      <c r="K19" s="2">
        <v>1</v>
      </c>
      <c r="L19" s="4">
        <v>8.5</v>
      </c>
      <c r="N19" s="5"/>
      <c r="O19" s="2"/>
      <c r="P19" s="2" t="s">
        <v>2324</v>
      </c>
      <c r="Q19" s="2" t="s">
        <v>2325</v>
      </c>
      <c r="R19" s="2" t="s">
        <v>13</v>
      </c>
      <c r="S19" s="2" t="s">
        <v>179</v>
      </c>
      <c r="T19" s="2" t="s">
        <v>43</v>
      </c>
      <c r="U19" s="2"/>
    </row>
    <row r="20" spans="1:21" x14ac:dyDescent="0.25">
      <c r="A20" s="181">
        <v>46174</v>
      </c>
      <c r="B20" s="2" t="s">
        <v>1862</v>
      </c>
      <c r="C20" s="2" t="s">
        <v>2275</v>
      </c>
      <c r="D20" s="2" t="s">
        <v>0</v>
      </c>
      <c r="E20" s="2" t="s">
        <v>1539</v>
      </c>
      <c r="F20" s="2" t="s">
        <v>33</v>
      </c>
      <c r="G20" s="2"/>
      <c r="H20" s="2"/>
      <c r="I20" s="2"/>
      <c r="J20" s="2" t="s">
        <v>2554</v>
      </c>
      <c r="K20" s="2">
        <v>1</v>
      </c>
      <c r="L20" s="4">
        <v>13.5</v>
      </c>
      <c r="N20" s="5"/>
      <c r="O20" s="2"/>
      <c r="P20" s="2" t="s">
        <v>2001</v>
      </c>
      <c r="Q20" s="2" t="s">
        <v>2002</v>
      </c>
      <c r="R20" s="2" t="s">
        <v>13</v>
      </c>
      <c r="S20" s="2" t="s">
        <v>2003</v>
      </c>
      <c r="T20" s="2" t="s">
        <v>43</v>
      </c>
      <c r="U20" s="2"/>
    </row>
    <row r="21" spans="1:21" x14ac:dyDescent="0.25">
      <c r="A21" s="181">
        <v>46174</v>
      </c>
      <c r="B21" s="2" t="s">
        <v>1598</v>
      </c>
      <c r="C21" s="2" t="s">
        <v>1599</v>
      </c>
      <c r="D21" s="2" t="s">
        <v>12</v>
      </c>
      <c r="E21" s="2" t="s">
        <v>1600</v>
      </c>
      <c r="F21" s="2" t="s">
        <v>301</v>
      </c>
      <c r="G21" s="2"/>
      <c r="H21" s="2"/>
      <c r="I21" s="2"/>
      <c r="J21" s="2" t="s">
        <v>2554</v>
      </c>
      <c r="K21" s="2">
        <v>1</v>
      </c>
      <c r="L21" s="4">
        <v>18.5</v>
      </c>
      <c r="N21" s="5"/>
      <c r="O21" s="2"/>
      <c r="P21" s="2" t="s">
        <v>2537</v>
      </c>
      <c r="Q21" s="2" t="s">
        <v>2538</v>
      </c>
      <c r="R21" s="2" t="s">
        <v>13</v>
      </c>
      <c r="S21" s="2" t="s">
        <v>2539</v>
      </c>
      <c r="T21" s="2" t="s">
        <v>43</v>
      </c>
      <c r="U21" s="2"/>
    </row>
    <row r="22" spans="1:21" x14ac:dyDescent="0.25">
      <c r="A22" s="181">
        <v>46174</v>
      </c>
      <c r="B22" s="2" t="s">
        <v>1601</v>
      </c>
      <c r="C22" s="2" t="s">
        <v>1602</v>
      </c>
      <c r="D22" s="2" t="s">
        <v>12</v>
      </c>
      <c r="E22" s="2" t="s">
        <v>1600</v>
      </c>
      <c r="F22" s="2" t="s">
        <v>301</v>
      </c>
      <c r="G22" s="2"/>
      <c r="H22" s="2"/>
      <c r="I22" s="2"/>
      <c r="J22" s="2" t="s">
        <v>2554</v>
      </c>
      <c r="K22" s="2">
        <v>1</v>
      </c>
      <c r="L22" s="4">
        <v>5</v>
      </c>
      <c r="N22" s="5"/>
      <c r="O22" s="2"/>
      <c r="P22" s="2" t="s">
        <v>180</v>
      </c>
      <c r="Q22" s="2" t="s">
        <v>181</v>
      </c>
      <c r="R22" s="2" t="s">
        <v>13</v>
      </c>
      <c r="S22" s="2" t="s">
        <v>182</v>
      </c>
      <c r="T22" s="2" t="s">
        <v>43</v>
      </c>
      <c r="U22" s="2"/>
    </row>
    <row r="23" spans="1:21" x14ac:dyDescent="0.25">
      <c r="A23" s="181">
        <v>46174</v>
      </c>
      <c r="B23" s="2" t="s">
        <v>1040</v>
      </c>
      <c r="C23" s="2" t="s">
        <v>2286</v>
      </c>
      <c r="D23" s="2" t="s">
        <v>0</v>
      </c>
      <c r="E23" s="2" t="s">
        <v>1041</v>
      </c>
      <c r="F23" s="2" t="s">
        <v>87</v>
      </c>
      <c r="G23" s="2"/>
      <c r="H23" s="2"/>
      <c r="I23" s="2"/>
      <c r="J23" s="2" t="s">
        <v>2551</v>
      </c>
      <c r="K23" s="2">
        <v>2</v>
      </c>
      <c r="L23" s="4">
        <v>16.5</v>
      </c>
      <c r="N23" s="5"/>
      <c r="O23" s="2"/>
      <c r="P23" s="2" t="s">
        <v>183</v>
      </c>
      <c r="Q23" s="2" t="s">
        <v>184</v>
      </c>
      <c r="R23" s="2" t="s">
        <v>13</v>
      </c>
      <c r="S23" s="2" t="s">
        <v>185</v>
      </c>
      <c r="T23" s="2" t="s">
        <v>43</v>
      </c>
      <c r="U23" s="2"/>
    </row>
    <row r="24" spans="1:21" x14ac:dyDescent="0.25">
      <c r="A24" s="181">
        <v>46174</v>
      </c>
      <c r="B24" s="2" t="s">
        <v>928</v>
      </c>
      <c r="C24" s="2" t="s">
        <v>929</v>
      </c>
      <c r="D24" s="2" t="s">
        <v>0</v>
      </c>
      <c r="E24" s="2" t="s">
        <v>930</v>
      </c>
      <c r="F24" s="2" t="s">
        <v>931</v>
      </c>
      <c r="G24" s="2"/>
      <c r="H24" s="2"/>
      <c r="I24" s="2"/>
      <c r="J24" s="2" t="s">
        <v>2551</v>
      </c>
      <c r="K24" s="2">
        <v>2</v>
      </c>
      <c r="L24" s="4">
        <v>10</v>
      </c>
      <c r="N24" s="5"/>
      <c r="O24" s="2"/>
      <c r="P24" s="2" t="s">
        <v>186</v>
      </c>
      <c r="Q24" s="2" t="s">
        <v>187</v>
      </c>
      <c r="R24" s="2" t="s">
        <v>13</v>
      </c>
      <c r="S24" s="2" t="s">
        <v>188</v>
      </c>
      <c r="T24" s="2" t="s">
        <v>43</v>
      </c>
      <c r="U24" s="2"/>
    </row>
    <row r="25" spans="1:21" x14ac:dyDescent="0.25">
      <c r="A25" s="181">
        <v>46174</v>
      </c>
      <c r="B25" s="2" t="s">
        <v>932</v>
      </c>
      <c r="C25" s="2" t="s">
        <v>933</v>
      </c>
      <c r="D25" s="2" t="s">
        <v>0</v>
      </c>
      <c r="E25" s="2" t="s">
        <v>934</v>
      </c>
      <c r="F25" s="2" t="s">
        <v>931</v>
      </c>
      <c r="G25" s="2"/>
      <c r="H25" s="2"/>
      <c r="I25" s="2"/>
      <c r="J25" s="2" t="s">
        <v>2551</v>
      </c>
      <c r="K25" s="2">
        <v>2</v>
      </c>
      <c r="L25" s="4">
        <v>10</v>
      </c>
      <c r="N25" s="5"/>
      <c r="O25" s="2"/>
      <c r="P25" s="2" t="s">
        <v>192</v>
      </c>
      <c r="Q25" s="2" t="s">
        <v>193</v>
      </c>
      <c r="R25" s="2" t="s">
        <v>13</v>
      </c>
      <c r="S25" s="2" t="s">
        <v>194</v>
      </c>
      <c r="T25" s="2" t="s">
        <v>43</v>
      </c>
      <c r="U25" s="2"/>
    </row>
    <row r="26" spans="1:21" x14ac:dyDescent="0.25">
      <c r="A26" s="181">
        <v>46174</v>
      </c>
      <c r="B26" s="2" t="s">
        <v>206</v>
      </c>
      <c r="C26" s="2" t="s">
        <v>207</v>
      </c>
      <c r="D26" s="2" t="s">
        <v>13</v>
      </c>
      <c r="E26" s="2" t="s">
        <v>208</v>
      </c>
      <c r="F26" s="2" t="s">
        <v>209</v>
      </c>
      <c r="G26" s="2"/>
      <c r="H26" s="2"/>
      <c r="I26" s="2"/>
      <c r="J26" s="2" t="s">
        <v>2554</v>
      </c>
      <c r="K26" s="2">
        <v>1</v>
      </c>
      <c r="L26" s="4">
        <v>5</v>
      </c>
      <c r="N26" s="5"/>
      <c r="O26" s="2"/>
      <c r="P26" s="2" t="s">
        <v>195</v>
      </c>
      <c r="Q26" s="2" t="s">
        <v>196</v>
      </c>
      <c r="R26" s="2" t="s">
        <v>13</v>
      </c>
      <c r="S26" s="2" t="s">
        <v>197</v>
      </c>
      <c r="T26" s="2" t="s">
        <v>43</v>
      </c>
      <c r="U26" s="2"/>
    </row>
    <row r="27" spans="1:21" x14ac:dyDescent="0.25">
      <c r="A27" s="181">
        <v>46174</v>
      </c>
      <c r="B27" s="2" t="s">
        <v>1004</v>
      </c>
      <c r="C27" s="2" t="s">
        <v>1005</v>
      </c>
      <c r="D27" s="2" t="s">
        <v>0</v>
      </c>
      <c r="E27" s="2" t="s">
        <v>1006</v>
      </c>
      <c r="F27" s="2" t="s">
        <v>87</v>
      </c>
      <c r="G27" s="2"/>
      <c r="H27" s="2"/>
      <c r="I27" s="2"/>
      <c r="J27" s="2" t="s">
        <v>2554</v>
      </c>
      <c r="K27" s="2">
        <v>1</v>
      </c>
      <c r="L27" s="4">
        <v>5</v>
      </c>
      <c r="N27" s="5"/>
      <c r="O27" s="2"/>
      <c r="P27" s="2" t="s">
        <v>198</v>
      </c>
      <c r="Q27" s="2" t="s">
        <v>199</v>
      </c>
      <c r="R27" s="2" t="s">
        <v>13</v>
      </c>
      <c r="S27" s="2" t="s">
        <v>200</v>
      </c>
      <c r="T27" s="2" t="s">
        <v>43</v>
      </c>
      <c r="U27" s="2"/>
    </row>
    <row r="28" spans="1:21" x14ac:dyDescent="0.25">
      <c r="A28" s="181">
        <v>46174</v>
      </c>
      <c r="B28" s="2" t="s">
        <v>471</v>
      </c>
      <c r="C28" s="2" t="s">
        <v>472</v>
      </c>
      <c r="D28" s="2" t="s">
        <v>12</v>
      </c>
      <c r="E28" s="2" t="s">
        <v>473</v>
      </c>
      <c r="F28" s="2" t="s">
        <v>97</v>
      </c>
      <c r="G28" s="2"/>
      <c r="H28" s="2"/>
      <c r="I28" s="2"/>
      <c r="J28" s="2" t="s">
        <v>2554</v>
      </c>
      <c r="K28" s="2">
        <v>1</v>
      </c>
      <c r="L28" s="4">
        <v>5</v>
      </c>
      <c r="N28" s="5"/>
      <c r="O28" s="2"/>
      <c r="P28" s="2" t="s">
        <v>1315</v>
      </c>
      <c r="Q28" s="2" t="s">
        <v>1316</v>
      </c>
      <c r="R28" s="2" t="s">
        <v>13</v>
      </c>
      <c r="S28" s="2" t="s">
        <v>2540</v>
      </c>
      <c r="T28" s="2" t="s">
        <v>43</v>
      </c>
      <c r="U28" s="2"/>
    </row>
    <row r="29" spans="1:21" ht="15.75" thickBot="1" x14ac:dyDescent="0.3">
      <c r="A29" s="211">
        <v>46174</v>
      </c>
      <c r="B29" s="212" t="s">
        <v>850</v>
      </c>
      <c r="C29" s="212" t="s">
        <v>851</v>
      </c>
      <c r="D29" s="212" t="s">
        <v>0</v>
      </c>
      <c r="E29" s="212" t="s">
        <v>852</v>
      </c>
      <c r="F29" s="212" t="s">
        <v>39</v>
      </c>
      <c r="G29" s="244"/>
      <c r="H29" s="244"/>
      <c r="I29" s="244"/>
      <c r="J29" s="244" t="s">
        <v>2554</v>
      </c>
      <c r="K29" s="244">
        <v>1</v>
      </c>
      <c r="L29" s="251">
        <v>14.5</v>
      </c>
      <c r="M29" s="320">
        <f>SUM(L4:L29)</f>
        <v>506</v>
      </c>
      <c r="N29" s="5"/>
      <c r="O29" s="2"/>
      <c r="P29" s="2" t="s">
        <v>1317</v>
      </c>
      <c r="Q29" s="2" t="s">
        <v>1318</v>
      </c>
      <c r="R29" s="2" t="s">
        <v>13</v>
      </c>
      <c r="S29" s="2" t="s">
        <v>1319</v>
      </c>
      <c r="T29" s="2" t="s">
        <v>43</v>
      </c>
      <c r="U29" s="2"/>
    </row>
    <row r="30" spans="1:21" x14ac:dyDescent="0.25">
      <c r="A30" s="261">
        <v>46175</v>
      </c>
      <c r="B30" s="2" t="s">
        <v>1816</v>
      </c>
      <c r="C30" s="2" t="s">
        <v>1817</v>
      </c>
      <c r="D30" s="2" t="s">
        <v>0</v>
      </c>
      <c r="E30" s="2" t="s">
        <v>1818</v>
      </c>
      <c r="F30" s="2" t="s">
        <v>1819</v>
      </c>
      <c r="G30" s="161"/>
      <c r="H30" s="161"/>
      <c r="I30" s="161"/>
      <c r="J30" s="161" t="s">
        <v>2556</v>
      </c>
      <c r="K30" s="161">
        <v>9</v>
      </c>
      <c r="L30" s="97">
        <v>45</v>
      </c>
      <c r="N30" s="5"/>
      <c r="O30" s="2"/>
      <c r="P30" s="2" t="s">
        <v>201</v>
      </c>
      <c r="Q30" s="2" t="s">
        <v>202</v>
      </c>
      <c r="R30" s="2" t="s">
        <v>13</v>
      </c>
      <c r="S30" s="2" t="s">
        <v>203</v>
      </c>
      <c r="T30" s="2" t="s">
        <v>204</v>
      </c>
      <c r="U30" s="2"/>
    </row>
    <row r="31" spans="1:21" x14ac:dyDescent="0.25">
      <c r="A31" s="261">
        <v>46175</v>
      </c>
      <c r="B31" s="2" t="s">
        <v>1136</v>
      </c>
      <c r="C31" s="2" t="s">
        <v>1137</v>
      </c>
      <c r="D31" s="2" t="s">
        <v>0</v>
      </c>
      <c r="E31" s="2" t="s">
        <v>1138</v>
      </c>
      <c r="F31" s="2" t="s">
        <v>33</v>
      </c>
      <c r="G31" s="2"/>
      <c r="H31" s="2"/>
      <c r="I31" s="2"/>
      <c r="J31" s="2" t="s">
        <v>2551</v>
      </c>
      <c r="K31" s="2">
        <v>2</v>
      </c>
      <c r="L31" s="4">
        <v>97</v>
      </c>
      <c r="N31" s="5"/>
      <c r="O31" s="2"/>
      <c r="P31" s="2" t="s">
        <v>1383</v>
      </c>
      <c r="Q31" s="2" t="s">
        <v>1384</v>
      </c>
      <c r="R31" s="2" t="s">
        <v>13</v>
      </c>
      <c r="S31" s="2" t="s">
        <v>1385</v>
      </c>
      <c r="T31" s="2" t="s">
        <v>43</v>
      </c>
      <c r="U31" s="2"/>
    </row>
    <row r="32" spans="1:21" x14ac:dyDescent="0.25">
      <c r="A32" s="261">
        <v>46175</v>
      </c>
      <c r="B32" s="2" t="s">
        <v>884</v>
      </c>
      <c r="C32" s="2" t="s">
        <v>885</v>
      </c>
      <c r="D32" s="2" t="s">
        <v>0</v>
      </c>
      <c r="E32" s="2" t="s">
        <v>886</v>
      </c>
      <c r="F32" s="2" t="s">
        <v>887</v>
      </c>
      <c r="G32" s="2"/>
      <c r="H32" s="2"/>
      <c r="I32" s="2"/>
      <c r="J32" s="2" t="s">
        <v>2551</v>
      </c>
      <c r="K32" s="2">
        <v>2</v>
      </c>
      <c r="L32" s="4">
        <v>13.5</v>
      </c>
      <c r="M32" s="6"/>
      <c r="N32" s="5"/>
      <c r="O32" s="2"/>
      <c r="P32" s="2" t="s">
        <v>146</v>
      </c>
      <c r="Q32" s="2" t="s">
        <v>147</v>
      </c>
      <c r="R32" s="2" t="s">
        <v>13</v>
      </c>
      <c r="S32" s="2" t="s">
        <v>148</v>
      </c>
      <c r="T32" s="2" t="s">
        <v>43</v>
      </c>
      <c r="U32" s="2"/>
    </row>
    <row r="33" spans="1:21" x14ac:dyDescent="0.25">
      <c r="A33" s="261">
        <v>46175</v>
      </c>
      <c r="B33" s="161" t="s">
        <v>649</v>
      </c>
      <c r="C33" s="161" t="s">
        <v>650</v>
      </c>
      <c r="D33" s="161" t="s">
        <v>12</v>
      </c>
      <c r="E33" s="161" t="s">
        <v>651</v>
      </c>
      <c r="F33" s="161" t="s">
        <v>43</v>
      </c>
      <c r="G33" s="2"/>
      <c r="H33" s="2"/>
      <c r="I33" s="2"/>
      <c r="J33" s="2" t="s">
        <v>2551</v>
      </c>
      <c r="K33" s="2">
        <v>2</v>
      </c>
      <c r="L33" s="4">
        <v>89</v>
      </c>
      <c r="O33" s="2"/>
      <c r="P33" s="2" t="s">
        <v>1386</v>
      </c>
      <c r="Q33" s="2" t="s">
        <v>1387</v>
      </c>
      <c r="R33" s="2" t="s">
        <v>13</v>
      </c>
      <c r="S33" s="2" t="s">
        <v>1388</v>
      </c>
      <c r="T33" s="2" t="s">
        <v>43</v>
      </c>
      <c r="U33" s="2"/>
    </row>
    <row r="34" spans="1:21" x14ac:dyDescent="0.25">
      <c r="A34" s="261">
        <v>46175</v>
      </c>
      <c r="B34" s="2" t="s">
        <v>1281</v>
      </c>
      <c r="C34" s="2" t="s">
        <v>1282</v>
      </c>
      <c r="D34" s="2" t="s">
        <v>0</v>
      </c>
      <c r="E34" s="2" t="s">
        <v>2288</v>
      </c>
      <c r="F34" s="2" t="s">
        <v>33</v>
      </c>
      <c r="G34" s="2"/>
      <c r="H34" s="2"/>
      <c r="I34" s="2"/>
      <c r="J34" s="178" t="s">
        <v>2554</v>
      </c>
      <c r="K34" s="2">
        <v>1</v>
      </c>
      <c r="L34" s="4">
        <v>10.5</v>
      </c>
      <c r="M34" s="6"/>
      <c r="O34" s="2"/>
      <c r="P34" s="2" t="s">
        <v>1389</v>
      </c>
      <c r="Q34" s="2" t="s">
        <v>1390</v>
      </c>
      <c r="R34" s="2" t="s">
        <v>13</v>
      </c>
      <c r="S34" s="2" t="s">
        <v>1391</v>
      </c>
      <c r="T34" s="2" t="s">
        <v>43</v>
      </c>
      <c r="U34" s="2"/>
    </row>
    <row r="35" spans="1:21" x14ac:dyDescent="0.25">
      <c r="A35" s="261">
        <v>46175</v>
      </c>
      <c r="B35" s="2" t="s">
        <v>876</v>
      </c>
      <c r="C35" s="2" t="s">
        <v>877</v>
      </c>
      <c r="D35" s="2" t="s">
        <v>0</v>
      </c>
      <c r="E35" s="2" t="s">
        <v>878</v>
      </c>
      <c r="F35" s="2" t="s">
        <v>879</v>
      </c>
      <c r="G35" s="2"/>
      <c r="H35" s="2"/>
      <c r="I35" s="2"/>
      <c r="J35" s="2" t="s">
        <v>2554</v>
      </c>
      <c r="K35" s="2">
        <v>1</v>
      </c>
      <c r="L35" s="4">
        <v>20.5</v>
      </c>
      <c r="O35" s="2"/>
      <c r="P35" s="2" t="s">
        <v>149</v>
      </c>
      <c r="Q35" s="2" t="s">
        <v>150</v>
      </c>
      <c r="R35" s="2" t="s">
        <v>13</v>
      </c>
      <c r="S35" s="2" t="s">
        <v>151</v>
      </c>
      <c r="T35" s="2" t="s">
        <v>205</v>
      </c>
      <c r="U35" s="2"/>
    </row>
    <row r="36" spans="1:21" x14ac:dyDescent="0.25">
      <c r="A36" s="261">
        <v>46175</v>
      </c>
      <c r="B36" s="2" t="s">
        <v>1229</v>
      </c>
      <c r="C36" s="2" t="s">
        <v>1230</v>
      </c>
      <c r="D36" s="2" t="s">
        <v>0</v>
      </c>
      <c r="E36" s="2" t="s">
        <v>1231</v>
      </c>
      <c r="F36" s="2" t="s">
        <v>39</v>
      </c>
      <c r="G36" s="2"/>
      <c r="H36" s="2"/>
      <c r="I36" s="2"/>
      <c r="J36" s="2" t="s">
        <v>2554</v>
      </c>
      <c r="K36" s="2">
        <v>1</v>
      </c>
      <c r="L36" s="4">
        <v>13.5</v>
      </c>
      <c r="O36" s="2"/>
      <c r="P36" s="2" t="s">
        <v>206</v>
      </c>
      <c r="Q36" s="2" t="s">
        <v>207</v>
      </c>
      <c r="R36" s="2" t="s">
        <v>13</v>
      </c>
      <c r="S36" s="2" t="s">
        <v>208</v>
      </c>
      <c r="T36" s="2" t="s">
        <v>209</v>
      </c>
      <c r="U36" s="2"/>
    </row>
    <row r="37" spans="1:21" x14ac:dyDescent="0.25">
      <c r="A37" s="261">
        <v>46175</v>
      </c>
      <c r="B37" s="2" t="s">
        <v>739</v>
      </c>
      <c r="C37" s="2" t="s">
        <v>740</v>
      </c>
      <c r="D37" s="2" t="s">
        <v>12</v>
      </c>
      <c r="E37" s="2" t="s">
        <v>741</v>
      </c>
      <c r="F37" s="2" t="s">
        <v>12</v>
      </c>
      <c r="G37" s="2"/>
      <c r="H37" s="2"/>
      <c r="I37" s="2"/>
      <c r="J37" s="2" t="s">
        <v>2554</v>
      </c>
      <c r="K37" s="2">
        <v>1</v>
      </c>
      <c r="L37" s="4">
        <v>5</v>
      </c>
      <c r="O37" s="2"/>
      <c r="P37" s="2" t="s">
        <v>1392</v>
      </c>
      <c r="Q37" s="2" t="s">
        <v>1393</v>
      </c>
      <c r="R37" s="2" t="s">
        <v>13</v>
      </c>
      <c r="S37" s="2" t="s">
        <v>1394</v>
      </c>
      <c r="T37" s="2" t="s">
        <v>43</v>
      </c>
      <c r="U37" s="2"/>
    </row>
    <row r="38" spans="1:21" x14ac:dyDescent="0.25">
      <c r="A38" s="261">
        <v>46175</v>
      </c>
      <c r="B38" s="2" t="s">
        <v>828</v>
      </c>
      <c r="C38" s="2" t="s">
        <v>829</v>
      </c>
      <c r="D38" s="2" t="s">
        <v>14</v>
      </c>
      <c r="E38" s="2" t="s">
        <v>830</v>
      </c>
      <c r="F38" s="2" t="s">
        <v>32</v>
      </c>
      <c r="G38" s="161"/>
      <c r="H38" s="178"/>
      <c r="I38" s="178"/>
      <c r="J38" s="178" t="s">
        <v>2554</v>
      </c>
      <c r="K38" s="178">
        <v>1</v>
      </c>
      <c r="L38" s="226">
        <v>5</v>
      </c>
      <c r="O38" s="2"/>
      <c r="P38" s="2" t="s">
        <v>210</v>
      </c>
      <c r="Q38" s="2" t="s">
        <v>211</v>
      </c>
      <c r="R38" s="2" t="s">
        <v>13</v>
      </c>
      <c r="S38" s="2" t="s">
        <v>212</v>
      </c>
      <c r="T38" s="2" t="s">
        <v>205</v>
      </c>
      <c r="U38" s="2"/>
    </row>
    <row r="39" spans="1:21" x14ac:dyDescent="0.25">
      <c r="A39" s="261">
        <v>46175</v>
      </c>
      <c r="B39" s="248" t="s">
        <v>160</v>
      </c>
      <c r="C39" s="248" t="s">
        <v>161</v>
      </c>
      <c r="D39" s="2" t="s">
        <v>16</v>
      </c>
      <c r="E39" s="248" t="s">
        <v>162</v>
      </c>
      <c r="F39" s="248" t="s">
        <v>56</v>
      </c>
      <c r="G39" s="2"/>
      <c r="H39" s="2"/>
      <c r="I39" s="2"/>
      <c r="J39" s="2" t="s">
        <v>2554</v>
      </c>
      <c r="K39" s="2">
        <v>1</v>
      </c>
      <c r="L39" s="4">
        <v>6.5</v>
      </c>
      <c r="O39" s="2"/>
      <c r="P39" s="2" t="s">
        <v>1320</v>
      </c>
      <c r="Q39" s="2" t="s">
        <v>1321</v>
      </c>
      <c r="R39" s="2" t="s">
        <v>13</v>
      </c>
      <c r="S39" s="2" t="s">
        <v>1322</v>
      </c>
      <c r="T39" s="2" t="s">
        <v>45</v>
      </c>
      <c r="U39" s="2"/>
    </row>
    <row r="40" spans="1:21" x14ac:dyDescent="0.25">
      <c r="A40" s="181">
        <v>46175</v>
      </c>
      <c r="B40" s="2" t="s">
        <v>1729</v>
      </c>
      <c r="C40" s="2" t="s">
        <v>1730</v>
      </c>
      <c r="D40" s="2" t="s">
        <v>12</v>
      </c>
      <c r="E40" s="2" t="s">
        <v>1731</v>
      </c>
      <c r="F40" s="2" t="s">
        <v>309</v>
      </c>
      <c r="G40" s="2"/>
      <c r="H40" s="2"/>
      <c r="I40" s="2"/>
      <c r="J40" s="2" t="s">
        <v>2551</v>
      </c>
      <c r="K40" s="2">
        <v>2</v>
      </c>
      <c r="L40" s="4">
        <v>14</v>
      </c>
      <c r="O40" s="2" t="s">
        <v>2387</v>
      </c>
      <c r="P40" s="2" t="s">
        <v>1395</v>
      </c>
      <c r="Q40" s="2" t="s">
        <v>1396</v>
      </c>
      <c r="R40" s="2" t="s">
        <v>13</v>
      </c>
      <c r="S40" s="2" t="s">
        <v>1397</v>
      </c>
      <c r="T40" s="2" t="s">
        <v>43</v>
      </c>
      <c r="U40" s="2"/>
    </row>
    <row r="41" spans="1:21" x14ac:dyDescent="0.25">
      <c r="A41" s="181">
        <v>46175</v>
      </c>
      <c r="B41" s="2" t="s">
        <v>662</v>
      </c>
      <c r="C41" s="2" t="s">
        <v>663</v>
      </c>
      <c r="D41" s="2" t="s">
        <v>12</v>
      </c>
      <c r="E41" s="2" t="s">
        <v>664</v>
      </c>
      <c r="F41" s="2" t="s">
        <v>44</v>
      </c>
      <c r="G41" s="2"/>
      <c r="H41" s="2"/>
      <c r="I41" s="2"/>
      <c r="J41" s="2" t="s">
        <v>2554</v>
      </c>
      <c r="K41" s="2">
        <v>1</v>
      </c>
      <c r="L41" s="4">
        <v>59.5</v>
      </c>
      <c r="O41" s="2"/>
      <c r="P41" s="2" t="s">
        <v>213</v>
      </c>
      <c r="Q41" s="2" t="s">
        <v>214</v>
      </c>
      <c r="R41" s="2" t="s">
        <v>13</v>
      </c>
      <c r="S41" s="2" t="s">
        <v>215</v>
      </c>
      <c r="T41" s="2" t="s">
        <v>43</v>
      </c>
      <c r="U41" s="2"/>
    </row>
    <row r="42" spans="1:21" x14ac:dyDescent="0.25">
      <c r="A42" s="181">
        <v>46175</v>
      </c>
      <c r="B42" s="2" t="s">
        <v>857</v>
      </c>
      <c r="C42" s="2" t="s">
        <v>858</v>
      </c>
      <c r="D42" s="2" t="s">
        <v>0</v>
      </c>
      <c r="E42" s="2" t="s">
        <v>859</v>
      </c>
      <c r="F42" s="2" t="s">
        <v>860</v>
      </c>
      <c r="G42" s="2"/>
      <c r="H42" s="2"/>
      <c r="I42" s="2"/>
      <c r="J42" s="2" t="s">
        <v>2554</v>
      </c>
      <c r="K42" s="2">
        <v>1</v>
      </c>
      <c r="L42" s="4">
        <v>14.5</v>
      </c>
      <c r="O42" s="2"/>
      <c r="P42" s="2" t="s">
        <v>216</v>
      </c>
      <c r="Q42" s="2" t="s">
        <v>217</v>
      </c>
      <c r="R42" s="2" t="s">
        <v>13</v>
      </c>
      <c r="S42" s="2" t="s">
        <v>218</v>
      </c>
      <c r="T42" s="2" t="s">
        <v>43</v>
      </c>
      <c r="U42" s="2"/>
    </row>
    <row r="43" spans="1:21" x14ac:dyDescent="0.25">
      <c r="A43" s="181">
        <v>46175</v>
      </c>
      <c r="B43" s="2">
        <v>791</v>
      </c>
      <c r="C43" s="2" t="s">
        <v>2422</v>
      </c>
      <c r="D43" s="2" t="s">
        <v>0</v>
      </c>
      <c r="E43" s="2" t="s">
        <v>2433</v>
      </c>
      <c r="F43" s="2" t="s">
        <v>2428</v>
      </c>
      <c r="G43" s="2"/>
      <c r="H43" s="2"/>
      <c r="I43" s="2"/>
      <c r="J43" s="2" t="s">
        <v>2554</v>
      </c>
      <c r="K43" s="2">
        <v>1</v>
      </c>
      <c r="L43" s="4">
        <v>5</v>
      </c>
      <c r="O43" s="2"/>
      <c r="P43" s="2" t="s">
        <v>219</v>
      </c>
      <c r="Q43" s="2" t="s">
        <v>220</v>
      </c>
      <c r="R43" s="2" t="s">
        <v>13</v>
      </c>
      <c r="S43" s="2" t="s">
        <v>221</v>
      </c>
      <c r="T43" s="2" t="s">
        <v>43</v>
      </c>
      <c r="U43" s="2"/>
    </row>
    <row r="44" spans="1:21" x14ac:dyDescent="0.25">
      <c r="A44" s="181">
        <v>46175</v>
      </c>
      <c r="B44" s="2" t="s">
        <v>992</v>
      </c>
      <c r="C44" s="2" t="s">
        <v>993</v>
      </c>
      <c r="D44" s="2" t="s">
        <v>0</v>
      </c>
      <c r="E44" s="2" t="s">
        <v>994</v>
      </c>
      <c r="F44" s="2" t="s">
        <v>995</v>
      </c>
      <c r="G44" s="2"/>
      <c r="H44" s="2"/>
      <c r="I44" s="2"/>
      <c r="J44" s="2" t="s">
        <v>2554</v>
      </c>
      <c r="K44" s="2">
        <v>1</v>
      </c>
      <c r="L44" s="4">
        <v>14.5</v>
      </c>
      <c r="O44" s="2"/>
      <c r="P44" s="2" t="s">
        <v>222</v>
      </c>
      <c r="Q44" s="2" t="s">
        <v>223</v>
      </c>
      <c r="R44" s="2" t="s">
        <v>13</v>
      </c>
      <c r="S44" s="2" t="s">
        <v>224</v>
      </c>
      <c r="T44" s="2" t="s">
        <v>43</v>
      </c>
      <c r="U44" s="2"/>
    </row>
    <row r="45" spans="1:21" x14ac:dyDescent="0.25">
      <c r="A45" s="181">
        <v>46175</v>
      </c>
      <c r="B45" s="248" t="s">
        <v>171</v>
      </c>
      <c r="C45" s="248" t="s">
        <v>172</v>
      </c>
      <c r="D45" s="2" t="s">
        <v>17</v>
      </c>
      <c r="E45" s="248" t="s">
        <v>173</v>
      </c>
      <c r="F45" s="248" t="s">
        <v>170</v>
      </c>
      <c r="G45" s="2"/>
      <c r="H45" s="2"/>
      <c r="I45" s="2"/>
      <c r="J45" s="2" t="s">
        <v>2554</v>
      </c>
      <c r="K45" s="2">
        <v>1</v>
      </c>
      <c r="L45" s="4">
        <v>5</v>
      </c>
      <c r="O45" s="2"/>
      <c r="P45" s="2" t="s">
        <v>225</v>
      </c>
      <c r="Q45" s="2" t="s">
        <v>226</v>
      </c>
      <c r="R45" s="2" t="s">
        <v>13</v>
      </c>
      <c r="S45" s="2" t="s">
        <v>227</v>
      </c>
      <c r="T45" s="2" t="s">
        <v>43</v>
      </c>
      <c r="U45" s="2"/>
    </row>
    <row r="46" spans="1:21" ht="15.75" thickBot="1" x14ac:dyDescent="0.3">
      <c r="A46" s="211">
        <v>46175</v>
      </c>
      <c r="B46" s="270" t="s">
        <v>167</v>
      </c>
      <c r="C46" s="270" t="s">
        <v>168</v>
      </c>
      <c r="D46" s="212" t="s">
        <v>17</v>
      </c>
      <c r="E46" s="270" t="s">
        <v>169</v>
      </c>
      <c r="F46" s="270" t="s">
        <v>170</v>
      </c>
      <c r="G46" s="212"/>
      <c r="H46" s="212"/>
      <c r="I46" s="212"/>
      <c r="J46" s="212" t="s">
        <v>2554</v>
      </c>
      <c r="K46" s="212">
        <v>1</v>
      </c>
      <c r="L46" s="109">
        <v>5</v>
      </c>
      <c r="M46" s="320">
        <f>SUM(L30:L46)</f>
        <v>423</v>
      </c>
      <c r="O46" s="2"/>
      <c r="P46" s="2" t="s">
        <v>1398</v>
      </c>
      <c r="Q46" s="2" t="s">
        <v>1399</v>
      </c>
      <c r="R46" s="2" t="s">
        <v>13</v>
      </c>
      <c r="S46" s="2" t="s">
        <v>1400</v>
      </c>
      <c r="T46" s="2" t="s">
        <v>43</v>
      </c>
      <c r="U46" s="2"/>
    </row>
    <row r="47" spans="1:21" x14ac:dyDescent="0.25">
      <c r="A47" s="261">
        <v>46176</v>
      </c>
      <c r="B47" s="2" t="s">
        <v>1059</v>
      </c>
      <c r="C47" s="2" t="s">
        <v>1060</v>
      </c>
      <c r="D47" s="2" t="s">
        <v>0</v>
      </c>
      <c r="E47" s="2" t="s">
        <v>1061</v>
      </c>
      <c r="F47" s="2" t="s">
        <v>33</v>
      </c>
      <c r="G47" s="161"/>
      <c r="H47" s="161"/>
      <c r="I47" s="161"/>
      <c r="J47" s="161" t="s">
        <v>2552</v>
      </c>
      <c r="K47" s="161">
        <v>3</v>
      </c>
      <c r="L47" s="97">
        <v>15</v>
      </c>
      <c r="O47" s="2"/>
      <c r="P47" s="2" t="s">
        <v>228</v>
      </c>
      <c r="Q47" s="2" t="s">
        <v>229</v>
      </c>
      <c r="R47" s="2" t="s">
        <v>13</v>
      </c>
      <c r="S47" s="2" t="s">
        <v>230</v>
      </c>
      <c r="T47" s="2" t="s">
        <v>43</v>
      </c>
      <c r="U47" s="2"/>
    </row>
    <row r="48" spans="1:21" x14ac:dyDescent="0.25">
      <c r="A48" s="261">
        <v>46176</v>
      </c>
      <c r="B48" s="2" t="s">
        <v>1904</v>
      </c>
      <c r="C48" s="2" t="s">
        <v>1905</v>
      </c>
      <c r="D48" s="2" t="s">
        <v>0</v>
      </c>
      <c r="E48" s="2" t="s">
        <v>1906</v>
      </c>
      <c r="F48" s="2" t="s">
        <v>39</v>
      </c>
      <c r="G48" s="2"/>
      <c r="H48" s="2"/>
      <c r="I48" s="2"/>
      <c r="J48" s="2" t="s">
        <v>2554</v>
      </c>
      <c r="K48" s="2">
        <v>1</v>
      </c>
      <c r="L48" s="4">
        <v>5</v>
      </c>
      <c r="O48" s="2"/>
      <c r="P48" s="2" t="s">
        <v>231</v>
      </c>
      <c r="Q48" s="2" t="s">
        <v>232</v>
      </c>
      <c r="R48" s="2" t="s">
        <v>13</v>
      </c>
      <c r="S48" s="2" t="s">
        <v>233</v>
      </c>
      <c r="T48" s="2" t="s">
        <v>43</v>
      </c>
      <c r="U48" s="2"/>
    </row>
    <row r="49" spans="1:21" x14ac:dyDescent="0.25">
      <c r="A49" s="261">
        <v>46176</v>
      </c>
      <c r="B49" s="2" t="s">
        <v>342</v>
      </c>
      <c r="C49" s="2" t="s">
        <v>343</v>
      </c>
      <c r="D49" s="2" t="s">
        <v>12</v>
      </c>
      <c r="E49" s="2" t="s">
        <v>344</v>
      </c>
      <c r="F49" s="2" t="s">
        <v>316</v>
      </c>
      <c r="G49" s="2"/>
      <c r="H49" s="2"/>
      <c r="I49" s="2"/>
      <c r="J49" s="2" t="s">
        <v>2551</v>
      </c>
      <c r="K49" s="2">
        <v>2</v>
      </c>
      <c r="L49" s="4">
        <v>45</v>
      </c>
      <c r="O49" s="2"/>
      <c r="P49" s="2" t="s">
        <v>234</v>
      </c>
      <c r="Q49" s="2" t="s">
        <v>235</v>
      </c>
      <c r="R49" s="2" t="s">
        <v>13</v>
      </c>
      <c r="S49" s="2" t="s">
        <v>236</v>
      </c>
      <c r="T49" s="2" t="s">
        <v>43</v>
      </c>
      <c r="U49" s="2"/>
    </row>
    <row r="50" spans="1:21" x14ac:dyDescent="0.25">
      <c r="A50" s="261">
        <v>46176</v>
      </c>
      <c r="B50" s="2" t="s">
        <v>412</v>
      </c>
      <c r="C50" s="2" t="s">
        <v>413</v>
      </c>
      <c r="D50" s="2" t="s">
        <v>12</v>
      </c>
      <c r="E50" s="2" t="s">
        <v>414</v>
      </c>
      <c r="F50" s="2" t="s">
        <v>316</v>
      </c>
      <c r="G50" s="2"/>
      <c r="H50" s="2"/>
      <c r="I50" s="2"/>
      <c r="J50" s="2" t="s">
        <v>2554</v>
      </c>
      <c r="K50" s="2">
        <v>1</v>
      </c>
      <c r="L50" s="4">
        <v>5</v>
      </c>
      <c r="O50" s="2"/>
      <c r="P50" s="2" t="s">
        <v>237</v>
      </c>
      <c r="Q50" s="2" t="s">
        <v>238</v>
      </c>
      <c r="R50" s="2" t="s">
        <v>13</v>
      </c>
      <c r="S50" s="2" t="s">
        <v>239</v>
      </c>
      <c r="T50" s="2" t="s">
        <v>43</v>
      </c>
      <c r="U50" s="2"/>
    </row>
    <row r="51" spans="1:21" x14ac:dyDescent="0.25">
      <c r="A51" s="261">
        <v>46176</v>
      </c>
      <c r="B51" s="2" t="s">
        <v>942</v>
      </c>
      <c r="C51" s="2" t="s">
        <v>943</v>
      </c>
      <c r="D51" s="2" t="s">
        <v>0</v>
      </c>
      <c r="E51" s="2" t="s">
        <v>944</v>
      </c>
      <c r="F51" s="2" t="s">
        <v>39</v>
      </c>
      <c r="G51" s="2"/>
      <c r="H51" s="2"/>
      <c r="I51" s="2"/>
      <c r="J51" s="2" t="s">
        <v>2554</v>
      </c>
      <c r="K51" s="2">
        <v>1</v>
      </c>
      <c r="L51" s="4">
        <v>12.5</v>
      </c>
      <c r="O51" s="2"/>
      <c r="P51" s="2" t="s">
        <v>240</v>
      </c>
      <c r="Q51" s="2" t="s">
        <v>241</v>
      </c>
      <c r="R51" s="2" t="s">
        <v>13</v>
      </c>
      <c r="S51" s="2" t="s">
        <v>242</v>
      </c>
      <c r="T51" s="2" t="s">
        <v>43</v>
      </c>
      <c r="U51" s="2"/>
    </row>
    <row r="52" spans="1:21" x14ac:dyDescent="0.25">
      <c r="A52" s="261">
        <v>46176</v>
      </c>
      <c r="B52" s="2" t="s">
        <v>122</v>
      </c>
      <c r="C52" s="2" t="s">
        <v>123</v>
      </c>
      <c r="D52" s="2" t="s">
        <v>12</v>
      </c>
      <c r="E52" s="2" t="s">
        <v>124</v>
      </c>
      <c r="F52" s="2" t="s">
        <v>125</v>
      </c>
      <c r="G52" s="2"/>
      <c r="H52" s="2"/>
      <c r="I52" s="2"/>
      <c r="J52" s="2" t="s">
        <v>2554</v>
      </c>
      <c r="K52" s="2">
        <v>1</v>
      </c>
      <c r="L52" s="4">
        <v>12.5</v>
      </c>
      <c r="O52" s="2"/>
      <c r="P52" s="2" t="s">
        <v>243</v>
      </c>
      <c r="Q52" s="2" t="s">
        <v>244</v>
      </c>
      <c r="R52" s="2" t="s">
        <v>13</v>
      </c>
      <c r="S52" s="2" t="s">
        <v>245</v>
      </c>
      <c r="T52" s="2" t="s">
        <v>43</v>
      </c>
      <c r="U52" s="2"/>
    </row>
    <row r="53" spans="1:21" ht="15.75" thickBot="1" x14ac:dyDescent="0.3">
      <c r="A53" s="262">
        <v>46176</v>
      </c>
      <c r="B53" s="212" t="s">
        <v>2343</v>
      </c>
      <c r="C53" s="212" t="s">
        <v>2344</v>
      </c>
      <c r="D53" s="212" t="s">
        <v>0</v>
      </c>
      <c r="E53" s="212" t="s">
        <v>773</v>
      </c>
      <c r="F53" s="212" t="s">
        <v>2348</v>
      </c>
      <c r="G53" s="212"/>
      <c r="H53" s="212"/>
      <c r="I53" s="212"/>
      <c r="J53" s="212" t="s">
        <v>2554</v>
      </c>
      <c r="K53" s="212">
        <v>1</v>
      </c>
      <c r="L53" s="109">
        <v>25.5</v>
      </c>
      <c r="M53" s="320">
        <f>SUM(L47:L53)</f>
        <v>120.5</v>
      </c>
      <c r="O53" s="2"/>
      <c r="P53" s="2" t="s">
        <v>246</v>
      </c>
      <c r="Q53" s="2" t="s">
        <v>247</v>
      </c>
      <c r="R53" s="2" t="s">
        <v>13</v>
      </c>
      <c r="S53" s="2" t="s">
        <v>248</v>
      </c>
      <c r="T53" s="2" t="s">
        <v>43</v>
      </c>
      <c r="U53" s="2"/>
    </row>
    <row r="54" spans="1:21" x14ac:dyDescent="0.25">
      <c r="A54" s="261">
        <v>46177</v>
      </c>
      <c r="B54" s="2" t="s">
        <v>2403</v>
      </c>
      <c r="C54" s="2" t="s">
        <v>2404</v>
      </c>
      <c r="D54" s="2" t="s">
        <v>12</v>
      </c>
      <c r="E54" s="2" t="s">
        <v>1135</v>
      </c>
      <c r="F54" s="2" t="s">
        <v>2409</v>
      </c>
      <c r="G54" s="161"/>
      <c r="H54" s="161"/>
      <c r="I54" s="161"/>
      <c r="J54" s="161" t="s">
        <v>2554</v>
      </c>
      <c r="K54" s="161">
        <v>1</v>
      </c>
      <c r="L54" s="97">
        <v>5</v>
      </c>
      <c r="O54" s="2"/>
      <c r="P54" s="2" t="s">
        <v>249</v>
      </c>
      <c r="Q54" s="2" t="s">
        <v>250</v>
      </c>
      <c r="R54" s="2" t="s">
        <v>13</v>
      </c>
      <c r="S54" s="2" t="s">
        <v>251</v>
      </c>
      <c r="T54" s="2" t="s">
        <v>43</v>
      </c>
      <c r="U54" s="2"/>
    </row>
    <row r="55" spans="1:21" x14ac:dyDescent="0.25">
      <c r="A55" s="261">
        <v>46177</v>
      </c>
      <c r="B55" s="2" t="s">
        <v>593</v>
      </c>
      <c r="C55" s="2" t="s">
        <v>594</v>
      </c>
      <c r="D55" s="2" t="s">
        <v>12</v>
      </c>
      <c r="E55" s="2" t="s">
        <v>595</v>
      </c>
      <c r="F55" s="2" t="s">
        <v>125</v>
      </c>
      <c r="G55" s="2"/>
      <c r="H55" s="2"/>
      <c r="I55" s="2"/>
      <c r="J55" s="2" t="s">
        <v>2554</v>
      </c>
      <c r="K55" s="2">
        <v>1</v>
      </c>
      <c r="L55" s="4">
        <v>40.5</v>
      </c>
      <c r="O55" s="2"/>
      <c r="P55" s="2" t="s">
        <v>1401</v>
      </c>
      <c r="Q55" s="2" t="s">
        <v>1402</v>
      </c>
      <c r="R55" s="2" t="s">
        <v>13</v>
      </c>
      <c r="S55" s="2" t="s">
        <v>1403</v>
      </c>
      <c r="T55" s="2" t="s">
        <v>43</v>
      </c>
      <c r="U55" s="2"/>
    </row>
    <row r="56" spans="1:21" x14ac:dyDescent="0.25">
      <c r="A56" s="261">
        <v>46177</v>
      </c>
      <c r="B56" s="2" t="s">
        <v>632</v>
      </c>
      <c r="C56" s="2" t="s">
        <v>633</v>
      </c>
      <c r="D56" s="2" t="s">
        <v>12</v>
      </c>
      <c r="E56" s="2" t="s">
        <v>634</v>
      </c>
      <c r="F56" s="2" t="s">
        <v>316</v>
      </c>
      <c r="G56" s="2"/>
      <c r="H56" s="2"/>
      <c r="I56" s="2"/>
      <c r="J56" s="2" t="s">
        <v>2578</v>
      </c>
      <c r="K56" s="2">
        <v>5</v>
      </c>
      <c r="L56" s="4">
        <v>63.5</v>
      </c>
      <c r="O56" s="2"/>
      <c r="P56" s="2" t="s">
        <v>252</v>
      </c>
      <c r="Q56" s="2" t="s">
        <v>253</v>
      </c>
      <c r="R56" s="2" t="s">
        <v>13</v>
      </c>
      <c r="S56" s="2" t="s">
        <v>254</v>
      </c>
      <c r="T56" s="2" t="s">
        <v>43</v>
      </c>
      <c r="U56" s="2"/>
    </row>
    <row r="57" spans="1:21" x14ac:dyDescent="0.25">
      <c r="A57" s="261">
        <v>46177</v>
      </c>
      <c r="B57" s="2" t="s">
        <v>635</v>
      </c>
      <c r="C57" s="2" t="s">
        <v>636</v>
      </c>
      <c r="D57" s="2" t="s">
        <v>12</v>
      </c>
      <c r="E57" s="2" t="s">
        <v>634</v>
      </c>
      <c r="F57" s="2" t="s">
        <v>47</v>
      </c>
      <c r="G57" s="2"/>
      <c r="H57" s="2"/>
      <c r="I57" s="2"/>
      <c r="J57" s="2" t="s">
        <v>2578</v>
      </c>
      <c r="K57" s="2">
        <v>5</v>
      </c>
      <c r="L57" s="4">
        <v>64.5</v>
      </c>
      <c r="O57" s="2"/>
      <c r="P57" s="2" t="s">
        <v>2271</v>
      </c>
      <c r="Q57" s="2" t="s">
        <v>2272</v>
      </c>
      <c r="R57" s="2" t="s">
        <v>13</v>
      </c>
      <c r="S57" s="2" t="s">
        <v>2273</v>
      </c>
      <c r="T57" s="2" t="s">
        <v>2274</v>
      </c>
      <c r="U57" s="2"/>
    </row>
    <row r="58" spans="1:21" x14ac:dyDescent="0.25">
      <c r="A58" s="261">
        <v>46177</v>
      </c>
      <c r="B58" s="2" t="s">
        <v>1118</v>
      </c>
      <c r="C58" s="2" t="s">
        <v>1119</v>
      </c>
      <c r="D58" s="2" t="s">
        <v>0</v>
      </c>
      <c r="E58" s="2" t="s">
        <v>1120</v>
      </c>
      <c r="F58" s="2" t="s">
        <v>33</v>
      </c>
      <c r="G58" s="2"/>
      <c r="H58" s="2"/>
      <c r="I58" s="2"/>
      <c r="J58" s="2" t="s">
        <v>2553</v>
      </c>
      <c r="K58" s="2">
        <v>4</v>
      </c>
      <c r="L58" s="4">
        <v>48</v>
      </c>
      <c r="O58" s="2"/>
      <c r="P58" s="2" t="s">
        <v>154</v>
      </c>
      <c r="Q58" s="2" t="s">
        <v>155</v>
      </c>
      <c r="R58" s="2" t="s">
        <v>13</v>
      </c>
      <c r="S58" s="2" t="s">
        <v>156</v>
      </c>
      <c r="T58" s="2" t="s">
        <v>43</v>
      </c>
      <c r="U58" s="2"/>
    </row>
    <row r="59" spans="1:21" x14ac:dyDescent="0.25">
      <c r="A59" s="261">
        <v>46177</v>
      </c>
      <c r="B59" s="2" t="s">
        <v>1139</v>
      </c>
      <c r="C59" s="2" t="s">
        <v>1140</v>
      </c>
      <c r="D59" s="2" t="s">
        <v>0</v>
      </c>
      <c r="E59" s="2" t="s">
        <v>1141</v>
      </c>
      <c r="F59" s="2" t="s">
        <v>1142</v>
      </c>
      <c r="G59" s="2"/>
      <c r="H59" s="2"/>
      <c r="I59" s="2"/>
      <c r="J59" s="2" t="s">
        <v>2554</v>
      </c>
      <c r="K59" s="2">
        <v>1</v>
      </c>
      <c r="L59" s="4">
        <v>13.5</v>
      </c>
      <c r="O59" s="2"/>
      <c r="P59" s="2" t="s">
        <v>152</v>
      </c>
      <c r="Q59" s="2" t="s">
        <v>2004</v>
      </c>
      <c r="R59" s="2" t="s">
        <v>13</v>
      </c>
      <c r="S59" s="2" t="s">
        <v>153</v>
      </c>
      <c r="T59" s="2" t="s">
        <v>43</v>
      </c>
      <c r="U59" s="2"/>
    </row>
    <row r="60" spans="1:21" x14ac:dyDescent="0.25">
      <c r="A60" s="261">
        <v>46177</v>
      </c>
      <c r="B60" s="2" t="s">
        <v>1217</v>
      </c>
      <c r="C60" s="2" t="s">
        <v>1218</v>
      </c>
      <c r="D60" s="2" t="s">
        <v>0</v>
      </c>
      <c r="E60" s="2" t="s">
        <v>1219</v>
      </c>
      <c r="F60" s="2" t="s">
        <v>83</v>
      </c>
      <c r="G60" s="2"/>
      <c r="H60" s="2"/>
      <c r="I60" s="2"/>
      <c r="J60" s="2" t="s">
        <v>2554</v>
      </c>
      <c r="K60" s="2">
        <v>1</v>
      </c>
      <c r="L60" s="4">
        <v>7.5</v>
      </c>
      <c r="N60" t="s">
        <v>2386</v>
      </c>
      <c r="O60" s="2"/>
      <c r="P60" s="2" t="s">
        <v>255</v>
      </c>
      <c r="Q60" s="2" t="s">
        <v>256</v>
      </c>
      <c r="R60" s="2" t="s">
        <v>13</v>
      </c>
      <c r="S60" s="2" t="s">
        <v>257</v>
      </c>
      <c r="T60" s="2" t="s">
        <v>43</v>
      </c>
      <c r="U60" s="2"/>
    </row>
    <row r="61" spans="1:21" x14ac:dyDescent="0.25">
      <c r="A61" s="261">
        <v>46177</v>
      </c>
      <c r="B61" s="2" t="s">
        <v>1648</v>
      </c>
      <c r="C61" s="2" t="s">
        <v>1649</v>
      </c>
      <c r="D61" s="2" t="s">
        <v>12</v>
      </c>
      <c r="E61" s="2" t="s">
        <v>1650</v>
      </c>
      <c r="F61" s="2" t="s">
        <v>46</v>
      </c>
      <c r="G61" s="2"/>
      <c r="H61" s="2"/>
      <c r="I61" s="2"/>
      <c r="J61" s="2" t="s">
        <v>2554</v>
      </c>
      <c r="K61" s="2">
        <v>1</v>
      </c>
      <c r="L61" s="4">
        <v>22.5</v>
      </c>
      <c r="O61" s="2"/>
      <c r="P61" s="2" t="s">
        <v>258</v>
      </c>
      <c r="Q61" s="2" t="s">
        <v>259</v>
      </c>
      <c r="R61" s="2" t="s">
        <v>13</v>
      </c>
      <c r="S61" s="2" t="s">
        <v>260</v>
      </c>
      <c r="T61" s="2" t="s">
        <v>43</v>
      </c>
      <c r="U61" s="2"/>
    </row>
    <row r="62" spans="1:21" ht="15.75" thickBot="1" x14ac:dyDescent="0.3">
      <c r="A62" s="262">
        <v>46177</v>
      </c>
      <c r="B62" s="212" t="s">
        <v>643</v>
      </c>
      <c r="C62" s="212" t="s">
        <v>644</v>
      </c>
      <c r="D62" s="212" t="s">
        <v>12</v>
      </c>
      <c r="E62" s="212" t="s">
        <v>645</v>
      </c>
      <c r="F62" s="212" t="s">
        <v>316</v>
      </c>
      <c r="G62" s="212"/>
      <c r="H62" s="212"/>
      <c r="I62" s="212"/>
      <c r="J62" s="212" t="s">
        <v>2551</v>
      </c>
      <c r="K62" s="212">
        <v>2</v>
      </c>
      <c r="L62" s="109">
        <v>10</v>
      </c>
      <c r="M62" s="320">
        <f>SUM(L54:L62)</f>
        <v>275</v>
      </c>
      <c r="O62" s="2"/>
      <c r="P62" s="2" t="s">
        <v>261</v>
      </c>
      <c r="Q62" s="2" t="s">
        <v>262</v>
      </c>
      <c r="R62" s="2" t="s">
        <v>13</v>
      </c>
      <c r="S62" s="2" t="s">
        <v>263</v>
      </c>
      <c r="T62" s="2" t="s">
        <v>43</v>
      </c>
      <c r="U62" s="2"/>
    </row>
    <row r="63" spans="1:21" x14ac:dyDescent="0.25">
      <c r="A63" s="261">
        <v>46178</v>
      </c>
      <c r="B63" s="2" t="s">
        <v>285</v>
      </c>
      <c r="C63" s="2" t="s">
        <v>286</v>
      </c>
      <c r="D63" s="2" t="s">
        <v>13</v>
      </c>
      <c r="E63" s="2" t="s">
        <v>287</v>
      </c>
      <c r="F63" s="2" t="s">
        <v>43</v>
      </c>
      <c r="G63" s="161"/>
      <c r="H63" s="161"/>
      <c r="I63" s="161"/>
      <c r="J63" s="161" t="s">
        <v>2551</v>
      </c>
      <c r="K63" s="161">
        <v>2</v>
      </c>
      <c r="L63" s="97">
        <v>19.5</v>
      </c>
      <c r="O63" s="2"/>
      <c r="P63" s="2" t="s">
        <v>1404</v>
      </c>
      <c r="Q63" s="2" t="s">
        <v>1405</v>
      </c>
      <c r="R63" s="2" t="s">
        <v>13</v>
      </c>
      <c r="S63" s="2" t="s">
        <v>1406</v>
      </c>
      <c r="T63" s="2" t="s">
        <v>43</v>
      </c>
      <c r="U63" s="2"/>
    </row>
    <row r="64" spans="1:21" x14ac:dyDescent="0.25">
      <c r="A64" s="261">
        <v>46178</v>
      </c>
      <c r="B64" s="2" t="s">
        <v>539</v>
      </c>
      <c r="C64" s="2" t="s">
        <v>540</v>
      </c>
      <c r="D64" s="2" t="s">
        <v>12</v>
      </c>
      <c r="E64" s="2" t="s">
        <v>541</v>
      </c>
      <c r="F64" s="2" t="s">
        <v>44</v>
      </c>
      <c r="G64" s="2"/>
      <c r="H64" s="2"/>
      <c r="I64" s="2"/>
      <c r="J64" s="2" t="s">
        <v>2554</v>
      </c>
      <c r="K64" s="2">
        <v>1</v>
      </c>
      <c r="L64" s="4">
        <v>5</v>
      </c>
      <c r="O64" s="2"/>
      <c r="P64" s="2" t="s">
        <v>264</v>
      </c>
      <c r="Q64" s="2" t="s">
        <v>265</v>
      </c>
      <c r="R64" s="2" t="s">
        <v>13</v>
      </c>
      <c r="S64" s="2" t="s">
        <v>266</v>
      </c>
      <c r="T64" s="2" t="s">
        <v>43</v>
      </c>
      <c r="U64" s="2"/>
    </row>
    <row r="65" spans="1:21" x14ac:dyDescent="0.25">
      <c r="A65" s="261">
        <v>46178</v>
      </c>
      <c r="B65" s="2" t="s">
        <v>1034</v>
      </c>
      <c r="C65" s="2" t="s">
        <v>1035</v>
      </c>
      <c r="D65" s="2" t="s">
        <v>0</v>
      </c>
      <c r="E65" s="2" t="s">
        <v>541</v>
      </c>
      <c r="F65" s="2" t="s">
        <v>1036</v>
      </c>
      <c r="G65" s="2"/>
      <c r="H65" s="2"/>
      <c r="I65" s="2"/>
      <c r="J65" s="2" t="s">
        <v>2554</v>
      </c>
      <c r="K65" s="2">
        <v>1</v>
      </c>
      <c r="L65" s="4">
        <v>23.5</v>
      </c>
      <c r="O65" s="2"/>
      <c r="P65" s="2" t="s">
        <v>2005</v>
      </c>
      <c r="Q65" s="2" t="s">
        <v>2006</v>
      </c>
      <c r="R65" s="2" t="s">
        <v>13</v>
      </c>
      <c r="S65" s="2" t="s">
        <v>2007</v>
      </c>
      <c r="T65" s="2" t="s">
        <v>43</v>
      </c>
      <c r="U65" s="2"/>
    </row>
    <row r="66" spans="1:21" x14ac:dyDescent="0.25">
      <c r="A66" s="261">
        <v>46178</v>
      </c>
      <c r="B66" s="2" t="s">
        <v>1037</v>
      </c>
      <c r="C66" s="2" t="s">
        <v>1038</v>
      </c>
      <c r="D66" s="2" t="s">
        <v>0</v>
      </c>
      <c r="E66" s="2" t="s">
        <v>1039</v>
      </c>
      <c r="F66" s="2" t="s">
        <v>39</v>
      </c>
      <c r="G66" s="2"/>
      <c r="H66" s="2"/>
      <c r="I66" s="2"/>
      <c r="J66" s="2" t="s">
        <v>2554</v>
      </c>
      <c r="K66" s="2">
        <v>1</v>
      </c>
      <c r="L66" s="4">
        <v>5</v>
      </c>
      <c r="O66" s="2"/>
      <c r="P66" s="2"/>
      <c r="Q66" s="2"/>
      <c r="R66" s="2"/>
      <c r="S66" s="2"/>
      <c r="T66" s="2"/>
      <c r="U66" s="2"/>
    </row>
    <row r="67" spans="1:21" x14ac:dyDescent="0.25">
      <c r="A67" s="261">
        <v>46178</v>
      </c>
      <c r="B67" s="2" t="s">
        <v>326</v>
      </c>
      <c r="C67" s="2" t="s">
        <v>327</v>
      </c>
      <c r="D67" s="2" t="s">
        <v>12</v>
      </c>
      <c r="E67" s="2" t="s">
        <v>328</v>
      </c>
      <c r="F67" s="2" t="s">
        <v>46</v>
      </c>
      <c r="G67" s="2"/>
      <c r="H67" s="2"/>
      <c r="I67" s="2"/>
      <c r="J67" s="2" t="s">
        <v>2554</v>
      </c>
      <c r="K67" s="2">
        <v>1</v>
      </c>
      <c r="L67" s="4">
        <v>13.5</v>
      </c>
      <c r="M67" s="6"/>
      <c r="O67" s="2"/>
      <c r="P67" s="2" t="s">
        <v>267</v>
      </c>
      <c r="Q67" s="2" t="s">
        <v>268</v>
      </c>
      <c r="R67" s="2" t="s">
        <v>13</v>
      </c>
      <c r="S67" s="2" t="s">
        <v>269</v>
      </c>
      <c r="T67" s="2" t="s">
        <v>43</v>
      </c>
      <c r="U67" s="2"/>
    </row>
    <row r="68" spans="1:21" x14ac:dyDescent="0.25">
      <c r="A68" s="261">
        <v>46178</v>
      </c>
      <c r="B68" s="2" t="s">
        <v>492</v>
      </c>
      <c r="C68" s="2" t="s">
        <v>493</v>
      </c>
      <c r="D68" s="2" t="s">
        <v>12</v>
      </c>
      <c r="E68" s="2" t="s">
        <v>494</v>
      </c>
      <c r="F68" s="2" t="s">
        <v>97</v>
      </c>
      <c r="G68" s="2"/>
      <c r="H68" s="2"/>
      <c r="I68" s="2"/>
      <c r="J68" s="2" t="s">
        <v>2551</v>
      </c>
      <c r="K68" s="2">
        <v>2</v>
      </c>
      <c r="L68" s="4">
        <v>14</v>
      </c>
      <c r="M68" s="6"/>
      <c r="O68" s="2"/>
      <c r="P68" s="2" t="s">
        <v>270</v>
      </c>
      <c r="Q68" s="2" t="s">
        <v>271</v>
      </c>
      <c r="R68" s="2" t="s">
        <v>13</v>
      </c>
      <c r="S68" s="2" t="s">
        <v>272</v>
      </c>
      <c r="T68" s="2" t="s">
        <v>43</v>
      </c>
      <c r="U68" s="2"/>
    </row>
    <row r="69" spans="1:21" x14ac:dyDescent="0.25">
      <c r="A69" s="261">
        <v>46178</v>
      </c>
      <c r="B69" s="2" t="s">
        <v>2011</v>
      </c>
      <c r="C69" s="2" t="s">
        <v>2012</v>
      </c>
      <c r="D69" s="2" t="s">
        <v>12</v>
      </c>
      <c r="E69" s="2" t="s">
        <v>2013</v>
      </c>
      <c r="F69" s="2" t="s">
        <v>2014</v>
      </c>
      <c r="G69" s="2"/>
      <c r="H69" s="2"/>
      <c r="I69" s="2"/>
      <c r="J69" s="2" t="s">
        <v>2551</v>
      </c>
      <c r="K69" s="2">
        <v>2</v>
      </c>
      <c r="L69" s="4">
        <v>10</v>
      </c>
      <c r="O69" s="2"/>
      <c r="P69" s="2" t="s">
        <v>273</v>
      </c>
      <c r="Q69" s="2" t="s">
        <v>274</v>
      </c>
      <c r="R69" s="2" t="s">
        <v>13</v>
      </c>
      <c r="S69" s="2" t="s">
        <v>275</v>
      </c>
      <c r="T69" s="2" t="s">
        <v>43</v>
      </c>
      <c r="U69" s="2"/>
    </row>
    <row r="70" spans="1:21" x14ac:dyDescent="0.25">
      <c r="A70" s="261">
        <v>46178</v>
      </c>
      <c r="B70" s="2" t="s">
        <v>1205</v>
      </c>
      <c r="C70" s="2" t="s">
        <v>1206</v>
      </c>
      <c r="D70" s="2" t="s">
        <v>0</v>
      </c>
      <c r="E70" s="2" t="s">
        <v>1207</v>
      </c>
      <c r="F70" s="2" t="s">
        <v>83</v>
      </c>
      <c r="G70" s="2"/>
      <c r="H70" s="2"/>
      <c r="I70" s="2"/>
      <c r="J70" s="2" t="s">
        <v>2551</v>
      </c>
      <c r="K70" s="2">
        <v>2</v>
      </c>
      <c r="L70" s="4">
        <v>128</v>
      </c>
      <c r="O70" s="2"/>
      <c r="P70" s="2" t="s">
        <v>276</v>
      </c>
      <c r="Q70" s="2" t="s">
        <v>277</v>
      </c>
      <c r="R70" s="2" t="s">
        <v>13</v>
      </c>
      <c r="S70" s="2" t="s">
        <v>278</v>
      </c>
      <c r="T70" s="2" t="s">
        <v>43</v>
      </c>
      <c r="U70" s="2"/>
    </row>
    <row r="71" spans="1:21" x14ac:dyDescent="0.25">
      <c r="A71" s="261">
        <v>46178</v>
      </c>
      <c r="B71" s="2" t="s">
        <v>1223</v>
      </c>
      <c r="C71" s="2" t="s">
        <v>1224</v>
      </c>
      <c r="D71" s="2" t="s">
        <v>0</v>
      </c>
      <c r="E71" s="2" t="s">
        <v>1225</v>
      </c>
      <c r="F71" s="2" t="s">
        <v>83</v>
      </c>
      <c r="G71" s="2"/>
      <c r="H71" s="2"/>
      <c r="I71" s="2"/>
      <c r="J71" s="2" t="s">
        <v>2551</v>
      </c>
      <c r="K71" s="2">
        <v>2</v>
      </c>
      <c r="L71" s="4">
        <v>80</v>
      </c>
      <c r="O71" s="2"/>
      <c r="P71" s="2" t="s">
        <v>1407</v>
      </c>
      <c r="Q71" s="2" t="s">
        <v>1408</v>
      </c>
      <c r="R71" s="2" t="s">
        <v>13</v>
      </c>
      <c r="S71" s="2" t="s">
        <v>1409</v>
      </c>
      <c r="T71" s="2" t="s">
        <v>43</v>
      </c>
      <c r="U71" s="2"/>
    </row>
    <row r="72" spans="1:21" x14ac:dyDescent="0.25">
      <c r="A72" s="261">
        <v>46178</v>
      </c>
      <c r="B72" s="2" t="s">
        <v>620</v>
      </c>
      <c r="C72" s="2" t="s">
        <v>621</v>
      </c>
      <c r="D72" s="2" t="s">
        <v>12</v>
      </c>
      <c r="E72" s="2" t="s">
        <v>622</v>
      </c>
      <c r="F72" s="2" t="s">
        <v>46</v>
      </c>
      <c r="G72" s="2"/>
      <c r="H72" s="2"/>
      <c r="I72" s="2"/>
      <c r="J72" s="2" t="s">
        <v>2554</v>
      </c>
      <c r="K72" s="2">
        <v>1</v>
      </c>
      <c r="L72" s="4">
        <v>7.5</v>
      </c>
      <c r="O72" s="2"/>
      <c r="P72" s="2" t="s">
        <v>1323</v>
      </c>
      <c r="Q72" s="2" t="s">
        <v>1324</v>
      </c>
      <c r="R72" s="2" t="s">
        <v>13</v>
      </c>
      <c r="S72" s="2" t="s">
        <v>1325</v>
      </c>
      <c r="T72" s="2" t="s">
        <v>43</v>
      </c>
      <c r="U72" s="2"/>
    </row>
    <row r="73" spans="1:21" x14ac:dyDescent="0.25">
      <c r="A73" s="261">
        <v>46178</v>
      </c>
      <c r="B73" s="2" t="s">
        <v>623</v>
      </c>
      <c r="C73" s="2" t="s">
        <v>624</v>
      </c>
      <c r="D73" s="2" t="s">
        <v>12</v>
      </c>
      <c r="E73" s="2" t="s">
        <v>625</v>
      </c>
      <c r="F73" s="2" t="s">
        <v>46</v>
      </c>
      <c r="G73" s="2"/>
      <c r="H73" s="2"/>
      <c r="I73" s="2"/>
      <c r="J73" s="2" t="s">
        <v>2554</v>
      </c>
      <c r="K73" s="2">
        <v>1</v>
      </c>
      <c r="L73" s="4">
        <v>5</v>
      </c>
      <c r="M73" s="6"/>
      <c r="O73" s="2"/>
      <c r="P73" s="2" t="s">
        <v>1410</v>
      </c>
      <c r="Q73" s="2" t="s">
        <v>1411</v>
      </c>
      <c r="R73" s="2" t="s">
        <v>13</v>
      </c>
      <c r="S73" s="2" t="s">
        <v>1412</v>
      </c>
      <c r="T73" s="2" t="s">
        <v>43</v>
      </c>
      <c r="U73" s="2"/>
    </row>
    <row r="74" spans="1:21" x14ac:dyDescent="0.25">
      <c r="A74" s="261">
        <v>46178</v>
      </c>
      <c r="B74" s="2" t="s">
        <v>626</v>
      </c>
      <c r="C74" s="2" t="s">
        <v>627</v>
      </c>
      <c r="D74" s="2" t="s">
        <v>12</v>
      </c>
      <c r="E74" s="2" t="s">
        <v>625</v>
      </c>
      <c r="F74" s="2" t="s">
        <v>628</v>
      </c>
      <c r="G74" s="2"/>
      <c r="H74" s="2"/>
      <c r="I74" s="2"/>
      <c r="J74" s="2" t="s">
        <v>2554</v>
      </c>
      <c r="K74" s="2">
        <v>1</v>
      </c>
      <c r="L74" s="4">
        <v>8.5</v>
      </c>
      <c r="M74" s="6"/>
      <c r="O74" s="2"/>
      <c r="P74" s="2" t="s">
        <v>279</v>
      </c>
      <c r="Q74" s="2" t="s">
        <v>280</v>
      </c>
      <c r="R74" s="2" t="s">
        <v>13</v>
      </c>
      <c r="S74" s="2" t="s">
        <v>281</v>
      </c>
      <c r="T74" s="2" t="s">
        <v>43</v>
      </c>
      <c r="U74" s="2"/>
    </row>
    <row r="75" spans="1:21" ht="15.75" thickBot="1" x14ac:dyDescent="0.3">
      <c r="A75" s="262">
        <v>46178</v>
      </c>
      <c r="B75" s="272" t="s">
        <v>1743</v>
      </c>
      <c r="C75" s="212" t="s">
        <v>1744</v>
      </c>
      <c r="D75" s="212" t="s">
        <v>14</v>
      </c>
      <c r="E75" s="212" t="s">
        <v>1745</v>
      </c>
      <c r="F75" s="212" t="s">
        <v>1746</v>
      </c>
      <c r="G75" s="212"/>
      <c r="H75" s="212"/>
      <c r="I75" s="212"/>
      <c r="J75" s="212" t="s">
        <v>2553</v>
      </c>
      <c r="K75" s="212">
        <v>4</v>
      </c>
      <c r="L75" s="109">
        <v>76.5</v>
      </c>
      <c r="M75" s="320">
        <f>SUM(L63:L75)</f>
        <v>396</v>
      </c>
      <c r="O75" s="2"/>
      <c r="P75" s="2" t="s">
        <v>55</v>
      </c>
      <c r="Q75" s="2" t="s">
        <v>54</v>
      </c>
      <c r="R75" s="2" t="s">
        <v>13</v>
      </c>
      <c r="S75" s="2" t="s">
        <v>53</v>
      </c>
      <c r="T75" s="2" t="s">
        <v>43</v>
      </c>
      <c r="U75" s="2"/>
    </row>
    <row r="76" spans="1:21" x14ac:dyDescent="0.25">
      <c r="A76" s="261">
        <v>46179</v>
      </c>
      <c r="B76" s="2" t="s">
        <v>2091</v>
      </c>
      <c r="C76" s="2" t="s">
        <v>2092</v>
      </c>
      <c r="D76" s="2" t="s">
        <v>12</v>
      </c>
      <c r="E76" s="2" t="s">
        <v>2093</v>
      </c>
      <c r="F76" s="2" t="s">
        <v>2094</v>
      </c>
      <c r="G76" s="161"/>
      <c r="H76" s="161"/>
      <c r="I76" s="161"/>
      <c r="J76" s="161" t="s">
        <v>2551</v>
      </c>
      <c r="K76" s="161">
        <v>2</v>
      </c>
      <c r="L76" s="97">
        <v>25</v>
      </c>
      <c r="M76" s="6"/>
      <c r="O76" s="2"/>
      <c r="P76" s="2" t="s">
        <v>189</v>
      </c>
      <c r="Q76" s="2" t="s">
        <v>190</v>
      </c>
      <c r="R76" s="2" t="s">
        <v>13</v>
      </c>
      <c r="S76" s="2" t="s">
        <v>2329</v>
      </c>
      <c r="T76" s="2" t="s">
        <v>191</v>
      </c>
      <c r="U76" s="2"/>
    </row>
    <row r="77" spans="1:21" x14ac:dyDescent="0.25">
      <c r="A77" s="261">
        <v>46179</v>
      </c>
      <c r="B77" s="2" t="s">
        <v>2544</v>
      </c>
      <c r="C77" s="2" t="s">
        <v>2545</v>
      </c>
      <c r="D77" s="2" t="s">
        <v>0</v>
      </c>
      <c r="E77" s="2" t="s">
        <v>2546</v>
      </c>
      <c r="F77" s="2" t="s">
        <v>2428</v>
      </c>
      <c r="G77" s="2"/>
      <c r="H77" s="2"/>
      <c r="I77" s="2"/>
      <c r="J77" s="2" t="s">
        <v>2554</v>
      </c>
      <c r="K77" s="2">
        <v>1</v>
      </c>
      <c r="L77" s="4">
        <v>18.5</v>
      </c>
      <c r="M77" s="6"/>
      <c r="O77" s="2"/>
      <c r="P77" s="2" t="s">
        <v>282</v>
      </c>
      <c r="Q77" s="2" t="s">
        <v>283</v>
      </c>
      <c r="R77" s="2" t="s">
        <v>13</v>
      </c>
      <c r="S77" s="2" t="s">
        <v>284</v>
      </c>
      <c r="T77" s="2" t="s">
        <v>43</v>
      </c>
      <c r="U77" s="2"/>
    </row>
    <row r="78" spans="1:21" x14ac:dyDescent="0.25">
      <c r="A78" s="261">
        <v>46179</v>
      </c>
      <c r="B78" s="2" t="s">
        <v>1702</v>
      </c>
      <c r="C78" s="2" t="s">
        <v>1703</v>
      </c>
      <c r="D78" s="2" t="s">
        <v>12</v>
      </c>
      <c r="E78" s="2" t="s">
        <v>1704</v>
      </c>
      <c r="F78" s="2" t="s">
        <v>329</v>
      </c>
      <c r="G78" s="2"/>
      <c r="H78" s="2"/>
      <c r="I78" s="4"/>
      <c r="J78" s="2" t="s">
        <v>2584</v>
      </c>
      <c r="K78" s="2">
        <v>5</v>
      </c>
      <c r="L78" s="4">
        <v>150</v>
      </c>
      <c r="M78" s="6"/>
      <c r="O78" s="2"/>
      <c r="P78" s="2" t="s">
        <v>1413</v>
      </c>
      <c r="Q78" s="2" t="s">
        <v>1414</v>
      </c>
      <c r="R78" s="2" t="s">
        <v>13</v>
      </c>
      <c r="S78" s="2" t="s">
        <v>1415</v>
      </c>
      <c r="T78" s="2" t="s">
        <v>45</v>
      </c>
      <c r="U78" s="2"/>
    </row>
    <row r="79" spans="1:21" ht="15.75" thickBot="1" x14ac:dyDescent="0.3">
      <c r="A79" s="262">
        <v>46179</v>
      </c>
      <c r="B79" s="212" t="s">
        <v>1723</v>
      </c>
      <c r="C79" s="212" t="s">
        <v>1724</v>
      </c>
      <c r="D79" s="212" t="s">
        <v>12</v>
      </c>
      <c r="E79" s="212" t="s">
        <v>1725</v>
      </c>
      <c r="F79" s="212" t="s">
        <v>125</v>
      </c>
      <c r="G79" s="212"/>
      <c r="H79" s="212"/>
      <c r="I79" s="212"/>
      <c r="J79" s="212" t="s">
        <v>2551</v>
      </c>
      <c r="K79" s="212">
        <v>2</v>
      </c>
      <c r="L79" s="109">
        <v>21</v>
      </c>
      <c r="M79" s="338">
        <f>SUM(L76:L79)</f>
        <v>214.5</v>
      </c>
      <c r="O79" s="2"/>
      <c r="P79" s="2" t="s">
        <v>285</v>
      </c>
      <c r="Q79" s="2" t="s">
        <v>286</v>
      </c>
      <c r="R79" s="2" t="s">
        <v>13</v>
      </c>
      <c r="S79" s="2" t="s">
        <v>287</v>
      </c>
      <c r="T79" s="2" t="s">
        <v>43</v>
      </c>
      <c r="U79" s="2"/>
    </row>
    <row r="80" spans="1:21" x14ac:dyDescent="0.25">
      <c r="A80" s="261">
        <v>46181</v>
      </c>
      <c r="B80" s="2" t="s">
        <v>525</v>
      </c>
      <c r="C80" s="2" t="s">
        <v>526</v>
      </c>
      <c r="D80" s="2" t="s">
        <v>12</v>
      </c>
      <c r="E80" s="2" t="s">
        <v>527</v>
      </c>
      <c r="F80" s="2" t="s">
        <v>97</v>
      </c>
      <c r="G80" s="161"/>
      <c r="H80" s="161"/>
      <c r="I80" s="161"/>
      <c r="J80" s="161" t="s">
        <v>2554</v>
      </c>
      <c r="K80" s="161">
        <v>1</v>
      </c>
      <c r="L80" s="97">
        <v>5</v>
      </c>
      <c r="M80" s="6"/>
      <c r="O80" s="2"/>
      <c r="P80" s="2" t="s">
        <v>1416</v>
      </c>
      <c r="Q80" s="2" t="s">
        <v>1417</v>
      </c>
      <c r="R80" s="2" t="s">
        <v>13</v>
      </c>
      <c r="S80" s="2" t="s">
        <v>1418</v>
      </c>
      <c r="T80" s="2" t="s">
        <v>43</v>
      </c>
      <c r="U80" s="2"/>
    </row>
    <row r="81" spans="1:21" x14ac:dyDescent="0.25">
      <c r="A81" s="261">
        <v>46181</v>
      </c>
      <c r="B81" s="2" t="s">
        <v>1133</v>
      </c>
      <c r="C81" s="2" t="s">
        <v>1134</v>
      </c>
      <c r="D81" s="2" t="s">
        <v>0</v>
      </c>
      <c r="E81" s="2" t="s">
        <v>1135</v>
      </c>
      <c r="F81" s="2" t="s">
        <v>38</v>
      </c>
      <c r="G81" s="2"/>
      <c r="H81" s="2"/>
      <c r="I81" s="2"/>
      <c r="J81" s="2" t="s">
        <v>2553</v>
      </c>
      <c r="K81" s="2">
        <v>4</v>
      </c>
      <c r="L81" s="4">
        <v>28</v>
      </c>
      <c r="M81" s="6"/>
      <c r="O81" s="2"/>
      <c r="P81" s="2" t="s">
        <v>288</v>
      </c>
      <c r="Q81" s="2" t="s">
        <v>289</v>
      </c>
      <c r="R81" s="2" t="s">
        <v>13</v>
      </c>
      <c r="S81" s="2" t="s">
        <v>290</v>
      </c>
      <c r="T81" s="2" t="s">
        <v>43</v>
      </c>
      <c r="U81" s="2"/>
    </row>
    <row r="82" spans="1:21" x14ac:dyDescent="0.25">
      <c r="A82" s="261">
        <v>46181</v>
      </c>
      <c r="B82" s="2" t="s">
        <v>2390</v>
      </c>
      <c r="C82" s="2" t="s">
        <v>2391</v>
      </c>
      <c r="D82" s="2" t="s">
        <v>0</v>
      </c>
      <c r="E82" s="2" t="s">
        <v>2394</v>
      </c>
      <c r="F82" s="2" t="s">
        <v>2395</v>
      </c>
      <c r="G82" s="161"/>
      <c r="H82" s="161"/>
      <c r="I82" s="161"/>
      <c r="J82" s="161" t="s">
        <v>2578</v>
      </c>
      <c r="K82" s="161">
        <v>5</v>
      </c>
      <c r="L82" s="97">
        <v>97.5</v>
      </c>
      <c r="O82" s="2"/>
      <c r="P82" s="2" t="s">
        <v>1419</v>
      </c>
      <c r="Q82" s="2" t="s">
        <v>1420</v>
      </c>
      <c r="R82" s="2" t="s">
        <v>13</v>
      </c>
      <c r="S82" s="2" t="s">
        <v>1421</v>
      </c>
      <c r="T82" s="2" t="s">
        <v>209</v>
      </c>
      <c r="U82" s="2"/>
    </row>
    <row r="83" spans="1:21" x14ac:dyDescent="0.25">
      <c r="A83" s="261">
        <v>46181</v>
      </c>
      <c r="B83" s="2" t="s">
        <v>501</v>
      </c>
      <c r="C83" s="2" t="s">
        <v>502</v>
      </c>
      <c r="D83" s="2" t="s">
        <v>12</v>
      </c>
      <c r="E83" s="2" t="s">
        <v>503</v>
      </c>
      <c r="F83" s="2" t="s">
        <v>301</v>
      </c>
      <c r="G83" s="2"/>
      <c r="H83" s="2"/>
      <c r="I83" s="2"/>
      <c r="J83" s="2" t="s">
        <v>2554</v>
      </c>
      <c r="K83" s="2">
        <v>1</v>
      </c>
      <c r="L83" s="4">
        <v>5</v>
      </c>
      <c r="O83" s="2"/>
      <c r="P83" s="2" t="s">
        <v>1422</v>
      </c>
      <c r="Q83" s="2" t="s">
        <v>1423</v>
      </c>
      <c r="R83" s="2" t="s">
        <v>12</v>
      </c>
      <c r="S83" s="2" t="s">
        <v>1424</v>
      </c>
      <c r="T83" s="2" t="s">
        <v>47</v>
      </c>
      <c r="U83" s="2"/>
    </row>
    <row r="84" spans="1:21" x14ac:dyDescent="0.25">
      <c r="A84" s="261">
        <v>46181</v>
      </c>
      <c r="B84" s="2" t="s">
        <v>1021</v>
      </c>
      <c r="C84" s="2" t="s">
        <v>1022</v>
      </c>
      <c r="D84" s="2" t="s">
        <v>0</v>
      </c>
      <c r="E84" s="2" t="s">
        <v>1023</v>
      </c>
      <c r="F84" s="2" t="s">
        <v>38</v>
      </c>
      <c r="G84" s="2"/>
      <c r="H84" s="2"/>
      <c r="I84" s="2"/>
      <c r="J84" s="2" t="s">
        <v>2554</v>
      </c>
      <c r="K84" s="2">
        <v>1</v>
      </c>
      <c r="L84" s="4">
        <v>5</v>
      </c>
      <c r="O84" s="2"/>
      <c r="P84" s="2" t="s">
        <v>291</v>
      </c>
      <c r="Q84" s="2" t="s">
        <v>292</v>
      </c>
      <c r="R84" s="2" t="s">
        <v>12</v>
      </c>
      <c r="S84" s="2" t="s">
        <v>293</v>
      </c>
      <c r="T84" s="2" t="s">
        <v>294</v>
      </c>
      <c r="U84" s="2"/>
    </row>
    <row r="85" spans="1:21" x14ac:dyDescent="0.25">
      <c r="A85" s="261">
        <v>46181</v>
      </c>
      <c r="B85" s="2" t="s">
        <v>825</v>
      </c>
      <c r="C85" s="2" t="s">
        <v>826</v>
      </c>
      <c r="D85" s="2" t="s">
        <v>14</v>
      </c>
      <c r="E85" s="2" t="s">
        <v>827</v>
      </c>
      <c r="F85" s="2" t="s">
        <v>32</v>
      </c>
      <c r="G85" s="2"/>
      <c r="H85" s="2"/>
      <c r="I85" s="2"/>
      <c r="J85" s="2" t="s">
        <v>2554</v>
      </c>
      <c r="K85" s="2">
        <v>1</v>
      </c>
      <c r="L85" s="4">
        <v>5</v>
      </c>
      <c r="O85" s="2"/>
      <c r="P85" s="2" t="s">
        <v>295</v>
      </c>
      <c r="Q85" s="2" t="s">
        <v>296</v>
      </c>
      <c r="R85" s="2" t="s">
        <v>12</v>
      </c>
      <c r="S85" s="2" t="s">
        <v>293</v>
      </c>
      <c r="T85" s="2" t="s">
        <v>297</v>
      </c>
      <c r="U85" s="2"/>
    </row>
    <row r="86" spans="1:21" x14ac:dyDescent="0.25">
      <c r="A86" s="261">
        <v>46181</v>
      </c>
      <c r="B86" s="2" t="s">
        <v>2144</v>
      </c>
      <c r="C86" s="2" t="s">
        <v>2145</v>
      </c>
      <c r="D86" s="2" t="s">
        <v>0</v>
      </c>
      <c r="E86" s="2" t="s">
        <v>2146</v>
      </c>
      <c r="F86" s="2" t="s">
        <v>33</v>
      </c>
      <c r="G86" s="2"/>
      <c r="H86" s="2"/>
      <c r="I86" s="2"/>
      <c r="J86" s="2" t="s">
        <v>2585</v>
      </c>
      <c r="K86" s="2">
        <v>3</v>
      </c>
      <c r="L86" s="4">
        <v>65.5</v>
      </c>
      <c r="O86" s="2"/>
      <c r="P86" s="2" t="s">
        <v>298</v>
      </c>
      <c r="Q86" s="2" t="s">
        <v>299</v>
      </c>
      <c r="R86" s="2" t="s">
        <v>12</v>
      </c>
      <c r="S86" s="2" t="s">
        <v>300</v>
      </c>
      <c r="T86" s="2" t="s">
        <v>301</v>
      </c>
      <c r="U86" s="2"/>
    </row>
    <row r="87" spans="1:21" x14ac:dyDescent="0.25">
      <c r="A87" s="261">
        <v>46181</v>
      </c>
      <c r="B87" s="2" t="s">
        <v>2374</v>
      </c>
      <c r="C87" s="2" t="s">
        <v>2375</v>
      </c>
      <c r="D87" s="2" t="s">
        <v>0</v>
      </c>
      <c r="E87" s="2" t="s">
        <v>456</v>
      </c>
      <c r="F87" s="2" t="s">
        <v>2348</v>
      </c>
      <c r="G87" s="2"/>
      <c r="H87" s="2"/>
      <c r="I87" s="2"/>
      <c r="J87" s="2" t="s">
        <v>2551</v>
      </c>
      <c r="K87" s="2">
        <v>2</v>
      </c>
      <c r="L87" s="4">
        <v>15.5</v>
      </c>
      <c r="O87" s="2"/>
      <c r="P87" s="2" t="s">
        <v>302</v>
      </c>
      <c r="Q87" s="2" t="s">
        <v>303</v>
      </c>
      <c r="R87" s="2" t="s">
        <v>12</v>
      </c>
      <c r="S87" s="2" t="s">
        <v>304</v>
      </c>
      <c r="T87" s="2" t="s">
        <v>305</v>
      </c>
      <c r="U87" s="2"/>
    </row>
    <row r="88" spans="1:21" x14ac:dyDescent="0.25">
      <c r="A88" s="261">
        <v>46181</v>
      </c>
      <c r="B88" s="2" t="s">
        <v>454</v>
      </c>
      <c r="C88" s="2" t="s">
        <v>455</v>
      </c>
      <c r="D88" s="2" t="s">
        <v>12</v>
      </c>
      <c r="E88" s="2" t="s">
        <v>456</v>
      </c>
      <c r="F88" s="2" t="s">
        <v>44</v>
      </c>
      <c r="G88" s="2"/>
      <c r="H88" s="2"/>
      <c r="I88" s="2"/>
      <c r="J88" s="2" t="s">
        <v>2551</v>
      </c>
      <c r="K88" s="2">
        <v>2</v>
      </c>
      <c r="L88" s="4">
        <v>10</v>
      </c>
      <c r="O88" s="2"/>
      <c r="P88" s="2" t="s">
        <v>1425</v>
      </c>
      <c r="Q88" s="2" t="s">
        <v>1426</v>
      </c>
      <c r="R88" s="2" t="s">
        <v>12</v>
      </c>
      <c r="S88" s="2" t="s">
        <v>1427</v>
      </c>
      <c r="T88" s="2" t="s">
        <v>191</v>
      </c>
      <c r="U88" s="2"/>
    </row>
    <row r="89" spans="1:21" x14ac:dyDescent="0.25">
      <c r="A89" s="261">
        <v>46181</v>
      </c>
      <c r="B89" s="2" t="s">
        <v>637</v>
      </c>
      <c r="C89" s="2" t="s">
        <v>638</v>
      </c>
      <c r="D89" s="2" t="s">
        <v>12</v>
      </c>
      <c r="E89" s="2" t="s">
        <v>639</v>
      </c>
      <c r="F89" s="2" t="s">
        <v>48</v>
      </c>
      <c r="G89" s="2"/>
      <c r="H89" s="2"/>
      <c r="I89" s="2"/>
      <c r="J89" s="2" t="s">
        <v>2554</v>
      </c>
      <c r="K89" s="2">
        <v>1</v>
      </c>
      <c r="L89" s="4">
        <v>9.5</v>
      </c>
      <c r="O89" s="2"/>
      <c r="P89" s="2" t="s">
        <v>306</v>
      </c>
      <c r="Q89" s="2" t="s">
        <v>307</v>
      </c>
      <c r="R89" s="2" t="s">
        <v>12</v>
      </c>
      <c r="S89" s="2" t="s">
        <v>308</v>
      </c>
      <c r="T89" s="2" t="s">
        <v>43</v>
      </c>
      <c r="U89" s="2"/>
    </row>
    <row r="90" spans="1:21" x14ac:dyDescent="0.25">
      <c r="A90" s="261">
        <v>46181</v>
      </c>
      <c r="B90" s="2" t="s">
        <v>1657</v>
      </c>
      <c r="C90" s="2" t="s">
        <v>1658</v>
      </c>
      <c r="D90" s="2" t="s">
        <v>12</v>
      </c>
      <c r="E90" s="2" t="s">
        <v>1659</v>
      </c>
      <c r="F90" s="2" t="s">
        <v>43</v>
      </c>
      <c r="G90" s="2"/>
      <c r="H90" s="2"/>
      <c r="I90" s="2"/>
      <c r="J90" s="2" t="s">
        <v>2552</v>
      </c>
      <c r="K90" s="2">
        <v>3</v>
      </c>
      <c r="L90" s="4">
        <v>40.5</v>
      </c>
      <c r="O90" s="2"/>
      <c r="P90" s="2" t="s">
        <v>1428</v>
      </c>
      <c r="Q90" s="2" t="s">
        <v>1429</v>
      </c>
      <c r="R90" s="2" t="s">
        <v>12</v>
      </c>
      <c r="S90" s="2" t="s">
        <v>1430</v>
      </c>
      <c r="T90" s="2" t="s">
        <v>43</v>
      </c>
      <c r="U90" s="2"/>
    </row>
    <row r="91" spans="1:21" x14ac:dyDescent="0.25">
      <c r="A91" s="261">
        <v>46181</v>
      </c>
      <c r="B91" s="2" t="s">
        <v>1407</v>
      </c>
      <c r="C91" s="2" t="s">
        <v>1408</v>
      </c>
      <c r="D91" s="2" t="s">
        <v>13</v>
      </c>
      <c r="E91" s="2" t="s">
        <v>1409</v>
      </c>
      <c r="F91" s="2" t="s">
        <v>43</v>
      </c>
      <c r="G91" s="161"/>
      <c r="H91" s="161"/>
      <c r="I91" s="161"/>
      <c r="J91" s="161" t="s">
        <v>2552</v>
      </c>
      <c r="K91" s="161">
        <v>3</v>
      </c>
      <c r="L91" s="97">
        <v>45.5</v>
      </c>
      <c r="O91" s="2"/>
      <c r="P91" s="2" t="s">
        <v>157</v>
      </c>
      <c r="Q91" s="2" t="s">
        <v>158</v>
      </c>
      <c r="R91" s="2" t="s">
        <v>12</v>
      </c>
      <c r="S91" s="2" t="s">
        <v>159</v>
      </c>
      <c r="T91" s="2" t="s">
        <v>309</v>
      </c>
      <c r="U91" s="2"/>
    </row>
    <row r="92" spans="1:21" x14ac:dyDescent="0.25">
      <c r="A92" s="261">
        <v>46181</v>
      </c>
      <c r="B92" s="2" t="s">
        <v>917</v>
      </c>
      <c r="C92" s="2" t="s">
        <v>918</v>
      </c>
      <c r="D92" s="2" t="s">
        <v>0</v>
      </c>
      <c r="E92" s="2" t="s">
        <v>919</v>
      </c>
      <c r="F92" s="2" t="s">
        <v>920</v>
      </c>
      <c r="G92" s="2"/>
      <c r="H92" s="2"/>
      <c r="I92" s="2"/>
      <c r="J92" s="2" t="s">
        <v>2551</v>
      </c>
      <c r="K92" s="2">
        <v>2</v>
      </c>
      <c r="L92" s="4">
        <v>10</v>
      </c>
      <c r="O92" s="2"/>
      <c r="P92" s="2" t="s">
        <v>310</v>
      </c>
      <c r="Q92" s="2" t="s">
        <v>2388</v>
      </c>
      <c r="R92" s="2" t="s">
        <v>12</v>
      </c>
      <c r="S92" s="2" t="s">
        <v>311</v>
      </c>
      <c r="T92" s="2" t="s">
        <v>43</v>
      </c>
      <c r="U92" s="2"/>
    </row>
    <row r="93" spans="1:21" ht="15.75" thickBot="1" x14ac:dyDescent="0.3">
      <c r="A93" s="262">
        <v>46181</v>
      </c>
      <c r="B93" s="212" t="s">
        <v>1945</v>
      </c>
      <c r="C93" s="212" t="s">
        <v>1946</v>
      </c>
      <c r="D93" s="212" t="s">
        <v>0</v>
      </c>
      <c r="E93" s="212" t="s">
        <v>1947</v>
      </c>
      <c r="F93" s="212" t="s">
        <v>0</v>
      </c>
      <c r="G93" s="212"/>
      <c r="H93" s="212"/>
      <c r="I93" s="212"/>
      <c r="J93" s="212" t="s">
        <v>2554</v>
      </c>
      <c r="K93" s="212">
        <v>1</v>
      </c>
      <c r="L93" s="109">
        <v>17.5</v>
      </c>
      <c r="M93" s="320">
        <f>SUM(L80:L93)</f>
        <v>359.5</v>
      </c>
      <c r="O93" s="2"/>
      <c r="P93" s="2" t="s">
        <v>312</v>
      </c>
      <c r="Q93" s="2" t="s">
        <v>313</v>
      </c>
      <c r="R93" s="2" t="s">
        <v>12</v>
      </c>
      <c r="S93" s="2" t="s">
        <v>314</v>
      </c>
      <c r="T93" s="2" t="s">
        <v>315</v>
      </c>
      <c r="U93" s="2"/>
    </row>
    <row r="94" spans="1:21" x14ac:dyDescent="0.25">
      <c r="A94" s="261">
        <v>46182</v>
      </c>
      <c r="B94" s="2" t="s">
        <v>974</v>
      </c>
      <c r="C94" s="2" t="s">
        <v>975</v>
      </c>
      <c r="D94" s="2" t="s">
        <v>0</v>
      </c>
      <c r="E94" s="2" t="s">
        <v>976</v>
      </c>
      <c r="F94" s="2" t="s">
        <v>977</v>
      </c>
      <c r="G94" s="161"/>
      <c r="H94" s="161"/>
      <c r="I94" s="161"/>
      <c r="J94" s="161" t="s">
        <v>2578</v>
      </c>
      <c r="K94" s="161">
        <v>5</v>
      </c>
      <c r="L94" s="97">
        <v>25</v>
      </c>
      <c r="O94" s="2"/>
      <c r="P94" s="2" t="s">
        <v>2008</v>
      </c>
      <c r="Q94" s="2" t="s">
        <v>2009</v>
      </c>
      <c r="R94" s="2" t="s">
        <v>12</v>
      </c>
      <c r="S94" s="2" t="s">
        <v>2010</v>
      </c>
      <c r="T94" s="2" t="s">
        <v>316</v>
      </c>
      <c r="U94" s="2"/>
    </row>
    <row r="95" spans="1:21" x14ac:dyDescent="0.25">
      <c r="A95" s="261">
        <v>46182</v>
      </c>
      <c r="B95" s="2" t="s">
        <v>978</v>
      </c>
      <c r="C95" s="2" t="s">
        <v>979</v>
      </c>
      <c r="D95" s="2" t="s">
        <v>0</v>
      </c>
      <c r="E95" s="2" t="s">
        <v>980</v>
      </c>
      <c r="F95" s="2" t="s">
        <v>33</v>
      </c>
      <c r="G95" s="2"/>
      <c r="H95" s="2"/>
      <c r="I95" s="2"/>
      <c r="J95" s="2" t="s">
        <v>2551</v>
      </c>
      <c r="K95" s="2">
        <v>2</v>
      </c>
      <c r="L95" s="4">
        <v>16.5</v>
      </c>
      <c r="O95" s="2"/>
      <c r="P95" s="2" t="s">
        <v>1431</v>
      </c>
      <c r="Q95" s="2" t="s">
        <v>1432</v>
      </c>
      <c r="R95" s="2" t="s">
        <v>12</v>
      </c>
      <c r="S95" s="2" t="s">
        <v>1433</v>
      </c>
      <c r="T95" s="2" t="s">
        <v>47</v>
      </c>
      <c r="U95" s="2"/>
    </row>
    <row r="96" spans="1:21" x14ac:dyDescent="0.25">
      <c r="A96" s="261">
        <v>46182</v>
      </c>
      <c r="B96" s="2" t="s">
        <v>237</v>
      </c>
      <c r="C96" s="2" t="s">
        <v>238</v>
      </c>
      <c r="D96" s="2" t="s">
        <v>13</v>
      </c>
      <c r="E96" s="2" t="s">
        <v>239</v>
      </c>
      <c r="F96" s="2" t="s">
        <v>43</v>
      </c>
      <c r="G96" s="2"/>
      <c r="H96" s="2"/>
      <c r="I96" s="2"/>
      <c r="J96" s="2" t="s">
        <v>2553</v>
      </c>
      <c r="K96" s="2">
        <v>4</v>
      </c>
      <c r="L96" s="4">
        <v>20</v>
      </c>
      <c r="O96" s="2"/>
      <c r="P96" s="2" t="s">
        <v>1434</v>
      </c>
      <c r="Q96" s="2" t="s">
        <v>1435</v>
      </c>
      <c r="R96" s="2" t="s">
        <v>12</v>
      </c>
      <c r="S96" s="2" t="s">
        <v>1436</v>
      </c>
      <c r="T96" s="2" t="s">
        <v>43</v>
      </c>
      <c r="U96" s="2"/>
    </row>
    <row r="97" spans="1:21" x14ac:dyDescent="0.25">
      <c r="A97" s="261">
        <v>46182</v>
      </c>
      <c r="B97" s="2" t="s">
        <v>2060</v>
      </c>
      <c r="C97" s="2" t="s">
        <v>2061</v>
      </c>
      <c r="D97" s="2" t="s">
        <v>12</v>
      </c>
      <c r="E97" s="2" t="s">
        <v>2062</v>
      </c>
      <c r="F97" s="2" t="s">
        <v>44</v>
      </c>
      <c r="G97" s="2"/>
      <c r="H97" s="2"/>
      <c r="I97" s="2"/>
      <c r="J97" s="2" t="s">
        <v>2584</v>
      </c>
      <c r="K97" s="2">
        <v>6</v>
      </c>
      <c r="L97" s="4">
        <v>129.5</v>
      </c>
      <c r="O97" s="2"/>
      <c r="P97" s="2" t="s">
        <v>119</v>
      </c>
      <c r="Q97" s="2" t="s">
        <v>120</v>
      </c>
      <c r="R97" s="2" t="s">
        <v>12</v>
      </c>
      <c r="S97" s="2" t="s">
        <v>121</v>
      </c>
      <c r="T97" s="2" t="s">
        <v>46</v>
      </c>
      <c r="U97" s="2"/>
    </row>
    <row r="98" spans="1:21" x14ac:dyDescent="0.25">
      <c r="A98" s="261">
        <v>46182</v>
      </c>
      <c r="B98" s="2" t="s">
        <v>574</v>
      </c>
      <c r="C98" s="2" t="s">
        <v>575</v>
      </c>
      <c r="D98" s="2" t="s">
        <v>12</v>
      </c>
      <c r="E98" s="2" t="s">
        <v>576</v>
      </c>
      <c r="F98" s="2" t="s">
        <v>46</v>
      </c>
      <c r="G98" s="2"/>
      <c r="H98" s="2"/>
      <c r="I98" s="2"/>
      <c r="J98" s="2" t="s">
        <v>2552</v>
      </c>
      <c r="K98" s="2">
        <v>3</v>
      </c>
      <c r="L98" s="4">
        <v>84.5</v>
      </c>
      <c r="M98" s="6"/>
      <c r="O98" s="2"/>
      <c r="P98" s="2" t="s">
        <v>1437</v>
      </c>
      <c r="Q98" s="2" t="s">
        <v>1438</v>
      </c>
      <c r="R98" s="2" t="s">
        <v>12</v>
      </c>
      <c r="S98" s="2" t="s">
        <v>1439</v>
      </c>
      <c r="T98" s="2" t="s">
        <v>43</v>
      </c>
      <c r="U98" s="2"/>
    </row>
    <row r="99" spans="1:21" x14ac:dyDescent="0.25">
      <c r="A99" s="261">
        <v>46182</v>
      </c>
      <c r="B99" s="2" t="s">
        <v>701</v>
      </c>
      <c r="C99" s="2" t="s">
        <v>702</v>
      </c>
      <c r="D99" s="2" t="s">
        <v>12</v>
      </c>
      <c r="E99" s="2" t="s">
        <v>703</v>
      </c>
      <c r="F99" s="2" t="s">
        <v>652</v>
      </c>
      <c r="G99" s="2"/>
      <c r="H99" s="2"/>
      <c r="I99" s="2"/>
      <c r="J99" s="2" t="s">
        <v>2552</v>
      </c>
      <c r="K99" s="2">
        <v>3</v>
      </c>
      <c r="L99" s="4">
        <v>62.5</v>
      </c>
      <c r="O99" s="2"/>
      <c r="P99" s="2"/>
      <c r="Q99" s="2"/>
      <c r="R99" s="2"/>
      <c r="S99" s="2"/>
      <c r="T99" s="2"/>
      <c r="U99" s="2"/>
    </row>
    <row r="100" spans="1:21" x14ac:dyDescent="0.25">
      <c r="A100" s="261">
        <v>46182</v>
      </c>
      <c r="B100" s="2" t="s">
        <v>1699</v>
      </c>
      <c r="C100" s="2" t="s">
        <v>1700</v>
      </c>
      <c r="D100" s="2" t="s">
        <v>12</v>
      </c>
      <c r="E100" s="2" t="s">
        <v>1701</v>
      </c>
      <c r="F100" s="2" t="s">
        <v>46</v>
      </c>
      <c r="G100" s="2"/>
      <c r="H100" s="2"/>
      <c r="I100" s="2"/>
      <c r="J100" s="2" t="s">
        <v>2553</v>
      </c>
      <c r="K100" s="2">
        <v>4</v>
      </c>
      <c r="L100" s="4">
        <v>203.5</v>
      </c>
      <c r="M100" s="6"/>
      <c r="O100" s="2"/>
      <c r="P100" s="2" t="s">
        <v>317</v>
      </c>
      <c r="Q100" s="2" t="s">
        <v>318</v>
      </c>
      <c r="R100" s="2" t="s">
        <v>12</v>
      </c>
      <c r="S100" s="2" t="s">
        <v>319</v>
      </c>
      <c r="T100" s="2" t="s">
        <v>46</v>
      </c>
      <c r="U100" s="2"/>
    </row>
    <row r="101" spans="1:21" x14ac:dyDescent="0.25">
      <c r="A101" s="261">
        <v>46182</v>
      </c>
      <c r="B101" s="2" t="s">
        <v>1916</v>
      </c>
      <c r="C101" s="2" t="s">
        <v>1917</v>
      </c>
      <c r="D101" s="2" t="s">
        <v>0</v>
      </c>
      <c r="E101" s="2" t="s">
        <v>1918</v>
      </c>
      <c r="F101" s="2" t="s">
        <v>33</v>
      </c>
      <c r="G101" s="2"/>
      <c r="H101" s="2"/>
      <c r="I101" s="2"/>
      <c r="J101" s="2" t="s">
        <v>2551</v>
      </c>
      <c r="K101" s="2">
        <v>2</v>
      </c>
      <c r="L101" s="4">
        <v>10</v>
      </c>
      <c r="O101" s="2"/>
      <c r="P101" s="2" t="s">
        <v>320</v>
      </c>
      <c r="Q101" s="2" t="s">
        <v>321</v>
      </c>
      <c r="R101" s="2" t="s">
        <v>12</v>
      </c>
      <c r="S101" s="2" t="s">
        <v>322</v>
      </c>
      <c r="T101" s="2" t="s">
        <v>46</v>
      </c>
      <c r="U101" s="2"/>
    </row>
    <row r="102" spans="1:21" x14ac:dyDescent="0.25">
      <c r="A102" s="261">
        <v>46182</v>
      </c>
      <c r="B102" s="2" t="s">
        <v>1247</v>
      </c>
      <c r="C102" s="2" t="s">
        <v>1248</v>
      </c>
      <c r="D102" s="2" t="s">
        <v>0</v>
      </c>
      <c r="E102" s="2" t="s">
        <v>1249</v>
      </c>
      <c r="F102" s="2" t="s">
        <v>34</v>
      </c>
      <c r="G102" s="2"/>
      <c r="H102" s="2"/>
      <c r="I102" s="2"/>
      <c r="J102" s="2" t="s">
        <v>2554</v>
      </c>
      <c r="K102" s="2">
        <v>1</v>
      </c>
      <c r="L102" s="4">
        <v>36.5</v>
      </c>
      <c r="O102" s="2"/>
      <c r="P102" s="2" t="s">
        <v>323</v>
      </c>
      <c r="Q102" s="2" t="s">
        <v>324</v>
      </c>
      <c r="R102" s="2" t="s">
        <v>12</v>
      </c>
      <c r="S102" s="2" t="s">
        <v>322</v>
      </c>
      <c r="T102" s="2" t="s">
        <v>325</v>
      </c>
      <c r="U102" s="2"/>
    </row>
    <row r="103" spans="1:21" x14ac:dyDescent="0.25">
      <c r="A103" s="261">
        <v>46182</v>
      </c>
      <c r="B103" s="2" t="s">
        <v>356</v>
      </c>
      <c r="C103" s="2" t="s">
        <v>357</v>
      </c>
      <c r="D103" s="2" t="s">
        <v>12</v>
      </c>
      <c r="E103" s="2" t="s">
        <v>358</v>
      </c>
      <c r="F103" s="2" t="s">
        <v>43</v>
      </c>
      <c r="G103" s="2"/>
      <c r="H103" s="2"/>
      <c r="I103" s="2"/>
      <c r="J103" s="2" t="s">
        <v>2554</v>
      </c>
      <c r="K103" s="2">
        <v>1</v>
      </c>
      <c r="L103" s="4">
        <v>35.5</v>
      </c>
      <c r="M103" s="6"/>
      <c r="O103" s="2"/>
      <c r="P103" s="2" t="s">
        <v>326</v>
      </c>
      <c r="Q103" s="2" t="s">
        <v>327</v>
      </c>
      <c r="R103" s="2" t="s">
        <v>12</v>
      </c>
      <c r="S103" s="2" t="s">
        <v>328</v>
      </c>
      <c r="T103" s="2" t="s">
        <v>46</v>
      </c>
      <c r="U103" s="2"/>
    </row>
    <row r="104" spans="1:21" x14ac:dyDescent="0.25">
      <c r="A104" s="261">
        <v>46182</v>
      </c>
      <c r="B104" s="2" t="s">
        <v>276</v>
      </c>
      <c r="C104" s="2" t="s">
        <v>277</v>
      </c>
      <c r="D104" s="2" t="s">
        <v>13</v>
      </c>
      <c r="E104" s="2" t="s">
        <v>278</v>
      </c>
      <c r="F104" s="2" t="s">
        <v>43</v>
      </c>
      <c r="G104" s="161"/>
      <c r="H104" s="161"/>
      <c r="I104" s="161"/>
      <c r="J104" s="161" t="s">
        <v>2554</v>
      </c>
      <c r="K104" s="161">
        <v>1</v>
      </c>
      <c r="L104" s="97">
        <v>13.5</v>
      </c>
      <c r="M104" s="6"/>
      <c r="O104" s="2"/>
      <c r="P104" s="2" t="s">
        <v>1440</v>
      </c>
      <c r="Q104" s="2" t="s">
        <v>1441</v>
      </c>
      <c r="R104" s="2" t="s">
        <v>12</v>
      </c>
      <c r="S104" s="2" t="s">
        <v>1442</v>
      </c>
      <c r="T104" s="2" t="s">
        <v>329</v>
      </c>
      <c r="U104" s="2"/>
    </row>
    <row r="105" spans="1:21" x14ac:dyDescent="0.25">
      <c r="A105" s="261">
        <v>46182</v>
      </c>
      <c r="B105" s="2" t="s">
        <v>774</v>
      </c>
      <c r="C105" s="2" t="s">
        <v>775</v>
      </c>
      <c r="D105" s="2" t="s">
        <v>12</v>
      </c>
      <c r="E105" s="2" t="s">
        <v>776</v>
      </c>
      <c r="F105" s="2" t="s">
        <v>316</v>
      </c>
      <c r="G105" s="2"/>
      <c r="H105" s="2"/>
      <c r="I105" s="2"/>
      <c r="J105" s="2" t="s">
        <v>2554</v>
      </c>
      <c r="K105" s="2">
        <v>1</v>
      </c>
      <c r="L105" s="4">
        <v>5</v>
      </c>
      <c r="M105" s="6"/>
      <c r="O105" s="2"/>
      <c r="P105" s="2" t="s">
        <v>330</v>
      </c>
      <c r="Q105" s="2" t="s">
        <v>331</v>
      </c>
      <c r="R105" s="2" t="s">
        <v>12</v>
      </c>
      <c r="S105" s="2" t="s">
        <v>332</v>
      </c>
      <c r="T105" s="2" t="s">
        <v>90</v>
      </c>
      <c r="U105" s="2"/>
    </row>
    <row r="106" spans="1:21" x14ac:dyDescent="0.25">
      <c r="A106" s="261">
        <v>46182</v>
      </c>
      <c r="B106" s="2" t="s">
        <v>1201</v>
      </c>
      <c r="C106" s="2" t="s">
        <v>1202</v>
      </c>
      <c r="D106" s="2" t="s">
        <v>0</v>
      </c>
      <c r="E106" s="2" t="s">
        <v>1203</v>
      </c>
      <c r="F106" s="2" t="s">
        <v>83</v>
      </c>
      <c r="G106" s="2"/>
      <c r="H106" s="2"/>
      <c r="I106" s="2"/>
      <c r="J106" s="2" t="s">
        <v>2554</v>
      </c>
      <c r="K106" s="2">
        <v>1</v>
      </c>
      <c r="L106" s="4">
        <v>5</v>
      </c>
      <c r="M106" s="6"/>
      <c r="O106" s="2"/>
      <c r="P106" s="2" t="s">
        <v>333</v>
      </c>
      <c r="Q106" s="2" t="s">
        <v>334</v>
      </c>
      <c r="R106" s="2" t="s">
        <v>12</v>
      </c>
      <c r="S106" s="2" t="s">
        <v>335</v>
      </c>
      <c r="T106" s="2" t="s">
        <v>142</v>
      </c>
      <c r="U106" s="2"/>
    </row>
    <row r="107" spans="1:21" ht="15.75" thickBot="1" x14ac:dyDescent="0.3">
      <c r="A107" s="262">
        <v>46182</v>
      </c>
      <c r="B107" s="212" t="s">
        <v>402</v>
      </c>
      <c r="C107" s="212" t="s">
        <v>403</v>
      </c>
      <c r="D107" s="212" t="s">
        <v>12</v>
      </c>
      <c r="E107" s="212" t="s">
        <v>404</v>
      </c>
      <c r="F107" s="212" t="s">
        <v>316</v>
      </c>
      <c r="G107" s="212"/>
      <c r="H107" s="212"/>
      <c r="I107" s="212"/>
      <c r="J107" s="212" t="s">
        <v>2554</v>
      </c>
      <c r="K107" s="212">
        <v>1</v>
      </c>
      <c r="L107" s="109">
        <v>5</v>
      </c>
      <c r="M107" s="320">
        <f>SUM(L94:L107)</f>
        <v>652</v>
      </c>
      <c r="O107" s="2"/>
      <c r="P107" s="2" t="s">
        <v>336</v>
      </c>
      <c r="Q107" s="2" t="s">
        <v>337</v>
      </c>
      <c r="R107" s="2" t="s">
        <v>12</v>
      </c>
      <c r="S107" s="2" t="s">
        <v>338</v>
      </c>
      <c r="T107" s="2" t="s">
        <v>46</v>
      </c>
      <c r="U107" s="2"/>
    </row>
    <row r="108" spans="1:21" x14ac:dyDescent="0.25">
      <c r="A108" s="261">
        <v>46183</v>
      </c>
      <c r="B108" s="2" t="s">
        <v>571</v>
      </c>
      <c r="C108" s="2" t="s">
        <v>572</v>
      </c>
      <c r="D108" s="2" t="s">
        <v>12</v>
      </c>
      <c r="E108" s="2" t="s">
        <v>573</v>
      </c>
      <c r="F108" s="2" t="s">
        <v>46</v>
      </c>
      <c r="G108" s="161"/>
      <c r="H108" s="161"/>
      <c r="I108" s="161"/>
      <c r="J108" s="161" t="s">
        <v>2554</v>
      </c>
      <c r="K108" s="161">
        <v>1</v>
      </c>
      <c r="L108" s="97">
        <v>5</v>
      </c>
      <c r="M108" s="6"/>
      <c r="O108" s="2"/>
      <c r="P108" s="2" t="s">
        <v>339</v>
      </c>
      <c r="Q108" s="2" t="s">
        <v>340</v>
      </c>
      <c r="R108" s="2" t="s">
        <v>12</v>
      </c>
      <c r="S108" s="2" t="s">
        <v>341</v>
      </c>
      <c r="T108" s="2" t="s">
        <v>43</v>
      </c>
      <c r="U108" s="2"/>
    </row>
    <row r="109" spans="1:21" x14ac:dyDescent="0.25">
      <c r="A109" s="261">
        <v>46183</v>
      </c>
      <c r="B109" s="2" t="s">
        <v>2199</v>
      </c>
      <c r="C109" s="2" t="s">
        <v>2200</v>
      </c>
      <c r="D109" s="2" t="s">
        <v>0</v>
      </c>
      <c r="E109" s="2" t="s">
        <v>2201</v>
      </c>
      <c r="F109" s="2" t="s">
        <v>1798</v>
      </c>
      <c r="G109" s="2"/>
      <c r="H109" s="2"/>
      <c r="I109" s="2"/>
      <c r="J109" s="2" t="s">
        <v>2609</v>
      </c>
      <c r="K109" s="2">
        <v>4</v>
      </c>
      <c r="L109" s="4">
        <v>43</v>
      </c>
      <c r="M109" s="6"/>
      <c r="O109" s="2"/>
      <c r="P109" s="2" t="s">
        <v>342</v>
      </c>
      <c r="Q109" s="2" t="s">
        <v>343</v>
      </c>
      <c r="R109" s="2" t="s">
        <v>12</v>
      </c>
      <c r="S109" s="2" t="s">
        <v>344</v>
      </c>
      <c r="T109" s="2" t="s">
        <v>316</v>
      </c>
      <c r="U109" s="2"/>
    </row>
    <row r="110" spans="1:21" x14ac:dyDescent="0.25">
      <c r="A110" s="261">
        <v>46183</v>
      </c>
      <c r="B110" s="2" t="s">
        <v>2252</v>
      </c>
      <c r="C110" s="2" t="s">
        <v>2253</v>
      </c>
      <c r="D110" s="2" t="s">
        <v>0</v>
      </c>
      <c r="E110" s="2" t="s">
        <v>2254</v>
      </c>
      <c r="F110" s="2" t="s">
        <v>33</v>
      </c>
      <c r="G110" s="2"/>
      <c r="H110" s="2"/>
      <c r="I110" s="2"/>
      <c r="J110" s="2" t="s">
        <v>2609</v>
      </c>
      <c r="K110" s="2">
        <v>4</v>
      </c>
      <c r="L110" s="4">
        <v>20</v>
      </c>
      <c r="M110" s="6"/>
      <c r="O110" s="2"/>
      <c r="P110" s="2" t="s">
        <v>345</v>
      </c>
      <c r="Q110" s="2" t="s">
        <v>346</v>
      </c>
      <c r="R110" s="2" t="s">
        <v>12</v>
      </c>
      <c r="S110" s="2" t="s">
        <v>347</v>
      </c>
      <c r="T110" s="2" t="s">
        <v>46</v>
      </c>
      <c r="U110" s="2"/>
    </row>
    <row r="111" spans="1:21" x14ac:dyDescent="0.25">
      <c r="A111" s="261">
        <v>46183</v>
      </c>
      <c r="B111" s="2" t="s">
        <v>1540</v>
      </c>
      <c r="C111" s="2" t="s">
        <v>1541</v>
      </c>
      <c r="D111" s="2" t="s">
        <v>12</v>
      </c>
      <c r="E111" s="2" t="s">
        <v>1542</v>
      </c>
      <c r="F111" s="2" t="s">
        <v>1543</v>
      </c>
      <c r="G111" s="2"/>
      <c r="H111" s="2"/>
      <c r="I111" s="2"/>
      <c r="J111" s="2" t="s">
        <v>2610</v>
      </c>
      <c r="K111" s="2">
        <v>3</v>
      </c>
      <c r="L111" s="4">
        <v>15</v>
      </c>
      <c r="O111" s="2"/>
      <c r="P111" s="2" t="s">
        <v>348</v>
      </c>
      <c r="Q111" s="2" t="s">
        <v>349</v>
      </c>
      <c r="R111" s="2" t="s">
        <v>12</v>
      </c>
      <c r="S111" s="2" t="s">
        <v>350</v>
      </c>
      <c r="T111" s="2" t="s">
        <v>46</v>
      </c>
      <c r="U111" s="2"/>
    </row>
    <row r="112" spans="1:21" x14ac:dyDescent="0.25">
      <c r="A112" s="261">
        <v>46183</v>
      </c>
      <c r="B112" s="2" t="s">
        <v>1951</v>
      </c>
      <c r="C112" s="2" t="s">
        <v>1952</v>
      </c>
      <c r="D112" s="2" t="s">
        <v>0</v>
      </c>
      <c r="E112" s="2" t="s">
        <v>1953</v>
      </c>
      <c r="F112" s="2" t="s">
        <v>33</v>
      </c>
      <c r="G112" s="2"/>
      <c r="H112" s="2"/>
      <c r="I112" s="2"/>
      <c r="J112" s="2" t="s">
        <v>2609</v>
      </c>
      <c r="K112" s="2">
        <v>4</v>
      </c>
      <c r="L112" s="4">
        <v>20</v>
      </c>
      <c r="O112" s="2"/>
      <c r="P112" s="2" t="s">
        <v>2011</v>
      </c>
      <c r="Q112" s="2" t="s">
        <v>2012</v>
      </c>
      <c r="R112" s="2" t="s">
        <v>12</v>
      </c>
      <c r="S112" s="2" t="s">
        <v>2013</v>
      </c>
      <c r="T112" s="2" t="s">
        <v>2014</v>
      </c>
      <c r="U112" s="2"/>
    </row>
    <row r="113" spans="1:21" x14ac:dyDescent="0.25">
      <c r="A113" s="261">
        <v>46183</v>
      </c>
      <c r="B113" s="2" t="s">
        <v>888</v>
      </c>
      <c r="C113" s="2" t="s">
        <v>889</v>
      </c>
      <c r="D113" s="2" t="s">
        <v>0</v>
      </c>
      <c r="E113" s="2" t="s">
        <v>890</v>
      </c>
      <c r="F113" s="2" t="s">
        <v>33</v>
      </c>
      <c r="G113" s="2"/>
      <c r="H113" s="2"/>
      <c r="I113" s="2"/>
      <c r="J113" s="2" t="s">
        <v>2611</v>
      </c>
      <c r="K113" s="2">
        <v>1</v>
      </c>
      <c r="L113" s="4">
        <v>29.5</v>
      </c>
      <c r="M113" s="6"/>
      <c r="O113" s="2"/>
      <c r="P113" s="2" t="s">
        <v>351</v>
      </c>
      <c r="Q113" s="2" t="s">
        <v>352</v>
      </c>
      <c r="R113" s="2" t="s">
        <v>12</v>
      </c>
      <c r="S113" s="2" t="s">
        <v>353</v>
      </c>
      <c r="T113" s="2" t="s">
        <v>43</v>
      </c>
      <c r="U113" s="2"/>
    </row>
    <row r="114" spans="1:21" x14ac:dyDescent="0.25">
      <c r="A114" s="261">
        <v>46183</v>
      </c>
      <c r="B114" s="2" t="s">
        <v>955</v>
      </c>
      <c r="C114" s="2" t="s">
        <v>956</v>
      </c>
      <c r="D114" s="2" t="s">
        <v>0</v>
      </c>
      <c r="E114" s="2" t="s">
        <v>957</v>
      </c>
      <c r="F114" s="2" t="s">
        <v>83</v>
      </c>
      <c r="G114" s="2"/>
      <c r="H114" s="2"/>
      <c r="I114" s="2"/>
      <c r="J114" s="2" t="s">
        <v>2612</v>
      </c>
      <c r="K114" s="2">
        <v>2</v>
      </c>
      <c r="L114" s="4">
        <v>10</v>
      </c>
      <c r="M114" s="6"/>
      <c r="O114" s="2"/>
      <c r="P114" s="2" t="s">
        <v>354</v>
      </c>
      <c r="Q114" s="2" t="s">
        <v>355</v>
      </c>
      <c r="R114" s="2" t="s">
        <v>12</v>
      </c>
      <c r="S114" s="2" t="s">
        <v>197</v>
      </c>
      <c r="T114" s="2" t="s">
        <v>325</v>
      </c>
      <c r="U114" s="2"/>
    </row>
    <row r="115" spans="1:21" x14ac:dyDescent="0.25">
      <c r="A115" s="261">
        <v>46183</v>
      </c>
      <c r="B115" s="2" t="s">
        <v>958</v>
      </c>
      <c r="C115" s="2" t="s">
        <v>959</v>
      </c>
      <c r="D115" s="2" t="s">
        <v>0</v>
      </c>
      <c r="E115" s="2" t="s">
        <v>960</v>
      </c>
      <c r="F115" s="2" t="s">
        <v>961</v>
      </c>
      <c r="G115" s="2"/>
      <c r="H115" s="2"/>
      <c r="I115" s="2"/>
      <c r="J115" s="2" t="s">
        <v>2613</v>
      </c>
      <c r="K115" s="2">
        <v>2</v>
      </c>
      <c r="L115" s="4">
        <v>10</v>
      </c>
      <c r="M115" s="6"/>
      <c r="O115" s="2"/>
      <c r="P115" s="2" t="s">
        <v>1443</v>
      </c>
      <c r="Q115" s="2" t="s">
        <v>1444</v>
      </c>
      <c r="R115" s="2" t="s">
        <v>12</v>
      </c>
      <c r="S115" s="2" t="s">
        <v>1445</v>
      </c>
      <c r="T115" s="2" t="s">
        <v>52</v>
      </c>
      <c r="U115" s="2"/>
    </row>
    <row r="116" spans="1:21" x14ac:dyDescent="0.25">
      <c r="A116" s="261">
        <v>46183</v>
      </c>
      <c r="B116" s="2" t="s">
        <v>258</v>
      </c>
      <c r="C116" s="2" t="s">
        <v>259</v>
      </c>
      <c r="D116" s="2" t="s">
        <v>13</v>
      </c>
      <c r="E116" s="2" t="s">
        <v>260</v>
      </c>
      <c r="F116" s="2" t="s">
        <v>43</v>
      </c>
      <c r="G116" s="2"/>
      <c r="H116" s="2"/>
      <c r="I116" s="2"/>
      <c r="J116" s="2" t="s">
        <v>2610</v>
      </c>
      <c r="K116" s="2">
        <v>3</v>
      </c>
      <c r="L116" s="4">
        <v>46.5</v>
      </c>
      <c r="M116" s="6"/>
      <c r="O116" s="2"/>
      <c r="P116" s="2" t="s">
        <v>2015</v>
      </c>
      <c r="Q116" s="2" t="s">
        <v>2016</v>
      </c>
      <c r="R116" s="2" t="s">
        <v>12</v>
      </c>
      <c r="S116" s="2" t="s">
        <v>2017</v>
      </c>
      <c r="T116" s="2" t="s">
        <v>12</v>
      </c>
      <c r="U116" s="2"/>
    </row>
    <row r="117" spans="1:21" ht="15.75" thickBot="1" x14ac:dyDescent="0.3">
      <c r="A117" s="262">
        <v>46183</v>
      </c>
      <c r="B117" s="212" t="s">
        <v>1360</v>
      </c>
      <c r="C117" s="212" t="s">
        <v>1361</v>
      </c>
      <c r="D117" s="212" t="s">
        <v>14</v>
      </c>
      <c r="E117" s="212" t="s">
        <v>2284</v>
      </c>
      <c r="F117" s="212" t="s">
        <v>32</v>
      </c>
      <c r="G117" s="212"/>
      <c r="H117" s="212"/>
      <c r="I117" s="212"/>
      <c r="J117" s="212" t="s">
        <v>2611</v>
      </c>
      <c r="K117" s="212">
        <v>1</v>
      </c>
      <c r="L117" s="109">
        <v>5</v>
      </c>
      <c r="M117" s="320">
        <f>SUM(L108:L117)</f>
        <v>204</v>
      </c>
      <c r="O117" s="2"/>
      <c r="P117" s="2" t="s">
        <v>356</v>
      </c>
      <c r="Q117" s="2" t="s">
        <v>357</v>
      </c>
      <c r="R117" s="2" t="s">
        <v>12</v>
      </c>
      <c r="S117" s="2" t="s">
        <v>358</v>
      </c>
      <c r="T117" s="2" t="s">
        <v>43</v>
      </c>
      <c r="U117" s="2"/>
    </row>
    <row r="118" spans="1:21" x14ac:dyDescent="0.25">
      <c r="A118" s="261">
        <v>46184</v>
      </c>
      <c r="B118" s="2" t="s">
        <v>665</v>
      </c>
      <c r="C118" s="2" t="s">
        <v>666</v>
      </c>
      <c r="D118" s="2" t="s">
        <v>12</v>
      </c>
      <c r="E118" s="2" t="s">
        <v>667</v>
      </c>
      <c r="F118" s="2" t="s">
        <v>316</v>
      </c>
      <c r="G118" s="161"/>
      <c r="H118" s="161"/>
      <c r="I118" s="161"/>
      <c r="J118" s="161" t="s">
        <v>2611</v>
      </c>
      <c r="K118" s="161">
        <v>1</v>
      </c>
      <c r="L118" s="97">
        <v>5</v>
      </c>
      <c r="M118" s="6"/>
      <c r="O118" s="2"/>
      <c r="P118" s="2"/>
      <c r="Q118" s="2"/>
      <c r="R118" s="2"/>
      <c r="S118" s="2"/>
      <c r="T118" s="2"/>
      <c r="U118" s="2"/>
    </row>
    <row r="119" spans="1:21" x14ac:dyDescent="0.25">
      <c r="A119" s="261">
        <v>46184</v>
      </c>
      <c r="B119" s="2" t="s">
        <v>1088</v>
      </c>
      <c r="C119" s="2" t="s">
        <v>1089</v>
      </c>
      <c r="D119" s="2" t="s">
        <v>0</v>
      </c>
      <c r="E119" s="2" t="s">
        <v>1090</v>
      </c>
      <c r="F119" s="2" t="s">
        <v>875</v>
      </c>
      <c r="G119" s="161"/>
      <c r="H119" s="161"/>
      <c r="I119" s="161"/>
      <c r="J119" s="161" t="s">
        <v>2611</v>
      </c>
      <c r="K119" s="161">
        <v>1</v>
      </c>
      <c r="L119" s="97">
        <v>8.5</v>
      </c>
      <c r="M119" s="6"/>
      <c r="O119" s="2"/>
      <c r="P119" s="2" t="s">
        <v>359</v>
      </c>
      <c r="Q119" s="2" t="s">
        <v>360</v>
      </c>
      <c r="R119" s="2" t="s">
        <v>12</v>
      </c>
      <c r="S119" s="2" t="s">
        <v>361</v>
      </c>
      <c r="T119" s="2" t="s">
        <v>46</v>
      </c>
      <c r="U119" s="2"/>
    </row>
    <row r="120" spans="1:21" x14ac:dyDescent="0.25">
      <c r="A120" s="261">
        <v>46184</v>
      </c>
      <c r="B120" s="2" t="s">
        <v>249</v>
      </c>
      <c r="C120" s="2" t="s">
        <v>250</v>
      </c>
      <c r="D120" s="2" t="s">
        <v>13</v>
      </c>
      <c r="E120" s="2" t="s">
        <v>251</v>
      </c>
      <c r="F120" s="2" t="s">
        <v>43</v>
      </c>
      <c r="G120" s="2"/>
      <c r="H120" s="2"/>
      <c r="I120" s="2"/>
      <c r="J120" s="161" t="s">
        <v>2613</v>
      </c>
      <c r="K120" s="2">
        <v>2</v>
      </c>
      <c r="L120" s="4">
        <v>10</v>
      </c>
      <c r="M120" s="6"/>
      <c r="O120" s="2"/>
      <c r="P120" s="2" t="s">
        <v>362</v>
      </c>
      <c r="Q120" s="2" t="s">
        <v>363</v>
      </c>
      <c r="R120" s="2" t="s">
        <v>12</v>
      </c>
      <c r="S120" s="2" t="s">
        <v>364</v>
      </c>
      <c r="T120" s="2" t="s">
        <v>301</v>
      </c>
      <c r="U120" s="2"/>
    </row>
    <row r="121" spans="1:21" x14ac:dyDescent="0.25">
      <c r="A121" s="261">
        <v>46184</v>
      </c>
      <c r="B121" s="2" t="s">
        <v>180</v>
      </c>
      <c r="C121" s="2" t="s">
        <v>181</v>
      </c>
      <c r="D121" s="2" t="s">
        <v>13</v>
      </c>
      <c r="E121" s="2" t="s">
        <v>182</v>
      </c>
      <c r="F121" s="2" t="s">
        <v>43</v>
      </c>
      <c r="G121" s="2"/>
      <c r="H121" s="2"/>
      <c r="I121" s="2"/>
      <c r="J121" s="161" t="s">
        <v>2613</v>
      </c>
      <c r="K121" s="2">
        <v>2</v>
      </c>
      <c r="L121" s="4">
        <v>10</v>
      </c>
      <c r="M121" s="6"/>
      <c r="O121" s="2"/>
      <c r="P121" s="2" t="s">
        <v>365</v>
      </c>
      <c r="Q121" s="2" t="s">
        <v>366</v>
      </c>
      <c r="R121" s="2" t="s">
        <v>12</v>
      </c>
      <c r="S121" s="2" t="s">
        <v>367</v>
      </c>
      <c r="T121" s="2" t="s">
        <v>49</v>
      </c>
      <c r="U121" s="2"/>
    </row>
    <row r="122" spans="1:21" x14ac:dyDescent="0.25">
      <c r="A122" s="261">
        <v>46184</v>
      </c>
      <c r="B122" s="2" t="s">
        <v>665</v>
      </c>
      <c r="C122" s="2" t="s">
        <v>666</v>
      </c>
      <c r="D122" s="2" t="s">
        <v>12</v>
      </c>
      <c r="E122" s="2" t="s">
        <v>667</v>
      </c>
      <c r="F122" s="2" t="s">
        <v>316</v>
      </c>
      <c r="G122" s="2"/>
      <c r="H122" s="2"/>
      <c r="I122" s="2"/>
      <c r="J122" s="161" t="s">
        <v>2611</v>
      </c>
      <c r="K122" s="2">
        <v>1</v>
      </c>
      <c r="L122" s="4">
        <v>5</v>
      </c>
      <c r="M122" s="6"/>
      <c r="O122" s="2"/>
      <c r="P122" s="2" t="s">
        <v>117</v>
      </c>
      <c r="Q122" s="2" t="s">
        <v>118</v>
      </c>
      <c r="R122" s="2" t="s">
        <v>12</v>
      </c>
      <c r="S122" s="2" t="s">
        <v>2018</v>
      </c>
      <c r="T122" s="2" t="s">
        <v>48</v>
      </c>
      <c r="U122" s="2"/>
    </row>
    <row r="123" spans="1:21" x14ac:dyDescent="0.25">
      <c r="A123" s="261">
        <v>46184</v>
      </c>
      <c r="B123" s="2" t="s">
        <v>981</v>
      </c>
      <c r="C123" s="2" t="s">
        <v>982</v>
      </c>
      <c r="D123" s="2" t="s">
        <v>0</v>
      </c>
      <c r="E123" s="2" t="s">
        <v>447</v>
      </c>
      <c r="F123" s="2" t="s">
        <v>39</v>
      </c>
      <c r="G123" s="2"/>
      <c r="H123" s="2"/>
      <c r="I123" s="2"/>
      <c r="J123" s="161" t="s">
        <v>2611</v>
      </c>
      <c r="K123" s="2">
        <v>1</v>
      </c>
      <c r="L123" s="4">
        <v>50.5</v>
      </c>
      <c r="M123" s="6"/>
      <c r="O123" s="2"/>
      <c r="P123" s="2" t="s">
        <v>2399</v>
      </c>
      <c r="Q123" s="2" t="s">
        <v>2400</v>
      </c>
      <c r="R123" s="2" t="s">
        <v>12</v>
      </c>
      <c r="S123" s="2" t="s">
        <v>2407</v>
      </c>
      <c r="T123" s="2" t="s">
        <v>301</v>
      </c>
      <c r="U123" s="2"/>
    </row>
    <row r="124" spans="1:21" x14ac:dyDescent="0.25">
      <c r="A124" s="261">
        <v>46184</v>
      </c>
      <c r="B124" s="2" t="s">
        <v>1705</v>
      </c>
      <c r="C124" s="2" t="s">
        <v>1706</v>
      </c>
      <c r="D124" s="2" t="s">
        <v>12</v>
      </c>
      <c r="E124" s="2" t="s">
        <v>1707</v>
      </c>
      <c r="F124" s="2" t="s">
        <v>48</v>
      </c>
      <c r="G124" s="2"/>
      <c r="H124" s="2"/>
      <c r="I124" s="2"/>
      <c r="J124" s="2" t="s">
        <v>2616</v>
      </c>
      <c r="K124" s="2">
        <v>10</v>
      </c>
      <c r="L124" s="4">
        <v>177</v>
      </c>
      <c r="M124" s="6"/>
      <c r="O124" s="2"/>
      <c r="P124" s="2" t="s">
        <v>1446</v>
      </c>
      <c r="Q124" s="2" t="s">
        <v>1447</v>
      </c>
      <c r="R124" s="2" t="s">
        <v>12</v>
      </c>
      <c r="S124" s="2" t="s">
        <v>1448</v>
      </c>
      <c r="T124" s="2" t="s">
        <v>316</v>
      </c>
      <c r="U124" s="2"/>
    </row>
    <row r="125" spans="1:21" ht="15.75" thickBot="1" x14ac:dyDescent="0.3">
      <c r="A125" s="262">
        <v>46184</v>
      </c>
      <c r="B125" s="212" t="s">
        <v>2051</v>
      </c>
      <c r="C125" s="212" t="s">
        <v>2052</v>
      </c>
      <c r="D125" s="212" t="s">
        <v>12</v>
      </c>
      <c r="E125" s="212" t="s">
        <v>2053</v>
      </c>
      <c r="F125" s="212" t="s">
        <v>125</v>
      </c>
      <c r="G125" s="212"/>
      <c r="H125" s="212"/>
      <c r="I125" s="212"/>
      <c r="J125" s="212" t="s">
        <v>2613</v>
      </c>
      <c r="K125" s="212">
        <v>2</v>
      </c>
      <c r="L125" s="109">
        <v>11.5</v>
      </c>
      <c r="M125" s="320">
        <f>SUM(L118:L125)</f>
        <v>277.5</v>
      </c>
      <c r="O125" s="2"/>
      <c r="P125" s="2" t="s">
        <v>368</v>
      </c>
      <c r="Q125" s="2" t="s">
        <v>369</v>
      </c>
      <c r="R125" s="2" t="s">
        <v>12</v>
      </c>
      <c r="S125" s="2" t="s">
        <v>370</v>
      </c>
      <c r="T125" s="2" t="s">
        <v>301</v>
      </c>
      <c r="U125" s="2"/>
    </row>
    <row r="126" spans="1:21" x14ac:dyDescent="0.25">
      <c r="A126" s="261">
        <v>46185</v>
      </c>
      <c r="B126" s="161" t="s">
        <v>1985</v>
      </c>
      <c r="C126" s="161" t="s">
        <v>1986</v>
      </c>
      <c r="D126" s="161" t="s">
        <v>0</v>
      </c>
      <c r="E126" s="161" t="s">
        <v>1987</v>
      </c>
      <c r="F126" s="161" t="s">
        <v>879</v>
      </c>
      <c r="G126" s="161"/>
      <c r="H126" s="161"/>
      <c r="I126" s="161"/>
      <c r="J126" s="161" t="s">
        <v>2609</v>
      </c>
      <c r="K126" s="161">
        <v>4</v>
      </c>
      <c r="L126" s="97">
        <v>76</v>
      </c>
      <c r="M126" s="6"/>
      <c r="O126" s="2"/>
      <c r="P126" s="2" t="s">
        <v>1449</v>
      </c>
      <c r="Q126" s="2" t="s">
        <v>1450</v>
      </c>
      <c r="R126" s="2" t="s">
        <v>12</v>
      </c>
      <c r="S126" s="2" t="s">
        <v>1451</v>
      </c>
      <c r="T126" s="2" t="s">
        <v>48</v>
      </c>
      <c r="U126" s="2"/>
    </row>
    <row r="127" spans="1:21" x14ac:dyDescent="0.25">
      <c r="A127" s="261">
        <v>46185</v>
      </c>
      <c r="B127" s="2" t="s">
        <v>1780</v>
      </c>
      <c r="C127" s="2" t="s">
        <v>1781</v>
      </c>
      <c r="D127" s="2" t="s">
        <v>0</v>
      </c>
      <c r="E127" s="2" t="s">
        <v>1782</v>
      </c>
      <c r="F127" s="2" t="s">
        <v>39</v>
      </c>
      <c r="G127" s="2"/>
      <c r="H127" s="2"/>
      <c r="I127" s="2"/>
      <c r="J127" s="2" t="s">
        <v>2610</v>
      </c>
      <c r="K127" s="2">
        <v>3</v>
      </c>
      <c r="L127" s="4">
        <v>72.5</v>
      </c>
      <c r="M127" s="6"/>
      <c r="O127" s="2"/>
      <c r="P127" s="2" t="s">
        <v>1452</v>
      </c>
      <c r="Q127" s="2" t="s">
        <v>1453</v>
      </c>
      <c r="R127" s="2" t="s">
        <v>12</v>
      </c>
      <c r="S127" s="2" t="s">
        <v>1454</v>
      </c>
      <c r="T127" s="2" t="s">
        <v>1455</v>
      </c>
      <c r="U127" s="2"/>
    </row>
    <row r="128" spans="1:21" x14ac:dyDescent="0.25">
      <c r="A128" s="261">
        <v>46185</v>
      </c>
      <c r="B128" s="2" t="s">
        <v>1603</v>
      </c>
      <c r="C128" s="2" t="s">
        <v>611</v>
      </c>
      <c r="D128" s="2" t="s">
        <v>12</v>
      </c>
      <c r="E128" s="2" t="s">
        <v>1604</v>
      </c>
      <c r="F128" s="2" t="s">
        <v>43</v>
      </c>
      <c r="G128" s="2"/>
      <c r="H128" s="2"/>
      <c r="I128" s="2"/>
      <c r="J128" s="2" t="s">
        <v>2611</v>
      </c>
      <c r="K128" s="2">
        <v>1</v>
      </c>
      <c r="L128" s="4">
        <v>35.5</v>
      </c>
      <c r="M128" s="6"/>
      <c r="O128" s="2"/>
      <c r="P128" s="2" t="s">
        <v>371</v>
      </c>
      <c r="Q128" s="2" t="s">
        <v>372</v>
      </c>
      <c r="R128" s="2" t="s">
        <v>12</v>
      </c>
      <c r="S128" s="2" t="s">
        <v>373</v>
      </c>
      <c r="T128" s="2" t="s">
        <v>43</v>
      </c>
      <c r="U128" s="2"/>
    </row>
    <row r="129" spans="1:21" x14ac:dyDescent="0.25">
      <c r="A129" s="261">
        <v>46185</v>
      </c>
      <c r="B129" s="2" t="s">
        <v>2190</v>
      </c>
      <c r="C129" s="2" t="s">
        <v>2191</v>
      </c>
      <c r="D129" s="2" t="s">
        <v>0</v>
      </c>
      <c r="E129" s="2" t="s">
        <v>2192</v>
      </c>
      <c r="F129" s="2" t="s">
        <v>39</v>
      </c>
      <c r="G129" s="2"/>
      <c r="H129" s="2"/>
      <c r="I129" s="2"/>
      <c r="J129" s="2" t="s">
        <v>2613</v>
      </c>
      <c r="K129" s="2">
        <v>2</v>
      </c>
      <c r="L129" s="4">
        <v>10</v>
      </c>
      <c r="M129" s="6"/>
      <c r="O129" s="2"/>
      <c r="P129" s="2" t="s">
        <v>374</v>
      </c>
      <c r="Q129" s="2" t="s">
        <v>375</v>
      </c>
      <c r="R129" s="2" t="s">
        <v>12</v>
      </c>
      <c r="S129" s="2" t="s">
        <v>376</v>
      </c>
      <c r="T129" s="2" t="s">
        <v>125</v>
      </c>
      <c r="U129" s="2"/>
    </row>
    <row r="130" spans="1:21" x14ac:dyDescent="0.25">
      <c r="A130" s="261">
        <v>46185</v>
      </c>
      <c r="B130" s="2" t="s">
        <v>2087</v>
      </c>
      <c r="C130" s="2" t="s">
        <v>2088</v>
      </c>
      <c r="D130" s="2" t="s">
        <v>12</v>
      </c>
      <c r="E130" s="2" t="s">
        <v>1638</v>
      </c>
      <c r="F130" s="2" t="s">
        <v>46</v>
      </c>
      <c r="G130" s="2"/>
      <c r="H130" s="2"/>
      <c r="I130" s="2"/>
      <c r="J130" s="2" t="s">
        <v>2613</v>
      </c>
      <c r="K130" s="2">
        <v>2</v>
      </c>
      <c r="L130" s="4">
        <v>10</v>
      </c>
      <c r="M130" s="6"/>
      <c r="O130" s="2"/>
      <c r="P130" s="2" t="s">
        <v>377</v>
      </c>
      <c r="Q130" s="2" t="s">
        <v>378</v>
      </c>
      <c r="R130" s="2" t="s">
        <v>12</v>
      </c>
      <c r="S130" s="2" t="s">
        <v>379</v>
      </c>
      <c r="T130" s="2" t="s">
        <v>125</v>
      </c>
      <c r="U130" s="2"/>
    </row>
    <row r="131" spans="1:21" x14ac:dyDescent="0.25">
      <c r="A131" s="261">
        <v>46185</v>
      </c>
      <c r="B131" s="2" t="s">
        <v>195</v>
      </c>
      <c r="C131" s="2" t="s">
        <v>196</v>
      </c>
      <c r="D131" s="2" t="s">
        <v>13</v>
      </c>
      <c r="E131" s="2" t="s">
        <v>197</v>
      </c>
      <c r="F131" s="2" t="s">
        <v>43</v>
      </c>
      <c r="G131" s="2"/>
      <c r="H131" s="2"/>
      <c r="I131" s="2"/>
      <c r="J131" s="2" t="s">
        <v>2609</v>
      </c>
      <c r="K131" s="2">
        <v>4</v>
      </c>
      <c r="L131" s="4">
        <v>20</v>
      </c>
      <c r="M131" s="6"/>
      <c r="O131" s="2"/>
      <c r="P131" s="2" t="s">
        <v>380</v>
      </c>
      <c r="Q131" s="2" t="s">
        <v>381</v>
      </c>
      <c r="R131" s="2" t="s">
        <v>12</v>
      </c>
      <c r="S131" s="2" t="s">
        <v>382</v>
      </c>
      <c r="T131" s="2" t="s">
        <v>125</v>
      </c>
      <c r="U131" s="2"/>
    </row>
    <row r="132" spans="1:21" x14ac:dyDescent="0.25">
      <c r="A132" s="261">
        <v>46185</v>
      </c>
      <c r="B132" s="2" t="s">
        <v>780</v>
      </c>
      <c r="C132" s="2" t="s">
        <v>781</v>
      </c>
      <c r="D132" s="2" t="s">
        <v>12</v>
      </c>
      <c r="E132" s="2" t="s">
        <v>782</v>
      </c>
      <c r="F132" s="2" t="s">
        <v>49</v>
      </c>
      <c r="G132" s="2"/>
      <c r="H132" s="2"/>
      <c r="I132" s="2"/>
      <c r="J132" s="2" t="s">
        <v>2609</v>
      </c>
      <c r="K132" s="2">
        <v>4</v>
      </c>
      <c r="L132" s="4">
        <v>53</v>
      </c>
      <c r="M132" s="6"/>
      <c r="O132" s="2"/>
      <c r="P132" s="2" t="s">
        <v>1456</v>
      </c>
      <c r="Q132" s="2" t="s">
        <v>1457</v>
      </c>
      <c r="R132" s="2" t="s">
        <v>12</v>
      </c>
      <c r="S132" s="2" t="s">
        <v>1458</v>
      </c>
      <c r="T132" s="2" t="s">
        <v>43</v>
      </c>
      <c r="U132" s="2"/>
    </row>
    <row r="133" spans="1:21" x14ac:dyDescent="0.25">
      <c r="A133" s="261">
        <v>46185</v>
      </c>
      <c r="B133" s="2" t="s">
        <v>354</v>
      </c>
      <c r="C133" s="2" t="s">
        <v>355</v>
      </c>
      <c r="D133" s="2" t="s">
        <v>12</v>
      </c>
      <c r="E133" s="2" t="s">
        <v>197</v>
      </c>
      <c r="F133" s="2" t="s">
        <v>325</v>
      </c>
      <c r="G133" s="2"/>
      <c r="H133" s="2"/>
      <c r="I133" s="2"/>
      <c r="J133" s="2" t="s">
        <v>2609</v>
      </c>
      <c r="K133" s="2">
        <v>4</v>
      </c>
      <c r="L133" s="4">
        <v>20</v>
      </c>
      <c r="M133" s="6"/>
      <c r="O133" s="2"/>
      <c r="P133" s="2" t="s">
        <v>1459</v>
      </c>
      <c r="Q133" s="2" t="s">
        <v>1460</v>
      </c>
      <c r="R133" s="2" t="s">
        <v>12</v>
      </c>
      <c r="S133" s="2" t="s">
        <v>1461</v>
      </c>
      <c r="T133" s="2" t="s">
        <v>1462</v>
      </c>
      <c r="U133" s="2"/>
    </row>
    <row r="134" spans="1:21" x14ac:dyDescent="0.25">
      <c r="A134" s="261">
        <v>46185</v>
      </c>
      <c r="B134" s="2" t="s">
        <v>1529</v>
      </c>
      <c r="C134" s="2" t="s">
        <v>1530</v>
      </c>
      <c r="D134" s="2" t="s">
        <v>12</v>
      </c>
      <c r="E134" s="2" t="s">
        <v>1531</v>
      </c>
      <c r="F134" s="2" t="s">
        <v>1532</v>
      </c>
      <c r="G134" s="2"/>
      <c r="H134" s="2"/>
      <c r="I134" s="2"/>
      <c r="J134" s="2" t="s">
        <v>2613</v>
      </c>
      <c r="K134" s="2">
        <v>2</v>
      </c>
      <c r="L134" s="4">
        <v>50</v>
      </c>
      <c r="M134" s="6"/>
      <c r="O134" s="2"/>
      <c r="P134" s="2" t="s">
        <v>1463</v>
      </c>
      <c r="Q134" s="2" t="s">
        <v>1464</v>
      </c>
      <c r="R134" s="2" t="s">
        <v>12</v>
      </c>
      <c r="S134" s="2" t="s">
        <v>1465</v>
      </c>
      <c r="T134" s="2" t="s">
        <v>44</v>
      </c>
      <c r="U134" s="2"/>
    </row>
    <row r="135" spans="1:21" x14ac:dyDescent="0.25">
      <c r="A135" s="261">
        <v>46185</v>
      </c>
      <c r="B135" s="2" t="s">
        <v>548</v>
      </c>
      <c r="C135" s="2" t="s">
        <v>549</v>
      </c>
      <c r="D135" s="2" t="s">
        <v>12</v>
      </c>
      <c r="E135" s="2" t="s">
        <v>550</v>
      </c>
      <c r="F135" s="2" t="s">
        <v>316</v>
      </c>
      <c r="G135" s="2"/>
      <c r="H135" s="2"/>
      <c r="I135" s="2"/>
      <c r="J135" s="2" t="s">
        <v>2610</v>
      </c>
      <c r="K135" s="2">
        <v>3</v>
      </c>
      <c r="L135" s="218">
        <v>74.5</v>
      </c>
      <c r="M135" s="6"/>
      <c r="O135" s="2"/>
      <c r="P135" s="2" t="s">
        <v>383</v>
      </c>
      <c r="Q135" s="2" t="s">
        <v>384</v>
      </c>
      <c r="R135" s="2" t="s">
        <v>12</v>
      </c>
      <c r="S135" s="2" t="s">
        <v>385</v>
      </c>
      <c r="T135" s="2" t="s">
        <v>316</v>
      </c>
      <c r="U135" s="2"/>
    </row>
    <row r="136" spans="1:21" x14ac:dyDescent="0.25">
      <c r="A136" s="261">
        <v>46185</v>
      </c>
      <c r="B136" s="2" t="s">
        <v>418</v>
      </c>
      <c r="C136" s="2" t="s">
        <v>419</v>
      </c>
      <c r="D136" s="2" t="s">
        <v>12</v>
      </c>
      <c r="E136" s="2" t="s">
        <v>420</v>
      </c>
      <c r="F136" s="2" t="s">
        <v>44</v>
      </c>
      <c r="G136" s="2"/>
      <c r="H136" s="2"/>
      <c r="I136" s="2"/>
      <c r="J136" s="2" t="s">
        <v>2609</v>
      </c>
      <c r="K136" s="2">
        <v>4</v>
      </c>
      <c r="L136" s="218">
        <v>34</v>
      </c>
      <c r="M136" s="6"/>
      <c r="O136" s="2"/>
      <c r="P136" s="2" t="s">
        <v>1466</v>
      </c>
      <c r="Q136" s="2" t="s">
        <v>1467</v>
      </c>
      <c r="R136" s="2" t="s">
        <v>12</v>
      </c>
      <c r="S136" s="2" t="s">
        <v>1468</v>
      </c>
      <c r="T136" s="2" t="s">
        <v>90</v>
      </c>
      <c r="U136" s="2"/>
    </row>
    <row r="137" spans="1:21" x14ac:dyDescent="0.25">
      <c r="A137" s="261">
        <v>46185</v>
      </c>
      <c r="B137" s="2" t="s">
        <v>424</v>
      </c>
      <c r="C137" s="2" t="s">
        <v>425</v>
      </c>
      <c r="D137" s="2" t="s">
        <v>12</v>
      </c>
      <c r="E137" s="2" t="s">
        <v>426</v>
      </c>
      <c r="F137" s="2" t="s">
        <v>48</v>
      </c>
      <c r="G137" s="2"/>
      <c r="H137" s="2"/>
      <c r="I137" s="2"/>
      <c r="J137" s="2" t="s">
        <v>2609</v>
      </c>
      <c r="K137" s="2">
        <v>4</v>
      </c>
      <c r="L137" s="4">
        <v>122</v>
      </c>
      <c r="M137" s="6"/>
      <c r="O137" s="2"/>
      <c r="P137" s="2" t="s">
        <v>1469</v>
      </c>
      <c r="Q137" s="2" t="s">
        <v>1470</v>
      </c>
      <c r="R137" s="2" t="s">
        <v>12</v>
      </c>
      <c r="S137" s="2" t="s">
        <v>1471</v>
      </c>
      <c r="T137" s="2" t="s">
        <v>1472</v>
      </c>
      <c r="U137" s="2"/>
    </row>
    <row r="138" spans="1:21" x14ac:dyDescent="0.25">
      <c r="A138" s="261">
        <v>46185</v>
      </c>
      <c r="B138" s="288" t="s">
        <v>551</v>
      </c>
      <c r="C138" s="288" t="s">
        <v>552</v>
      </c>
      <c r="D138" s="288" t="s">
        <v>12</v>
      </c>
      <c r="E138" s="288" t="s">
        <v>553</v>
      </c>
      <c r="F138" s="288" t="s">
        <v>44</v>
      </c>
      <c r="G138" s="288"/>
      <c r="H138" s="288"/>
      <c r="I138" s="288"/>
      <c r="J138" s="161" t="s">
        <v>2611</v>
      </c>
      <c r="K138" s="288">
        <v>1</v>
      </c>
      <c r="L138" s="289">
        <v>16.5</v>
      </c>
      <c r="O138" s="2"/>
      <c r="P138" s="2" t="s">
        <v>1473</v>
      </c>
      <c r="Q138" s="2" t="s">
        <v>1474</v>
      </c>
      <c r="R138" s="2" t="s">
        <v>12</v>
      </c>
      <c r="S138" s="2" t="s">
        <v>1475</v>
      </c>
      <c r="T138" s="2" t="s">
        <v>1476</v>
      </c>
      <c r="U138" s="2"/>
    </row>
    <row r="139" spans="1:21" x14ac:dyDescent="0.25">
      <c r="A139" s="261">
        <v>46185</v>
      </c>
      <c r="B139" s="2" t="s">
        <v>1112</v>
      </c>
      <c r="C139" s="2" t="s">
        <v>1113</v>
      </c>
      <c r="D139" s="2" t="s">
        <v>0</v>
      </c>
      <c r="E139" s="2" t="s">
        <v>1114</v>
      </c>
      <c r="F139" s="2" t="s">
        <v>39</v>
      </c>
      <c r="G139" s="161"/>
      <c r="H139" s="161"/>
      <c r="I139" s="161"/>
      <c r="J139" s="161" t="s">
        <v>2613</v>
      </c>
      <c r="K139" s="161">
        <v>2</v>
      </c>
      <c r="L139" s="97">
        <v>33</v>
      </c>
      <c r="O139" s="2"/>
      <c r="P139" s="2" t="s">
        <v>386</v>
      </c>
      <c r="Q139" s="2" t="s">
        <v>387</v>
      </c>
      <c r="R139" s="2" t="s">
        <v>12</v>
      </c>
      <c r="S139" s="2" t="s">
        <v>388</v>
      </c>
      <c r="T139" s="2" t="s">
        <v>301</v>
      </c>
      <c r="U139" s="2"/>
    </row>
    <row r="140" spans="1:21" ht="15.75" thickBot="1" x14ac:dyDescent="0.3">
      <c r="A140" s="262">
        <v>46185</v>
      </c>
      <c r="B140" s="212" t="s">
        <v>1275</v>
      </c>
      <c r="C140" s="212" t="s">
        <v>1276</v>
      </c>
      <c r="D140" s="212" t="s">
        <v>0</v>
      </c>
      <c r="E140" s="212" t="s">
        <v>1277</v>
      </c>
      <c r="F140" s="212" t="s">
        <v>83</v>
      </c>
      <c r="G140" s="212"/>
      <c r="H140" s="212"/>
      <c r="I140" s="212"/>
      <c r="J140" s="244" t="s">
        <v>2609</v>
      </c>
      <c r="K140" s="212">
        <v>4</v>
      </c>
      <c r="L140" s="109">
        <v>29.5</v>
      </c>
      <c r="M140" s="320">
        <f>SUM(L126:L140)</f>
        <v>656.5</v>
      </c>
      <c r="O140" s="2"/>
      <c r="P140" s="2" t="s">
        <v>1477</v>
      </c>
      <c r="Q140" s="2" t="s">
        <v>1478</v>
      </c>
      <c r="R140" s="2" t="s">
        <v>12</v>
      </c>
      <c r="S140" s="2" t="s">
        <v>1479</v>
      </c>
      <c r="T140" s="2" t="s">
        <v>1480</v>
      </c>
      <c r="U140" s="2"/>
    </row>
    <row r="141" spans="1:21" x14ac:dyDescent="0.25">
      <c r="A141" s="261">
        <v>46186</v>
      </c>
      <c r="B141" s="2" t="s">
        <v>1617</v>
      </c>
      <c r="C141" s="2" t="s">
        <v>1618</v>
      </c>
      <c r="D141" s="2" t="s">
        <v>12</v>
      </c>
      <c r="E141" s="2" t="s">
        <v>1619</v>
      </c>
      <c r="F141" s="2" t="s">
        <v>1462</v>
      </c>
      <c r="G141" s="161"/>
      <c r="H141" s="161"/>
      <c r="I141" s="161"/>
      <c r="J141" s="161" t="s">
        <v>2647</v>
      </c>
      <c r="K141" s="161">
        <v>3</v>
      </c>
      <c r="L141" s="97">
        <v>35.5</v>
      </c>
      <c r="O141" s="2"/>
      <c r="P141" s="2" t="s">
        <v>389</v>
      </c>
      <c r="Q141" s="2" t="s">
        <v>390</v>
      </c>
      <c r="R141" s="2" t="s">
        <v>12</v>
      </c>
      <c r="S141" s="2" t="s">
        <v>391</v>
      </c>
      <c r="T141" s="2" t="s">
        <v>329</v>
      </c>
      <c r="U141" s="2"/>
    </row>
    <row r="142" spans="1:21" x14ac:dyDescent="0.25">
      <c r="A142" s="261">
        <v>46186</v>
      </c>
      <c r="B142" s="2" t="s">
        <v>2084</v>
      </c>
      <c r="C142" s="2" t="s">
        <v>2085</v>
      </c>
      <c r="D142" s="2" t="s">
        <v>12</v>
      </c>
      <c r="E142" s="2" t="s">
        <v>2086</v>
      </c>
      <c r="F142" s="2" t="s">
        <v>316</v>
      </c>
      <c r="G142" s="2"/>
      <c r="H142" s="2"/>
      <c r="I142" s="2"/>
      <c r="J142" s="161" t="s">
        <v>2611</v>
      </c>
      <c r="K142" s="2">
        <v>1</v>
      </c>
      <c r="L142" s="4">
        <v>11.5</v>
      </c>
      <c r="N142" t="s">
        <v>51</v>
      </c>
      <c r="O142" s="2"/>
      <c r="P142" s="2" t="s">
        <v>389</v>
      </c>
      <c r="Q142" s="2" t="s">
        <v>390</v>
      </c>
      <c r="R142" s="2" t="s">
        <v>12</v>
      </c>
      <c r="S142" s="2" t="s">
        <v>391</v>
      </c>
      <c r="T142" s="2" t="s">
        <v>329</v>
      </c>
      <c r="U142" s="2"/>
    </row>
    <row r="143" spans="1:21" x14ac:dyDescent="0.25">
      <c r="A143" s="261">
        <v>46186</v>
      </c>
      <c r="B143" s="2" t="s">
        <v>119</v>
      </c>
      <c r="C143" s="2" t="s">
        <v>120</v>
      </c>
      <c r="D143" s="2" t="s">
        <v>12</v>
      </c>
      <c r="E143" s="2" t="s">
        <v>121</v>
      </c>
      <c r="F143" s="2" t="s">
        <v>46</v>
      </c>
      <c r="G143" s="2"/>
      <c r="H143" s="2"/>
      <c r="I143" s="2"/>
      <c r="J143" s="161" t="s">
        <v>2613</v>
      </c>
      <c r="K143" s="2">
        <v>2</v>
      </c>
      <c r="L143" s="4">
        <v>10</v>
      </c>
      <c r="O143" s="2"/>
      <c r="P143" s="2" t="s">
        <v>392</v>
      </c>
      <c r="Q143" s="2" t="s">
        <v>393</v>
      </c>
      <c r="R143" s="2" t="s">
        <v>12</v>
      </c>
      <c r="S143" s="2" t="s">
        <v>394</v>
      </c>
      <c r="T143" s="2" t="s">
        <v>395</v>
      </c>
      <c r="U143" s="2"/>
    </row>
    <row r="144" spans="1:21" ht="15.75" thickBot="1" x14ac:dyDescent="0.3">
      <c r="A144" s="262">
        <v>46186</v>
      </c>
      <c r="B144" s="212" t="s">
        <v>117</v>
      </c>
      <c r="C144" s="212" t="s">
        <v>118</v>
      </c>
      <c r="D144" s="212" t="s">
        <v>12</v>
      </c>
      <c r="E144" s="212" t="s">
        <v>2018</v>
      </c>
      <c r="F144" s="212" t="s">
        <v>48</v>
      </c>
      <c r="G144" s="212"/>
      <c r="H144" s="212"/>
      <c r="I144" s="212"/>
      <c r="J144" s="244" t="s">
        <v>2613</v>
      </c>
      <c r="K144" s="212">
        <v>2</v>
      </c>
      <c r="L144" s="109">
        <v>36</v>
      </c>
      <c r="M144" s="320">
        <f>SUM(L141:L144)</f>
        <v>93</v>
      </c>
      <c r="O144" s="2"/>
      <c r="P144" s="2" t="s">
        <v>2019</v>
      </c>
      <c r="Q144" s="2" t="s">
        <v>2020</v>
      </c>
      <c r="R144" s="2" t="s">
        <v>12</v>
      </c>
      <c r="S144" s="2" t="s">
        <v>2021</v>
      </c>
      <c r="T144" s="2" t="s">
        <v>301</v>
      </c>
      <c r="U144" s="2"/>
    </row>
    <row r="145" spans="1:21" x14ac:dyDescent="0.25">
      <c r="A145" s="291">
        <v>46188</v>
      </c>
      <c r="B145" s="2" t="s">
        <v>405</v>
      </c>
      <c r="C145" s="2" t="s">
        <v>406</v>
      </c>
      <c r="D145" s="2" t="s">
        <v>12</v>
      </c>
      <c r="E145" s="2" t="s">
        <v>407</v>
      </c>
      <c r="F145" s="2" t="s">
        <v>408</v>
      </c>
      <c r="G145" s="161"/>
      <c r="H145" s="161"/>
      <c r="I145" s="161"/>
      <c r="J145" s="161" t="s">
        <v>2610</v>
      </c>
      <c r="K145" s="161">
        <v>3</v>
      </c>
      <c r="L145" s="97">
        <v>138.5</v>
      </c>
      <c r="O145" s="2"/>
      <c r="P145" s="2" t="s">
        <v>399</v>
      </c>
      <c r="Q145" s="2" t="s">
        <v>400</v>
      </c>
      <c r="R145" s="2" t="s">
        <v>12</v>
      </c>
      <c r="S145" s="2" t="s">
        <v>401</v>
      </c>
      <c r="T145" s="2" t="s">
        <v>43</v>
      </c>
      <c r="U145" s="2"/>
    </row>
    <row r="146" spans="1:21" x14ac:dyDescent="0.25">
      <c r="A146" s="261">
        <v>46188</v>
      </c>
      <c r="B146" s="2" t="s">
        <v>1164</v>
      </c>
      <c r="C146" s="2" t="s">
        <v>1165</v>
      </c>
      <c r="D146" s="2" t="s">
        <v>0</v>
      </c>
      <c r="E146" s="2" t="s">
        <v>1166</v>
      </c>
      <c r="F146" s="2" t="s">
        <v>34</v>
      </c>
      <c r="G146" s="2"/>
      <c r="H146" s="2"/>
      <c r="I146" s="2"/>
      <c r="J146" s="161" t="s">
        <v>2613</v>
      </c>
      <c r="K146" s="2">
        <v>2</v>
      </c>
      <c r="L146" s="4">
        <v>22</v>
      </c>
      <c r="O146" s="2"/>
      <c r="P146" s="2" t="s">
        <v>1481</v>
      </c>
      <c r="Q146" s="2" t="s">
        <v>1482</v>
      </c>
      <c r="R146" s="2" t="s">
        <v>12</v>
      </c>
      <c r="S146" s="2" t="s">
        <v>1483</v>
      </c>
      <c r="T146" s="2" t="s">
        <v>46</v>
      </c>
      <c r="U146" s="2"/>
    </row>
    <row r="147" spans="1:21" x14ac:dyDescent="0.25">
      <c r="A147" s="290">
        <v>46188</v>
      </c>
      <c r="B147" s="2" t="s">
        <v>1167</v>
      </c>
      <c r="C147" s="2" t="s">
        <v>1168</v>
      </c>
      <c r="D147" s="2" t="s">
        <v>0</v>
      </c>
      <c r="E147" s="2" t="s">
        <v>1166</v>
      </c>
      <c r="F147" s="2" t="s">
        <v>860</v>
      </c>
      <c r="G147" s="2"/>
      <c r="H147" s="2"/>
      <c r="I147" s="2"/>
      <c r="J147" s="161" t="s">
        <v>2613</v>
      </c>
      <c r="K147" s="2">
        <v>2</v>
      </c>
      <c r="L147" s="4">
        <v>10</v>
      </c>
      <c r="O147" s="2"/>
      <c r="P147" s="2" t="s">
        <v>402</v>
      </c>
      <c r="Q147" s="2" t="s">
        <v>403</v>
      </c>
      <c r="R147" s="2" t="s">
        <v>12</v>
      </c>
      <c r="S147" s="2" t="s">
        <v>404</v>
      </c>
      <c r="T147" s="2" t="s">
        <v>316</v>
      </c>
      <c r="U147" s="2"/>
    </row>
    <row r="148" spans="1:21" x14ac:dyDescent="0.25">
      <c r="A148" s="290">
        <v>46188</v>
      </c>
      <c r="B148" s="2" t="s">
        <v>1082</v>
      </c>
      <c r="C148" s="2" t="s">
        <v>1083</v>
      </c>
      <c r="D148" s="2" t="s">
        <v>0</v>
      </c>
      <c r="E148" s="2" t="s">
        <v>1084</v>
      </c>
      <c r="F148" s="2" t="s">
        <v>0</v>
      </c>
      <c r="G148" s="288"/>
      <c r="H148" s="288"/>
      <c r="I148" s="288"/>
      <c r="J148" s="288" t="s">
        <v>2611</v>
      </c>
      <c r="K148" s="288">
        <v>1</v>
      </c>
      <c r="L148" s="289">
        <v>6.5</v>
      </c>
      <c r="O148" s="2"/>
      <c r="P148" s="2" t="s">
        <v>405</v>
      </c>
      <c r="Q148" s="2" t="s">
        <v>406</v>
      </c>
      <c r="R148" s="2" t="s">
        <v>12</v>
      </c>
      <c r="S148" s="2" t="s">
        <v>407</v>
      </c>
      <c r="T148" s="2" t="s">
        <v>408</v>
      </c>
      <c r="U148" s="2"/>
    </row>
    <row r="149" spans="1:21" x14ac:dyDescent="0.25">
      <c r="A149" s="290">
        <v>46188</v>
      </c>
      <c r="B149" s="2" t="s">
        <v>1014</v>
      </c>
      <c r="C149" s="2" t="s">
        <v>1015</v>
      </c>
      <c r="D149" s="2" t="s">
        <v>0</v>
      </c>
      <c r="E149" s="2" t="s">
        <v>1016</v>
      </c>
      <c r="F149" s="2" t="s">
        <v>1017</v>
      </c>
      <c r="G149" s="161"/>
      <c r="H149" s="161"/>
      <c r="I149" s="161"/>
      <c r="J149" s="161" t="s">
        <v>2611</v>
      </c>
      <c r="K149" s="161">
        <v>1</v>
      </c>
      <c r="L149" s="97">
        <v>5</v>
      </c>
      <c r="O149" s="2"/>
      <c r="P149" s="2" t="s">
        <v>2022</v>
      </c>
      <c r="Q149" s="2" t="s">
        <v>2023</v>
      </c>
      <c r="R149" s="2" t="s">
        <v>12</v>
      </c>
      <c r="S149" s="2" t="s">
        <v>2024</v>
      </c>
      <c r="T149" s="2" t="s">
        <v>297</v>
      </c>
      <c r="U149" s="2"/>
    </row>
    <row r="150" spans="1:21" x14ac:dyDescent="0.25">
      <c r="A150" s="290">
        <v>46188</v>
      </c>
      <c r="B150" s="2" t="s">
        <v>1675</v>
      </c>
      <c r="C150" s="2" t="s">
        <v>1676</v>
      </c>
      <c r="D150" s="2" t="s">
        <v>12</v>
      </c>
      <c r="E150" s="2" t="s">
        <v>1677</v>
      </c>
      <c r="F150" s="2" t="s">
        <v>125</v>
      </c>
      <c r="G150" s="2"/>
      <c r="H150" s="2"/>
      <c r="I150" s="2"/>
      <c r="J150" s="2" t="s">
        <v>2613</v>
      </c>
      <c r="K150" s="2">
        <v>2</v>
      </c>
      <c r="L150" s="4">
        <v>11.5</v>
      </c>
      <c r="O150" s="2"/>
      <c r="P150" s="2" t="s">
        <v>409</v>
      </c>
      <c r="Q150" s="2" t="s">
        <v>410</v>
      </c>
      <c r="R150" s="2" t="s">
        <v>12</v>
      </c>
      <c r="S150" s="2" t="s">
        <v>411</v>
      </c>
      <c r="T150" s="2" t="s">
        <v>305</v>
      </c>
      <c r="U150" s="2"/>
    </row>
    <row r="151" spans="1:21" x14ac:dyDescent="0.25">
      <c r="A151" s="290">
        <v>46188</v>
      </c>
      <c r="B151" s="2" t="s">
        <v>715</v>
      </c>
      <c r="C151" s="2" t="s">
        <v>716</v>
      </c>
      <c r="D151" s="2" t="s">
        <v>12</v>
      </c>
      <c r="E151" s="2" t="s">
        <v>717</v>
      </c>
      <c r="F151" s="2" t="s">
        <v>46</v>
      </c>
      <c r="G151" s="2"/>
      <c r="H151" s="2"/>
      <c r="I151" s="2"/>
      <c r="J151" s="2" t="s">
        <v>2611</v>
      </c>
      <c r="K151" s="2">
        <v>1</v>
      </c>
      <c r="L151" s="4">
        <v>41.5</v>
      </c>
      <c r="O151" s="2"/>
      <c r="P151" s="2" t="s">
        <v>2025</v>
      </c>
      <c r="Q151" s="2" t="s">
        <v>2026</v>
      </c>
      <c r="R151" s="2" t="s">
        <v>12</v>
      </c>
      <c r="S151" s="2" t="s">
        <v>2027</v>
      </c>
      <c r="T151" s="2" t="s">
        <v>1462</v>
      </c>
      <c r="U151" s="2"/>
    </row>
    <row r="152" spans="1:21" x14ac:dyDescent="0.25">
      <c r="A152" s="290">
        <v>46188</v>
      </c>
      <c r="B152" s="2" t="s">
        <v>891</v>
      </c>
      <c r="C152" s="2" t="s">
        <v>892</v>
      </c>
      <c r="D152" s="2" t="s">
        <v>0</v>
      </c>
      <c r="E152" s="2" t="s">
        <v>893</v>
      </c>
      <c r="F152" s="2" t="s">
        <v>39</v>
      </c>
      <c r="G152" s="2"/>
      <c r="H152" s="2"/>
      <c r="I152" s="2"/>
      <c r="J152" s="2" t="s">
        <v>2611</v>
      </c>
      <c r="K152" s="2">
        <v>1</v>
      </c>
      <c r="L152" s="4">
        <v>5</v>
      </c>
      <c r="O152" s="2"/>
      <c r="P152" s="2" t="s">
        <v>1484</v>
      </c>
      <c r="Q152" s="2" t="s">
        <v>1485</v>
      </c>
      <c r="R152" s="2" t="s">
        <v>12</v>
      </c>
      <c r="S152" s="2" t="s">
        <v>1486</v>
      </c>
      <c r="T152" s="2" t="s">
        <v>44</v>
      </c>
      <c r="U152" s="2"/>
    </row>
    <row r="153" spans="1:21" x14ac:dyDescent="0.25">
      <c r="A153" s="290">
        <v>46188</v>
      </c>
      <c r="B153" s="2" t="s">
        <v>777</v>
      </c>
      <c r="C153" s="2" t="s">
        <v>778</v>
      </c>
      <c r="D153" s="2" t="s">
        <v>12</v>
      </c>
      <c r="E153" s="2" t="s">
        <v>779</v>
      </c>
      <c r="F153" s="2" t="s">
        <v>43</v>
      </c>
      <c r="G153" s="2"/>
      <c r="H153" s="2"/>
      <c r="I153" s="2"/>
      <c r="J153" s="2" t="s">
        <v>2610</v>
      </c>
      <c r="K153" s="2">
        <v>3</v>
      </c>
      <c r="L153" s="4">
        <v>15</v>
      </c>
      <c r="O153" s="2"/>
      <c r="P153" s="2" t="s">
        <v>1487</v>
      </c>
      <c r="Q153" s="2" t="s">
        <v>1488</v>
      </c>
      <c r="R153" s="2" t="s">
        <v>12</v>
      </c>
      <c r="S153" s="2" t="s">
        <v>1489</v>
      </c>
      <c r="T153" s="2" t="s">
        <v>1462</v>
      </c>
      <c r="U153" s="2"/>
    </row>
    <row r="154" spans="1:21" x14ac:dyDescent="0.25">
      <c r="A154" s="290">
        <v>46188</v>
      </c>
      <c r="B154" s="2" t="s">
        <v>412</v>
      </c>
      <c r="C154" s="2" t="s">
        <v>413</v>
      </c>
      <c r="D154" s="2" t="s">
        <v>12</v>
      </c>
      <c r="E154" s="2" t="s">
        <v>414</v>
      </c>
      <c r="F154" s="2" t="s">
        <v>316</v>
      </c>
      <c r="G154" s="2"/>
      <c r="H154" s="2"/>
      <c r="I154" s="2"/>
      <c r="J154" s="2" t="s">
        <v>2611</v>
      </c>
      <c r="K154" s="2">
        <v>1</v>
      </c>
      <c r="L154" s="4">
        <v>5</v>
      </c>
      <c r="O154" s="2"/>
      <c r="P154" s="2" t="s">
        <v>412</v>
      </c>
      <c r="Q154" s="2" t="s">
        <v>413</v>
      </c>
      <c r="R154" s="2" t="s">
        <v>12</v>
      </c>
      <c r="S154" s="2" t="s">
        <v>414</v>
      </c>
      <c r="T154" s="2" t="s">
        <v>316</v>
      </c>
      <c r="U154" s="2"/>
    </row>
    <row r="155" spans="1:21" x14ac:dyDescent="0.25">
      <c r="A155" s="290">
        <v>46188</v>
      </c>
      <c r="B155" s="2" t="s">
        <v>580</v>
      </c>
      <c r="C155" s="2" t="s">
        <v>581</v>
      </c>
      <c r="D155" s="2" t="s">
        <v>12</v>
      </c>
      <c r="E155" s="2" t="s">
        <v>582</v>
      </c>
      <c r="F155" s="2" t="s">
        <v>44</v>
      </c>
      <c r="G155" s="2"/>
      <c r="H155" s="2"/>
      <c r="I155" s="2"/>
      <c r="J155" s="2" t="s">
        <v>2611</v>
      </c>
      <c r="K155" s="2">
        <v>1</v>
      </c>
      <c r="L155" s="4">
        <v>16.5</v>
      </c>
      <c r="O155" s="2"/>
      <c r="P155" s="2" t="s">
        <v>2028</v>
      </c>
      <c r="Q155" s="2" t="s">
        <v>2029</v>
      </c>
      <c r="R155" s="2" t="s">
        <v>12</v>
      </c>
      <c r="S155" s="2" t="s">
        <v>2030</v>
      </c>
      <c r="T155" s="2" t="s">
        <v>316</v>
      </c>
      <c r="U155" s="2"/>
    </row>
    <row r="156" spans="1:21" x14ac:dyDescent="0.25">
      <c r="A156" s="290">
        <v>46188</v>
      </c>
      <c r="B156" s="2" t="s">
        <v>685</v>
      </c>
      <c r="C156" s="2" t="s">
        <v>686</v>
      </c>
      <c r="D156" s="2" t="s">
        <v>12</v>
      </c>
      <c r="E156" s="2" t="s">
        <v>687</v>
      </c>
      <c r="F156" s="2" t="s">
        <v>43</v>
      </c>
      <c r="G156" s="2"/>
      <c r="H156" s="2"/>
      <c r="I156" s="2"/>
      <c r="J156" s="2" t="s">
        <v>2611</v>
      </c>
      <c r="K156" s="2">
        <v>1</v>
      </c>
      <c r="L156" s="4">
        <v>5</v>
      </c>
      <c r="M156" s="6"/>
      <c r="O156" s="2"/>
      <c r="P156" s="2" t="s">
        <v>415</v>
      </c>
      <c r="Q156" s="2" t="s">
        <v>416</v>
      </c>
      <c r="R156" s="2" t="s">
        <v>12</v>
      </c>
      <c r="S156" s="2" t="s">
        <v>417</v>
      </c>
      <c r="T156" s="2" t="s">
        <v>316</v>
      </c>
      <c r="U156" s="2"/>
    </row>
    <row r="157" spans="1:21" x14ac:dyDescent="0.25">
      <c r="A157" s="290">
        <v>46188</v>
      </c>
      <c r="B157" s="2" t="s">
        <v>448</v>
      </c>
      <c r="C157" s="2" t="s">
        <v>449</v>
      </c>
      <c r="D157" s="2" t="s">
        <v>12</v>
      </c>
      <c r="E157" s="2" t="s">
        <v>450</v>
      </c>
      <c r="F157" s="2" t="s">
        <v>43</v>
      </c>
      <c r="G157" s="2"/>
      <c r="H157" s="2"/>
      <c r="I157" s="2"/>
      <c r="J157" s="2" t="s">
        <v>2611</v>
      </c>
      <c r="K157" s="2">
        <v>1</v>
      </c>
      <c r="L157" s="4">
        <v>5</v>
      </c>
      <c r="O157" s="2"/>
      <c r="P157" s="2" t="s">
        <v>418</v>
      </c>
      <c r="Q157" s="2" t="s">
        <v>419</v>
      </c>
      <c r="R157" s="2" t="s">
        <v>12</v>
      </c>
      <c r="S157" s="2" t="s">
        <v>420</v>
      </c>
      <c r="T157" s="2" t="s">
        <v>44</v>
      </c>
      <c r="U157" s="2"/>
    </row>
    <row r="158" spans="1:21" x14ac:dyDescent="0.25">
      <c r="A158" s="290">
        <v>46188</v>
      </c>
      <c r="B158" s="2" t="s">
        <v>522</v>
      </c>
      <c r="C158" s="2" t="s">
        <v>523</v>
      </c>
      <c r="D158" s="2" t="s">
        <v>12</v>
      </c>
      <c r="E158" s="2" t="s">
        <v>524</v>
      </c>
      <c r="F158" s="2" t="s">
        <v>47</v>
      </c>
      <c r="G158" s="2"/>
      <c r="H158" s="2"/>
      <c r="I158" s="2"/>
      <c r="J158" s="2" t="s">
        <v>2611</v>
      </c>
      <c r="K158" s="2">
        <v>1</v>
      </c>
      <c r="L158" s="4">
        <v>5</v>
      </c>
      <c r="O158" s="2"/>
      <c r="P158" s="2"/>
      <c r="Q158" s="2"/>
      <c r="R158" s="2"/>
      <c r="S158" s="2"/>
      <c r="T158" s="2"/>
      <c r="U158" s="2"/>
    </row>
    <row r="159" spans="1:21" x14ac:dyDescent="0.25">
      <c r="A159" s="290">
        <v>46188</v>
      </c>
      <c r="B159" s="2" t="s">
        <v>542</v>
      </c>
      <c r="C159" s="2" t="s">
        <v>543</v>
      </c>
      <c r="D159" s="2" t="s">
        <v>12</v>
      </c>
      <c r="E159" s="2" t="s">
        <v>544</v>
      </c>
      <c r="F159" s="2" t="s">
        <v>47</v>
      </c>
      <c r="G159" s="2"/>
      <c r="H159" s="2"/>
      <c r="I159" s="2"/>
      <c r="J159" s="2" t="s">
        <v>2611</v>
      </c>
      <c r="K159" s="2">
        <v>1</v>
      </c>
      <c r="L159" s="4">
        <v>7.5</v>
      </c>
      <c r="O159" s="2"/>
      <c r="P159" s="2" t="s">
        <v>2031</v>
      </c>
      <c r="Q159" s="2" t="s">
        <v>2032</v>
      </c>
      <c r="R159" s="2" t="s">
        <v>12</v>
      </c>
      <c r="S159" s="2" t="s">
        <v>2033</v>
      </c>
      <c r="T159" s="2" t="s">
        <v>47</v>
      </c>
      <c r="U159" s="2"/>
    </row>
    <row r="160" spans="1:21" x14ac:dyDescent="0.25">
      <c r="A160" s="290">
        <v>46188</v>
      </c>
      <c r="B160" s="2" t="s">
        <v>377</v>
      </c>
      <c r="C160" s="2" t="s">
        <v>378</v>
      </c>
      <c r="D160" s="2" t="s">
        <v>12</v>
      </c>
      <c r="E160" s="2" t="s">
        <v>379</v>
      </c>
      <c r="F160" s="2" t="s">
        <v>125</v>
      </c>
      <c r="G160" s="2"/>
      <c r="H160" s="2"/>
      <c r="I160" s="2"/>
      <c r="J160" s="2" t="s">
        <v>2610</v>
      </c>
      <c r="K160" s="2">
        <v>3</v>
      </c>
      <c r="L160" s="4">
        <v>91.5</v>
      </c>
      <c r="O160" s="2"/>
      <c r="P160" s="2" t="s">
        <v>421</v>
      </c>
      <c r="Q160" s="2" t="s">
        <v>422</v>
      </c>
      <c r="R160" s="2" t="s">
        <v>12</v>
      </c>
      <c r="S160" s="2" t="s">
        <v>423</v>
      </c>
      <c r="T160" s="2" t="s">
        <v>43</v>
      </c>
      <c r="U160" s="2"/>
    </row>
    <row r="161" spans="1:21" x14ac:dyDescent="0.25">
      <c r="A161" s="290">
        <v>46188</v>
      </c>
      <c r="B161" s="2" t="s">
        <v>333</v>
      </c>
      <c r="C161" s="2" t="s">
        <v>334</v>
      </c>
      <c r="D161" s="2" t="s">
        <v>12</v>
      </c>
      <c r="E161" s="2" t="s">
        <v>335</v>
      </c>
      <c r="F161" s="2" t="s">
        <v>142</v>
      </c>
      <c r="G161" s="2"/>
      <c r="H161" s="2"/>
      <c r="I161" s="2"/>
      <c r="J161" s="2" t="s">
        <v>2610</v>
      </c>
      <c r="K161" s="2">
        <v>3</v>
      </c>
      <c r="L161" s="4">
        <v>20</v>
      </c>
      <c r="O161" s="2"/>
      <c r="P161" s="2" t="s">
        <v>424</v>
      </c>
      <c r="Q161" s="2" t="s">
        <v>425</v>
      </c>
      <c r="R161" s="2" t="s">
        <v>12</v>
      </c>
      <c r="S161" s="2" t="s">
        <v>426</v>
      </c>
      <c r="T161" s="2" t="s">
        <v>48</v>
      </c>
      <c r="U161" s="2"/>
    </row>
    <row r="162" spans="1:21" x14ac:dyDescent="0.25">
      <c r="A162" s="290">
        <v>46188</v>
      </c>
      <c r="B162" s="2" t="s">
        <v>794</v>
      </c>
      <c r="C162" s="2" t="s">
        <v>795</v>
      </c>
      <c r="D162" s="2" t="s">
        <v>14</v>
      </c>
      <c r="E162" s="2" t="s">
        <v>796</v>
      </c>
      <c r="F162" s="2" t="s">
        <v>32</v>
      </c>
      <c r="G162" s="2"/>
      <c r="H162" s="2"/>
      <c r="I162" s="2"/>
      <c r="J162" s="2" t="s">
        <v>2610</v>
      </c>
      <c r="K162" s="2">
        <v>3</v>
      </c>
      <c r="L162" s="4">
        <v>18.5</v>
      </c>
      <c r="O162" s="2"/>
      <c r="P162" s="2" t="s">
        <v>1490</v>
      </c>
      <c r="Q162" s="2" t="s">
        <v>1491</v>
      </c>
      <c r="R162" s="2" t="s">
        <v>12</v>
      </c>
      <c r="S162" s="2" t="s">
        <v>1492</v>
      </c>
      <c r="T162" s="2" t="s">
        <v>47</v>
      </c>
      <c r="U162" s="2"/>
    </row>
    <row r="163" spans="1:21" x14ac:dyDescent="0.25">
      <c r="A163" s="290">
        <v>46188</v>
      </c>
      <c r="B163" s="2" t="s">
        <v>504</v>
      </c>
      <c r="C163" s="2" t="s">
        <v>505</v>
      </c>
      <c r="D163" s="2" t="s">
        <v>12</v>
      </c>
      <c r="E163" s="2" t="s">
        <v>506</v>
      </c>
      <c r="F163" s="2" t="s">
        <v>301</v>
      </c>
      <c r="G163" s="2"/>
      <c r="H163" s="2"/>
      <c r="I163" s="2"/>
      <c r="J163" s="2" t="s">
        <v>2611</v>
      </c>
      <c r="K163" s="2">
        <v>1</v>
      </c>
      <c r="L163" s="4">
        <v>31.5</v>
      </c>
      <c r="O163" s="2"/>
      <c r="P163" s="2"/>
      <c r="Q163" s="2"/>
      <c r="R163" s="2"/>
      <c r="S163" s="2"/>
      <c r="T163" s="2"/>
      <c r="U163" s="2"/>
    </row>
    <row r="164" spans="1:21" x14ac:dyDescent="0.25">
      <c r="A164" s="290">
        <v>46188</v>
      </c>
      <c r="B164" s="2" t="s">
        <v>317</v>
      </c>
      <c r="C164" s="2" t="s">
        <v>318</v>
      </c>
      <c r="D164" s="2" t="s">
        <v>12</v>
      </c>
      <c r="E164" s="2" t="s">
        <v>319</v>
      </c>
      <c r="F164" s="2" t="s">
        <v>46</v>
      </c>
      <c r="G164" s="2"/>
      <c r="H164" s="2"/>
      <c r="I164" s="2"/>
      <c r="J164" s="2" t="s">
        <v>2611</v>
      </c>
      <c r="K164" s="2">
        <v>1</v>
      </c>
      <c r="L164" s="4">
        <v>20.5</v>
      </c>
      <c r="O164" s="2"/>
      <c r="P164" s="2" t="s">
        <v>1493</v>
      </c>
      <c r="Q164" s="2" t="s">
        <v>1494</v>
      </c>
      <c r="R164" s="2" t="s">
        <v>12</v>
      </c>
      <c r="S164" s="2" t="s">
        <v>1495</v>
      </c>
      <c r="T164" s="2" t="s">
        <v>48</v>
      </c>
      <c r="U164" s="2"/>
    </row>
    <row r="165" spans="1:21" ht="15.75" thickBot="1" x14ac:dyDescent="0.3">
      <c r="A165" s="211">
        <v>46188</v>
      </c>
      <c r="B165" s="212" t="s">
        <v>359</v>
      </c>
      <c r="C165" s="212" t="s">
        <v>360</v>
      </c>
      <c r="D165" s="212" t="s">
        <v>12</v>
      </c>
      <c r="E165" s="212" t="s">
        <v>361</v>
      </c>
      <c r="F165" s="212" t="s">
        <v>46</v>
      </c>
      <c r="G165" s="212"/>
      <c r="H165" s="212"/>
      <c r="I165" s="212"/>
      <c r="J165" s="212" t="s">
        <v>2611</v>
      </c>
      <c r="K165" s="212">
        <v>1</v>
      </c>
      <c r="L165" s="109">
        <v>5</v>
      </c>
      <c r="M165" s="320">
        <f>SUM(L145:L165)</f>
        <v>486</v>
      </c>
      <c r="O165" s="2"/>
      <c r="P165" s="2" t="s">
        <v>2034</v>
      </c>
      <c r="Q165" s="2" t="s">
        <v>2035</v>
      </c>
      <c r="R165" s="2" t="s">
        <v>12</v>
      </c>
      <c r="S165" s="2" t="s">
        <v>2036</v>
      </c>
      <c r="T165" s="2" t="s">
        <v>48</v>
      </c>
      <c r="U165" s="2"/>
    </row>
    <row r="166" spans="1:21" x14ac:dyDescent="0.25">
      <c r="A166" s="261">
        <v>46189</v>
      </c>
      <c r="B166" s="2" t="s">
        <v>1434</v>
      </c>
      <c r="C166" s="2" t="s">
        <v>1435</v>
      </c>
      <c r="D166" s="2" t="s">
        <v>12</v>
      </c>
      <c r="E166" s="2" t="s">
        <v>1436</v>
      </c>
      <c r="F166" s="2" t="s">
        <v>43</v>
      </c>
      <c r="G166" s="161"/>
      <c r="H166" s="161"/>
      <c r="I166" s="161"/>
      <c r="J166" s="161" t="s">
        <v>2613</v>
      </c>
      <c r="K166" s="161">
        <v>2</v>
      </c>
      <c r="L166" s="97">
        <v>19</v>
      </c>
      <c r="O166" s="2"/>
      <c r="P166" s="2" t="s">
        <v>427</v>
      </c>
      <c r="Q166" s="2" t="s">
        <v>428</v>
      </c>
      <c r="R166" s="2" t="s">
        <v>12</v>
      </c>
      <c r="S166" s="2" t="s">
        <v>429</v>
      </c>
      <c r="T166" s="2" t="s">
        <v>48</v>
      </c>
      <c r="U166" s="2"/>
    </row>
    <row r="167" spans="1:21" x14ac:dyDescent="0.25">
      <c r="A167" s="261">
        <v>46189</v>
      </c>
      <c r="B167" s="2" t="s">
        <v>1085</v>
      </c>
      <c r="C167" s="2" t="s">
        <v>1086</v>
      </c>
      <c r="D167" s="2" t="s">
        <v>0</v>
      </c>
      <c r="E167" s="2" t="s">
        <v>1087</v>
      </c>
      <c r="F167" s="2" t="s">
        <v>83</v>
      </c>
      <c r="G167" s="2"/>
      <c r="H167" s="2"/>
      <c r="I167" s="2"/>
      <c r="J167" s="2" t="s">
        <v>2609</v>
      </c>
      <c r="K167" s="2">
        <v>4</v>
      </c>
      <c r="L167" s="4">
        <v>20</v>
      </c>
      <c r="O167" s="2"/>
      <c r="P167" s="2" t="s">
        <v>74</v>
      </c>
      <c r="Q167" s="2" t="s">
        <v>75</v>
      </c>
      <c r="R167" s="2" t="s">
        <v>12</v>
      </c>
      <c r="S167" s="2" t="s">
        <v>1496</v>
      </c>
      <c r="T167" s="2" t="s">
        <v>1497</v>
      </c>
      <c r="U167" s="2"/>
    </row>
    <row r="168" spans="1:21" x14ac:dyDescent="0.25">
      <c r="A168" s="261">
        <v>46189</v>
      </c>
      <c r="B168" s="2" t="s">
        <v>368</v>
      </c>
      <c r="C168" s="2" t="s">
        <v>369</v>
      </c>
      <c r="D168" s="2" t="s">
        <v>12</v>
      </c>
      <c r="E168" s="2" t="s">
        <v>370</v>
      </c>
      <c r="F168" s="2" t="s">
        <v>301</v>
      </c>
      <c r="G168" s="2"/>
      <c r="H168" s="2"/>
      <c r="I168" s="2"/>
      <c r="J168" s="161" t="s">
        <v>2610</v>
      </c>
      <c r="K168" s="161">
        <v>3</v>
      </c>
      <c r="L168" s="4">
        <v>63.5</v>
      </c>
      <c r="O168" s="2"/>
      <c r="P168" s="2" t="s">
        <v>1326</v>
      </c>
      <c r="Q168" s="2" t="s">
        <v>1327</v>
      </c>
      <c r="R168" s="2" t="s">
        <v>12</v>
      </c>
      <c r="S168" s="2" t="s">
        <v>1328</v>
      </c>
      <c r="T168" s="2" t="s">
        <v>44</v>
      </c>
      <c r="U168" s="2"/>
    </row>
    <row r="169" spans="1:21" x14ac:dyDescent="0.25">
      <c r="A169" s="261">
        <v>46189</v>
      </c>
      <c r="B169" s="2" t="s">
        <v>1101</v>
      </c>
      <c r="C169" s="2" t="s">
        <v>1102</v>
      </c>
      <c r="D169" s="2" t="s">
        <v>0</v>
      </c>
      <c r="E169" s="2" t="s">
        <v>1103</v>
      </c>
      <c r="F169" s="2" t="s">
        <v>38</v>
      </c>
      <c r="G169" s="2"/>
      <c r="H169" s="2"/>
      <c r="I169" s="2"/>
      <c r="J169" s="161" t="s">
        <v>2611</v>
      </c>
      <c r="K169" s="161">
        <v>1</v>
      </c>
      <c r="L169" s="4">
        <v>6.5</v>
      </c>
      <c r="O169" s="2"/>
      <c r="P169" s="2" t="s">
        <v>430</v>
      </c>
      <c r="Q169" s="2" t="s">
        <v>431</v>
      </c>
      <c r="R169" s="2" t="s">
        <v>12</v>
      </c>
      <c r="S169" s="2" t="s">
        <v>432</v>
      </c>
      <c r="T169" s="2" t="s">
        <v>125</v>
      </c>
      <c r="U169" s="2"/>
    </row>
    <row r="170" spans="1:21" x14ac:dyDescent="0.25">
      <c r="A170" s="261">
        <v>46189</v>
      </c>
      <c r="B170" s="2" t="s">
        <v>2208</v>
      </c>
      <c r="C170" s="2" t="s">
        <v>2209</v>
      </c>
      <c r="D170" s="2" t="s">
        <v>0</v>
      </c>
      <c r="E170" s="2" t="s">
        <v>2210</v>
      </c>
      <c r="F170" s="2" t="s">
        <v>83</v>
      </c>
      <c r="G170" s="2"/>
      <c r="H170" s="2"/>
      <c r="I170" s="2"/>
      <c r="J170" s="2" t="s">
        <v>2612</v>
      </c>
      <c r="K170" s="2">
        <v>4</v>
      </c>
      <c r="L170" s="4">
        <v>131</v>
      </c>
      <c r="M170" s="6"/>
      <c r="O170" s="2"/>
      <c r="P170" s="2" t="s">
        <v>433</v>
      </c>
      <c r="Q170" s="2" t="s">
        <v>434</v>
      </c>
      <c r="R170" s="2" t="s">
        <v>12</v>
      </c>
      <c r="S170" s="2" t="s">
        <v>435</v>
      </c>
      <c r="T170" s="2" t="s">
        <v>44</v>
      </c>
      <c r="U170" s="2"/>
    </row>
    <row r="171" spans="1:21" x14ac:dyDescent="0.25">
      <c r="A171" s="261">
        <v>46189</v>
      </c>
      <c r="B171" s="2" t="s">
        <v>653</v>
      </c>
      <c r="C171" s="2" t="s">
        <v>654</v>
      </c>
      <c r="D171" s="2" t="s">
        <v>12</v>
      </c>
      <c r="E171" s="2" t="s">
        <v>655</v>
      </c>
      <c r="F171" s="2" t="s">
        <v>46</v>
      </c>
      <c r="G171" s="2"/>
      <c r="H171" s="2"/>
      <c r="I171" s="2"/>
      <c r="J171" s="2" t="s">
        <v>2613</v>
      </c>
      <c r="K171" s="2">
        <v>2</v>
      </c>
      <c r="L171" s="4">
        <v>10</v>
      </c>
      <c r="O171" s="2"/>
      <c r="P171" s="2" t="s">
        <v>1498</v>
      </c>
      <c r="Q171" s="2" t="s">
        <v>1499</v>
      </c>
      <c r="R171" s="2" t="s">
        <v>12</v>
      </c>
      <c r="S171" s="2" t="s">
        <v>1500</v>
      </c>
      <c r="T171" s="2" t="s">
        <v>329</v>
      </c>
      <c r="U171" s="2"/>
    </row>
    <row r="172" spans="1:21" x14ac:dyDescent="0.25">
      <c r="A172" s="261">
        <v>46189</v>
      </c>
      <c r="B172" s="2" t="s">
        <v>656</v>
      </c>
      <c r="C172" s="2" t="s">
        <v>657</v>
      </c>
      <c r="D172" s="2" t="s">
        <v>12</v>
      </c>
      <c r="E172" s="2" t="s">
        <v>658</v>
      </c>
      <c r="F172" s="2" t="s">
        <v>48</v>
      </c>
      <c r="G172" s="2"/>
      <c r="H172" s="2"/>
      <c r="I172" s="2"/>
      <c r="J172" s="2" t="s">
        <v>2611</v>
      </c>
      <c r="K172" s="2">
        <v>1</v>
      </c>
      <c r="L172" s="4">
        <v>5</v>
      </c>
      <c r="O172" s="2"/>
      <c r="P172" s="2" t="s">
        <v>436</v>
      </c>
      <c r="Q172" s="2" t="s">
        <v>437</v>
      </c>
      <c r="R172" s="2" t="s">
        <v>12</v>
      </c>
      <c r="S172" s="2" t="s">
        <v>438</v>
      </c>
      <c r="T172" s="2" t="s">
        <v>45</v>
      </c>
      <c r="U172" s="2"/>
    </row>
    <row r="173" spans="1:21" x14ac:dyDescent="0.25">
      <c r="A173" s="261">
        <v>46189</v>
      </c>
      <c r="B173" s="2" t="s">
        <v>2054</v>
      </c>
      <c r="C173" s="2" t="s">
        <v>2055</v>
      </c>
      <c r="D173" s="2" t="s">
        <v>12</v>
      </c>
      <c r="E173" s="2" t="s">
        <v>2056</v>
      </c>
      <c r="F173" s="2" t="s">
        <v>301</v>
      </c>
      <c r="G173" s="2"/>
      <c r="H173" s="2"/>
      <c r="I173" s="2"/>
      <c r="J173" s="2" t="s">
        <v>2611</v>
      </c>
      <c r="K173" s="2">
        <v>1</v>
      </c>
      <c r="L173" s="4">
        <v>5</v>
      </c>
      <c r="O173" s="2"/>
      <c r="P173" s="2" t="s">
        <v>1501</v>
      </c>
      <c r="Q173" s="2" t="s">
        <v>1502</v>
      </c>
      <c r="R173" s="2" t="s">
        <v>12</v>
      </c>
      <c r="S173" s="2" t="s">
        <v>1503</v>
      </c>
      <c r="T173" s="2" t="s">
        <v>1504</v>
      </c>
      <c r="U173" s="2"/>
    </row>
    <row r="174" spans="1:21" x14ac:dyDescent="0.25">
      <c r="A174" s="261">
        <v>46189</v>
      </c>
      <c r="B174" s="2" t="s">
        <v>198</v>
      </c>
      <c r="C174" s="2" t="s">
        <v>199</v>
      </c>
      <c r="D174" s="2" t="s">
        <v>13</v>
      </c>
      <c r="E174" s="2" t="s">
        <v>200</v>
      </c>
      <c r="F174" s="2" t="s">
        <v>43</v>
      </c>
      <c r="G174" s="2"/>
      <c r="H174" s="2"/>
      <c r="I174" s="2"/>
      <c r="J174" s="2" t="s">
        <v>2613</v>
      </c>
      <c r="K174" s="2">
        <v>2</v>
      </c>
      <c r="L174" s="4">
        <v>11.5</v>
      </c>
      <c r="O174" s="2"/>
      <c r="P174" s="2" t="s">
        <v>439</v>
      </c>
      <c r="Q174" s="2" t="s">
        <v>440</v>
      </c>
      <c r="R174" s="2" t="s">
        <v>12</v>
      </c>
      <c r="S174" s="2" t="s">
        <v>441</v>
      </c>
      <c r="T174" s="2" t="s">
        <v>49</v>
      </c>
      <c r="U174" s="2"/>
    </row>
    <row r="175" spans="1:21" x14ac:dyDescent="0.25">
      <c r="A175" s="261">
        <v>46189</v>
      </c>
      <c r="B175" s="2" t="s">
        <v>1001</v>
      </c>
      <c r="C175" s="2" t="s">
        <v>1002</v>
      </c>
      <c r="D175" s="2" t="s">
        <v>0</v>
      </c>
      <c r="E175" s="2" t="s">
        <v>1003</v>
      </c>
      <c r="F175" s="2" t="s">
        <v>33</v>
      </c>
      <c r="G175" s="2"/>
      <c r="H175" s="2"/>
      <c r="I175" s="2"/>
      <c r="J175" s="2" t="s">
        <v>2610</v>
      </c>
      <c r="K175" s="2">
        <v>3</v>
      </c>
      <c r="L175" s="4">
        <v>46.5</v>
      </c>
      <c r="O175" s="2"/>
      <c r="P175" s="2" t="s">
        <v>2037</v>
      </c>
      <c r="Q175" s="2" t="s">
        <v>2038</v>
      </c>
      <c r="R175" s="2" t="s">
        <v>12</v>
      </c>
      <c r="S175" s="2" t="s">
        <v>441</v>
      </c>
      <c r="T175" s="2" t="s">
        <v>46</v>
      </c>
      <c r="U175" s="2"/>
    </row>
    <row r="176" spans="1:21" x14ac:dyDescent="0.25">
      <c r="A176" s="261">
        <v>46189</v>
      </c>
      <c r="B176" s="2" t="s">
        <v>1232</v>
      </c>
      <c r="C176" s="2" t="s">
        <v>1233</v>
      </c>
      <c r="D176" s="2" t="s">
        <v>0</v>
      </c>
      <c r="E176" s="2" t="s">
        <v>1234</v>
      </c>
      <c r="F176" s="2" t="s">
        <v>39</v>
      </c>
      <c r="G176" s="2"/>
      <c r="H176" s="2"/>
      <c r="I176" s="2"/>
      <c r="J176" s="2" t="s">
        <v>2610</v>
      </c>
      <c r="K176" s="2">
        <v>3</v>
      </c>
      <c r="L176" s="4">
        <v>18.5</v>
      </c>
      <c r="O176" s="2"/>
      <c r="P176" s="2" t="s">
        <v>2039</v>
      </c>
      <c r="Q176" s="2" t="s">
        <v>2040</v>
      </c>
      <c r="R176" s="2" t="s">
        <v>12</v>
      </c>
      <c r="S176" s="2" t="s">
        <v>2041</v>
      </c>
      <c r="T176" s="2" t="s">
        <v>1462</v>
      </c>
      <c r="U176" s="2"/>
    </row>
    <row r="177" spans="1:21" x14ac:dyDescent="0.25">
      <c r="A177" s="261">
        <v>46189</v>
      </c>
      <c r="B177" s="2" t="s">
        <v>880</v>
      </c>
      <c r="C177" s="2" t="s">
        <v>881</v>
      </c>
      <c r="D177" s="2" t="s">
        <v>0</v>
      </c>
      <c r="E177" s="2" t="s">
        <v>882</v>
      </c>
      <c r="F177" s="2" t="s">
        <v>883</v>
      </c>
      <c r="G177" s="2"/>
      <c r="H177" s="2"/>
      <c r="I177" s="2"/>
      <c r="J177" s="2" t="s">
        <v>2613</v>
      </c>
      <c r="K177" s="2">
        <v>2</v>
      </c>
      <c r="L177" s="4">
        <v>29</v>
      </c>
      <c r="O177" s="2"/>
      <c r="P177" s="2" t="s">
        <v>442</v>
      </c>
      <c r="Q177" s="2" t="s">
        <v>443</v>
      </c>
      <c r="R177" s="2" t="s">
        <v>12</v>
      </c>
      <c r="S177" s="2" t="s">
        <v>444</v>
      </c>
      <c r="T177" s="2" t="s">
        <v>44</v>
      </c>
      <c r="U177" s="2"/>
    </row>
    <row r="178" spans="1:21" x14ac:dyDescent="0.25">
      <c r="A178" s="261">
        <v>46189</v>
      </c>
      <c r="B178" s="2" t="s">
        <v>629</v>
      </c>
      <c r="C178" s="2" t="s">
        <v>630</v>
      </c>
      <c r="D178" s="2" t="s">
        <v>12</v>
      </c>
      <c r="E178" s="2" t="s">
        <v>631</v>
      </c>
      <c r="F178" s="2" t="s">
        <v>49</v>
      </c>
      <c r="G178" s="2"/>
      <c r="H178" s="2"/>
      <c r="I178" s="2"/>
      <c r="J178" s="2" t="s">
        <v>2611</v>
      </c>
      <c r="K178" s="2">
        <v>1</v>
      </c>
      <c r="L178" s="4">
        <v>23.5</v>
      </c>
      <c r="O178" s="2"/>
      <c r="P178" s="2" t="s">
        <v>98</v>
      </c>
      <c r="Q178" s="2" t="s">
        <v>99</v>
      </c>
      <c r="R178" s="2" t="s">
        <v>12</v>
      </c>
      <c r="S178" s="2" t="s">
        <v>100</v>
      </c>
      <c r="T178" s="2" t="s">
        <v>46</v>
      </c>
      <c r="U178" s="2"/>
    </row>
    <row r="179" spans="1:21" x14ac:dyDescent="0.25">
      <c r="A179" s="261">
        <v>46189</v>
      </c>
      <c r="B179" s="2" t="s">
        <v>697</v>
      </c>
      <c r="C179" s="2" t="s">
        <v>698</v>
      </c>
      <c r="D179" s="2" t="s">
        <v>12</v>
      </c>
      <c r="E179" s="2" t="s">
        <v>699</v>
      </c>
      <c r="F179" s="2" t="s">
        <v>700</v>
      </c>
      <c r="G179" s="2"/>
      <c r="H179" s="2"/>
      <c r="I179" s="2"/>
      <c r="J179" s="2" t="s">
        <v>2613</v>
      </c>
      <c r="K179" s="2">
        <v>2</v>
      </c>
      <c r="L179" s="4">
        <v>74</v>
      </c>
      <c r="O179" s="2"/>
      <c r="P179" s="2" t="s">
        <v>1505</v>
      </c>
      <c r="Q179" s="2" t="s">
        <v>1506</v>
      </c>
      <c r="R179" s="2" t="s">
        <v>12</v>
      </c>
      <c r="S179" s="2" t="s">
        <v>1507</v>
      </c>
      <c r="T179" s="2" t="s">
        <v>46</v>
      </c>
      <c r="U179" s="2"/>
    </row>
    <row r="180" spans="1:21" ht="15.75" thickBot="1" x14ac:dyDescent="0.3">
      <c r="A180" s="262">
        <v>46189</v>
      </c>
      <c r="B180" s="212" t="s">
        <v>1936</v>
      </c>
      <c r="C180" s="212" t="s">
        <v>1937</v>
      </c>
      <c r="D180" s="212" t="s">
        <v>0</v>
      </c>
      <c r="E180" s="212" t="s">
        <v>1938</v>
      </c>
      <c r="F180" s="212" t="s">
        <v>1866</v>
      </c>
      <c r="G180" s="212"/>
      <c r="H180" s="212"/>
      <c r="I180" s="212"/>
      <c r="J180" s="212" t="s">
        <v>2610</v>
      </c>
      <c r="K180" s="212">
        <v>3</v>
      </c>
      <c r="L180" s="109">
        <v>107.5</v>
      </c>
      <c r="M180" s="320">
        <f>SUM(L166:L180)</f>
        <v>570.5</v>
      </c>
      <c r="O180" s="2"/>
      <c r="P180" s="2" t="s">
        <v>445</v>
      </c>
      <c r="Q180" s="2" t="s">
        <v>446</v>
      </c>
      <c r="R180" s="2" t="s">
        <v>12</v>
      </c>
      <c r="S180" s="2" t="s">
        <v>447</v>
      </c>
      <c r="T180" s="2" t="s">
        <v>125</v>
      </c>
      <c r="U180" s="2"/>
    </row>
    <row r="181" spans="1:21" x14ac:dyDescent="0.25">
      <c r="A181" s="261">
        <v>46190</v>
      </c>
      <c r="B181" s="2" t="s">
        <v>561</v>
      </c>
      <c r="C181" s="2" t="s">
        <v>562</v>
      </c>
      <c r="D181" s="2" t="s">
        <v>12</v>
      </c>
      <c r="E181" s="2" t="s">
        <v>563</v>
      </c>
      <c r="F181" s="2" t="s">
        <v>315</v>
      </c>
      <c r="G181" s="161"/>
      <c r="H181" s="161"/>
      <c r="I181" s="161"/>
      <c r="J181" s="161" t="s">
        <v>2610</v>
      </c>
      <c r="K181" s="161">
        <v>3</v>
      </c>
      <c r="L181" s="97">
        <v>47.5</v>
      </c>
      <c r="O181" s="2"/>
      <c r="P181" s="2" t="s">
        <v>1508</v>
      </c>
      <c r="Q181" s="2" t="s">
        <v>1509</v>
      </c>
      <c r="R181" s="2" t="s">
        <v>12</v>
      </c>
      <c r="S181" s="2" t="s">
        <v>1510</v>
      </c>
      <c r="T181" s="2" t="s">
        <v>48</v>
      </c>
      <c r="U181" s="2"/>
    </row>
    <row r="182" spans="1:21" x14ac:dyDescent="0.25">
      <c r="A182" s="261">
        <v>46190</v>
      </c>
      <c r="B182" s="2" t="s">
        <v>1966</v>
      </c>
      <c r="C182" s="2" t="s">
        <v>1967</v>
      </c>
      <c r="D182" s="2" t="s">
        <v>0</v>
      </c>
      <c r="E182" s="2" t="s">
        <v>1968</v>
      </c>
      <c r="F182" s="2" t="s">
        <v>883</v>
      </c>
      <c r="G182" s="2"/>
      <c r="H182" s="2"/>
      <c r="I182" s="2"/>
      <c r="J182" s="2" t="s">
        <v>2611</v>
      </c>
      <c r="K182" s="2">
        <v>1</v>
      </c>
      <c r="L182" s="4">
        <v>18.5</v>
      </c>
      <c r="O182" s="2"/>
      <c r="P182" s="2" t="s">
        <v>448</v>
      </c>
      <c r="Q182" s="2" t="s">
        <v>449</v>
      </c>
      <c r="R182" s="2" t="s">
        <v>12</v>
      </c>
      <c r="S182" s="2" t="s">
        <v>450</v>
      </c>
      <c r="T182" s="2" t="s">
        <v>43</v>
      </c>
      <c r="U182" s="2"/>
    </row>
    <row r="183" spans="1:21" x14ac:dyDescent="0.25">
      <c r="A183" s="261">
        <v>46190</v>
      </c>
      <c r="B183" s="2" t="s">
        <v>1298</v>
      </c>
      <c r="C183" s="2" t="s">
        <v>1299</v>
      </c>
      <c r="D183" s="2" t="s">
        <v>0</v>
      </c>
      <c r="E183" s="2" t="s">
        <v>1297</v>
      </c>
      <c r="F183" s="2" t="s">
        <v>39</v>
      </c>
      <c r="G183" s="288"/>
      <c r="H183" s="288"/>
      <c r="I183" s="288"/>
      <c r="J183" s="288" t="s">
        <v>2613</v>
      </c>
      <c r="K183" s="288">
        <v>2</v>
      </c>
      <c r="L183" s="289">
        <v>16.5</v>
      </c>
      <c r="O183" s="2"/>
      <c r="P183" s="2" t="s">
        <v>2330</v>
      </c>
      <c r="Q183" s="2" t="s">
        <v>2331</v>
      </c>
      <c r="R183" s="2" t="s">
        <v>12</v>
      </c>
      <c r="S183" s="2" t="s">
        <v>2334</v>
      </c>
      <c r="T183" s="2" t="s">
        <v>43</v>
      </c>
      <c r="U183" s="2"/>
    </row>
    <row r="184" spans="1:21" x14ac:dyDescent="0.25">
      <c r="A184" s="261">
        <v>46190</v>
      </c>
      <c r="B184" s="2" t="s">
        <v>1295</v>
      </c>
      <c r="C184" s="2" t="s">
        <v>1296</v>
      </c>
      <c r="D184" s="2" t="s">
        <v>0</v>
      </c>
      <c r="E184" s="2" t="s">
        <v>1297</v>
      </c>
      <c r="F184" s="2" t="s">
        <v>39</v>
      </c>
      <c r="G184" s="161"/>
      <c r="H184" s="161"/>
      <c r="I184" s="161"/>
      <c r="J184" s="161" t="s">
        <v>2613</v>
      </c>
      <c r="K184" s="161">
        <v>2</v>
      </c>
      <c r="L184" s="97">
        <v>23</v>
      </c>
      <c r="O184" s="2"/>
      <c r="P184" s="2" t="s">
        <v>451</v>
      </c>
      <c r="Q184" s="2" t="s">
        <v>452</v>
      </c>
      <c r="R184" s="2" t="s">
        <v>12</v>
      </c>
      <c r="S184" s="2" t="s">
        <v>453</v>
      </c>
      <c r="T184" s="2" t="s">
        <v>46</v>
      </c>
      <c r="U184" s="2"/>
    </row>
    <row r="185" spans="1:21" x14ac:dyDescent="0.25">
      <c r="A185" s="261">
        <v>46190</v>
      </c>
      <c r="B185" s="2" t="s">
        <v>1184</v>
      </c>
      <c r="C185" s="2" t="s">
        <v>1185</v>
      </c>
      <c r="D185" s="2" t="s">
        <v>0</v>
      </c>
      <c r="E185" s="2" t="s">
        <v>1186</v>
      </c>
      <c r="F185" s="2" t="s">
        <v>83</v>
      </c>
      <c r="G185" s="2"/>
      <c r="H185" s="2"/>
      <c r="I185" s="2"/>
      <c r="J185" s="2" t="s">
        <v>2611</v>
      </c>
      <c r="K185" s="2">
        <v>1</v>
      </c>
      <c r="L185" s="4">
        <v>21.5</v>
      </c>
      <c r="O185" s="2"/>
      <c r="P185" s="2" t="s">
        <v>76</v>
      </c>
      <c r="Q185" s="2" t="s">
        <v>77</v>
      </c>
      <c r="R185" s="2" t="s">
        <v>12</v>
      </c>
      <c r="S185" s="2" t="s">
        <v>78</v>
      </c>
      <c r="T185" s="2" t="s">
        <v>52</v>
      </c>
      <c r="U185" s="2"/>
    </row>
    <row r="186" spans="1:21" x14ac:dyDescent="0.25">
      <c r="A186" s="261">
        <v>46190</v>
      </c>
      <c r="B186" s="2" t="s">
        <v>1614</v>
      </c>
      <c r="C186" s="2" t="s">
        <v>1615</v>
      </c>
      <c r="D186" s="2" t="s">
        <v>12</v>
      </c>
      <c r="E186" s="2" t="s">
        <v>1616</v>
      </c>
      <c r="F186" s="2" t="s">
        <v>46</v>
      </c>
      <c r="G186" s="2"/>
      <c r="H186" s="2"/>
      <c r="I186" s="2"/>
      <c r="J186" s="2" t="s">
        <v>2613</v>
      </c>
      <c r="K186" s="2">
        <v>2</v>
      </c>
      <c r="L186" s="4">
        <v>61</v>
      </c>
      <c r="O186" s="2"/>
      <c r="P186" s="2" t="s">
        <v>79</v>
      </c>
      <c r="Q186" s="2" t="s">
        <v>80</v>
      </c>
      <c r="R186" s="2" t="s">
        <v>12</v>
      </c>
      <c r="S186" s="2" t="s">
        <v>78</v>
      </c>
      <c r="T186" s="2" t="s">
        <v>49</v>
      </c>
      <c r="U186" s="2"/>
    </row>
    <row r="187" spans="1:21" x14ac:dyDescent="0.25">
      <c r="A187" s="261">
        <v>46190</v>
      </c>
      <c r="B187" s="2" t="s">
        <v>590</v>
      </c>
      <c r="C187" s="2" t="s">
        <v>591</v>
      </c>
      <c r="D187" s="2" t="s">
        <v>12</v>
      </c>
      <c r="E187" s="2" t="s">
        <v>592</v>
      </c>
      <c r="F187" s="2" t="s">
        <v>316</v>
      </c>
      <c r="G187" s="2"/>
      <c r="H187" s="2"/>
      <c r="I187" s="2"/>
      <c r="J187" s="2" t="s">
        <v>2611</v>
      </c>
      <c r="K187" s="2">
        <v>1</v>
      </c>
      <c r="L187" s="4">
        <v>5</v>
      </c>
      <c r="O187" s="2"/>
      <c r="P187" s="2" t="s">
        <v>454</v>
      </c>
      <c r="Q187" s="2" t="s">
        <v>455</v>
      </c>
      <c r="R187" s="2" t="s">
        <v>12</v>
      </c>
      <c r="S187" s="2" t="s">
        <v>456</v>
      </c>
      <c r="T187" s="2" t="s">
        <v>44</v>
      </c>
      <c r="U187" s="2"/>
    </row>
    <row r="188" spans="1:21" x14ac:dyDescent="0.25">
      <c r="A188" s="261">
        <v>46190</v>
      </c>
      <c r="B188" s="2" t="s">
        <v>2116</v>
      </c>
      <c r="C188" s="2" t="s">
        <v>2117</v>
      </c>
      <c r="D188" s="2" t="s">
        <v>12</v>
      </c>
      <c r="E188" s="2" t="s">
        <v>2118</v>
      </c>
      <c r="F188" s="2" t="s">
        <v>47</v>
      </c>
      <c r="G188" s="2"/>
      <c r="H188" s="2"/>
      <c r="I188" s="2"/>
      <c r="J188" s="2" t="s">
        <v>2613</v>
      </c>
      <c r="K188" s="2">
        <v>2</v>
      </c>
      <c r="L188" s="4">
        <v>10</v>
      </c>
      <c r="O188" s="2"/>
      <c r="P188" s="2" t="s">
        <v>457</v>
      </c>
      <c r="Q188" s="2" t="s">
        <v>458</v>
      </c>
      <c r="R188" s="2" t="s">
        <v>12</v>
      </c>
      <c r="S188" s="2" t="s">
        <v>459</v>
      </c>
      <c r="T188" s="2" t="s">
        <v>43</v>
      </c>
      <c r="U188" s="2"/>
    </row>
    <row r="189" spans="1:21" x14ac:dyDescent="0.25">
      <c r="A189" s="261">
        <v>46190</v>
      </c>
      <c r="B189" s="2" t="s">
        <v>1519</v>
      </c>
      <c r="C189" s="2" t="s">
        <v>1520</v>
      </c>
      <c r="D189" s="2" t="s">
        <v>12</v>
      </c>
      <c r="E189" s="2" t="s">
        <v>1521</v>
      </c>
      <c r="F189" s="2" t="s">
        <v>44</v>
      </c>
      <c r="G189" s="2"/>
      <c r="H189" s="2"/>
      <c r="I189" s="2"/>
      <c r="J189" s="2" t="s">
        <v>2613</v>
      </c>
      <c r="K189" s="2">
        <v>2</v>
      </c>
      <c r="L189" s="4">
        <v>10</v>
      </c>
      <c r="O189" s="2"/>
      <c r="P189" s="2" t="s">
        <v>1511</v>
      </c>
      <c r="Q189" s="2" t="s">
        <v>1512</v>
      </c>
      <c r="R189" s="2" t="s">
        <v>12</v>
      </c>
      <c r="S189" s="2" t="s">
        <v>1513</v>
      </c>
      <c r="T189" s="2" t="s">
        <v>46</v>
      </c>
      <c r="U189" s="2"/>
    </row>
    <row r="190" spans="1:21" x14ac:dyDescent="0.25">
      <c r="A190" s="261">
        <v>46190</v>
      </c>
      <c r="B190" s="2" t="s">
        <v>389</v>
      </c>
      <c r="C190" s="2" t="s">
        <v>390</v>
      </c>
      <c r="D190" s="2" t="s">
        <v>12</v>
      </c>
      <c r="E190" s="2" t="s">
        <v>391</v>
      </c>
      <c r="F190" s="2" t="s">
        <v>329</v>
      </c>
      <c r="G190" s="2"/>
      <c r="H190" s="2"/>
      <c r="I190" s="2"/>
      <c r="J190" s="2" t="s">
        <v>2611</v>
      </c>
      <c r="K190" s="2">
        <v>1</v>
      </c>
      <c r="L190" s="4">
        <v>6.5</v>
      </c>
      <c r="O190" s="2"/>
      <c r="P190" s="2" t="s">
        <v>460</v>
      </c>
      <c r="Q190" s="2" t="s">
        <v>461</v>
      </c>
      <c r="R190" s="2" t="s">
        <v>12</v>
      </c>
      <c r="S190" s="2" t="s">
        <v>462</v>
      </c>
      <c r="T190" s="2" t="s">
        <v>43</v>
      </c>
      <c r="U190" s="2"/>
    </row>
    <row r="191" spans="1:21" x14ac:dyDescent="0.25">
      <c r="A191" s="261">
        <v>46190</v>
      </c>
      <c r="B191" s="2" t="s">
        <v>2108</v>
      </c>
      <c r="C191" s="2" t="s">
        <v>2109</v>
      </c>
      <c r="D191" s="2" t="s">
        <v>12</v>
      </c>
      <c r="E191" s="2" t="s">
        <v>2110</v>
      </c>
      <c r="F191" s="2" t="s">
        <v>329</v>
      </c>
      <c r="G191" s="2"/>
      <c r="H191" s="2"/>
      <c r="I191" s="2"/>
      <c r="J191" s="2" t="s">
        <v>2670</v>
      </c>
      <c r="K191" s="2">
        <v>11</v>
      </c>
      <c r="L191" s="4">
        <v>179.5</v>
      </c>
      <c r="O191" s="2"/>
      <c r="P191" s="2" t="s">
        <v>463</v>
      </c>
      <c r="Q191" s="2" t="s">
        <v>464</v>
      </c>
      <c r="R191" s="2" t="s">
        <v>12</v>
      </c>
      <c r="S191" s="2" t="s">
        <v>465</v>
      </c>
      <c r="T191" s="2" t="s">
        <v>46</v>
      </c>
      <c r="U191" s="2"/>
    </row>
    <row r="192" spans="1:21" x14ac:dyDescent="0.25">
      <c r="A192" s="261">
        <v>46190</v>
      </c>
      <c r="B192" s="2" t="s">
        <v>231</v>
      </c>
      <c r="C192" s="2" t="s">
        <v>232</v>
      </c>
      <c r="D192" s="2" t="s">
        <v>13</v>
      </c>
      <c r="E192" s="2" t="s">
        <v>233</v>
      </c>
      <c r="F192" s="2" t="s">
        <v>43</v>
      </c>
      <c r="G192" s="2"/>
      <c r="H192" s="2"/>
      <c r="I192" s="2"/>
      <c r="J192" s="2" t="s">
        <v>2611</v>
      </c>
      <c r="K192" s="2">
        <v>1</v>
      </c>
      <c r="L192" s="4">
        <v>12.5</v>
      </c>
      <c r="O192" s="2"/>
      <c r="P192" s="2"/>
      <c r="Q192" s="2"/>
      <c r="R192" s="2"/>
      <c r="S192" s="2"/>
      <c r="T192" s="2"/>
      <c r="U192" s="2"/>
    </row>
    <row r="193" spans="1:21" x14ac:dyDescent="0.25">
      <c r="A193" s="261">
        <v>46190</v>
      </c>
      <c r="B193" s="2" t="s">
        <v>833</v>
      </c>
      <c r="C193" s="2" t="s">
        <v>834</v>
      </c>
      <c r="D193" s="2" t="s">
        <v>14</v>
      </c>
      <c r="E193" s="2" t="s">
        <v>2336</v>
      </c>
      <c r="F193" s="2" t="s">
        <v>32</v>
      </c>
      <c r="G193" s="2"/>
      <c r="H193" s="2"/>
      <c r="I193" s="2"/>
      <c r="J193" s="2" t="s">
        <v>2611</v>
      </c>
      <c r="K193" s="2">
        <v>1</v>
      </c>
      <c r="L193" s="4">
        <v>5</v>
      </c>
      <c r="O193" s="2"/>
      <c r="P193" s="2"/>
      <c r="Q193" s="2"/>
      <c r="R193" s="2"/>
      <c r="S193" s="2"/>
      <c r="T193" s="2"/>
      <c r="U193" s="2"/>
    </row>
    <row r="194" spans="1:21" x14ac:dyDescent="0.25">
      <c r="A194" s="261">
        <v>46190</v>
      </c>
      <c r="B194" s="2" t="s">
        <v>558</v>
      </c>
      <c r="C194" s="2" t="s">
        <v>559</v>
      </c>
      <c r="D194" s="2" t="s">
        <v>12</v>
      </c>
      <c r="E194" s="2" t="s">
        <v>560</v>
      </c>
      <c r="F194" s="2" t="s">
        <v>125</v>
      </c>
      <c r="G194" s="2"/>
      <c r="H194" s="2"/>
      <c r="I194" s="2"/>
      <c r="J194" s="2" t="s">
        <v>2613</v>
      </c>
      <c r="K194" s="2">
        <v>2</v>
      </c>
      <c r="L194" s="4">
        <v>31</v>
      </c>
      <c r="O194" s="2"/>
      <c r="P194" s="2" t="s">
        <v>466</v>
      </c>
      <c r="Q194" s="2" t="s">
        <v>467</v>
      </c>
      <c r="R194" s="2" t="s">
        <v>12</v>
      </c>
      <c r="S194" s="2" t="s">
        <v>465</v>
      </c>
      <c r="T194" s="2" t="s">
        <v>46</v>
      </c>
      <c r="U194" s="2"/>
    </row>
    <row r="195" spans="1:21" ht="14.25" customHeight="1" x14ac:dyDescent="0.25">
      <c r="A195" s="261">
        <v>46190</v>
      </c>
      <c r="B195" s="2" t="s">
        <v>554</v>
      </c>
      <c r="C195" s="2" t="s">
        <v>555</v>
      </c>
      <c r="D195" s="2" t="s">
        <v>12</v>
      </c>
      <c r="E195" s="2" t="s">
        <v>556</v>
      </c>
      <c r="F195" s="2" t="s">
        <v>557</v>
      </c>
      <c r="G195" s="2"/>
      <c r="H195" s="2"/>
      <c r="I195" s="2"/>
      <c r="J195" s="2" t="s">
        <v>2613</v>
      </c>
      <c r="K195" s="2">
        <v>2</v>
      </c>
      <c r="L195" s="4">
        <v>21</v>
      </c>
      <c r="O195" s="2"/>
      <c r="P195" s="2" t="s">
        <v>2366</v>
      </c>
      <c r="Q195" s="2" t="s">
        <v>2367</v>
      </c>
      <c r="R195" s="2" t="s">
        <v>12</v>
      </c>
      <c r="S195" s="2" t="s">
        <v>2370</v>
      </c>
      <c r="T195" s="2" t="s">
        <v>309</v>
      </c>
      <c r="U195" s="2"/>
    </row>
    <row r="196" spans="1:21" ht="14.25" customHeight="1" thickBot="1" x14ac:dyDescent="0.3">
      <c r="A196" s="262">
        <v>46190</v>
      </c>
      <c r="B196" s="212" t="s">
        <v>831</v>
      </c>
      <c r="C196" s="212" t="s">
        <v>832</v>
      </c>
      <c r="D196" s="212" t="s">
        <v>14</v>
      </c>
      <c r="E196" s="212" t="s">
        <v>556</v>
      </c>
      <c r="F196" s="212" t="s">
        <v>32</v>
      </c>
      <c r="G196" s="212"/>
      <c r="H196" s="212"/>
      <c r="I196" s="212"/>
      <c r="J196" s="212" t="s">
        <v>2613</v>
      </c>
      <c r="K196" s="212">
        <v>2</v>
      </c>
      <c r="L196" s="109">
        <v>17.5</v>
      </c>
      <c r="M196" s="320">
        <f>SUM(L181:L196)</f>
        <v>486</v>
      </c>
      <c r="O196" s="2"/>
      <c r="P196" s="2" t="s">
        <v>1514</v>
      </c>
      <c r="Q196" s="2" t="s">
        <v>2281</v>
      </c>
      <c r="R196" s="2" t="s">
        <v>12</v>
      </c>
      <c r="S196" s="2" t="s">
        <v>1330</v>
      </c>
      <c r="T196" s="2" t="s">
        <v>43</v>
      </c>
      <c r="U196" s="2"/>
    </row>
    <row r="197" spans="1:21" x14ac:dyDescent="0.25">
      <c r="A197" s="261">
        <v>46191</v>
      </c>
      <c r="B197" s="2" t="s">
        <v>2034</v>
      </c>
      <c r="C197" s="2" t="s">
        <v>2035</v>
      </c>
      <c r="D197" s="2" t="s">
        <v>12</v>
      </c>
      <c r="E197" s="2" t="s">
        <v>2036</v>
      </c>
      <c r="F197" s="2" t="s">
        <v>48</v>
      </c>
      <c r="G197" s="161"/>
      <c r="H197" s="161"/>
      <c r="I197" s="161"/>
      <c r="J197" s="161" t="s">
        <v>2613</v>
      </c>
      <c r="K197" s="161">
        <v>2</v>
      </c>
      <c r="L197" s="97">
        <v>10</v>
      </c>
      <c r="O197" s="2"/>
      <c r="P197" s="2" t="s">
        <v>1329</v>
      </c>
      <c r="Q197" s="2" t="s">
        <v>1515</v>
      </c>
      <c r="R197" s="2" t="s">
        <v>12</v>
      </c>
      <c r="S197" s="2" t="s">
        <v>2282</v>
      </c>
      <c r="T197" s="2" t="s">
        <v>43</v>
      </c>
      <c r="U197" s="2"/>
    </row>
    <row r="198" spans="1:21" x14ac:dyDescent="0.25">
      <c r="A198" s="261">
        <v>46191</v>
      </c>
      <c r="B198" s="2" t="s">
        <v>1588</v>
      </c>
      <c r="C198" s="2" t="s">
        <v>1589</v>
      </c>
      <c r="D198" s="2" t="s">
        <v>12</v>
      </c>
      <c r="E198" s="2" t="s">
        <v>1590</v>
      </c>
      <c r="F198" s="2" t="s">
        <v>48</v>
      </c>
      <c r="G198" s="2"/>
      <c r="H198" s="2"/>
      <c r="I198" s="2"/>
      <c r="J198" s="2" t="s">
        <v>2610</v>
      </c>
      <c r="K198" s="2">
        <v>3</v>
      </c>
      <c r="L198" s="4">
        <v>16.5</v>
      </c>
      <c r="O198" s="2"/>
      <c r="P198" s="2" t="s">
        <v>468</v>
      </c>
      <c r="Q198" s="2" t="s">
        <v>469</v>
      </c>
      <c r="R198" s="2" t="s">
        <v>12</v>
      </c>
      <c r="S198" s="2" t="s">
        <v>470</v>
      </c>
      <c r="T198" s="2" t="s">
        <v>46</v>
      </c>
      <c r="U198" s="2"/>
    </row>
    <row r="199" spans="1:21" x14ac:dyDescent="0.25">
      <c r="A199" s="261">
        <v>46191</v>
      </c>
      <c r="B199" s="2" t="s">
        <v>1753</v>
      </c>
      <c r="C199" s="2" t="s">
        <v>1754</v>
      </c>
      <c r="D199" s="2" t="s">
        <v>14</v>
      </c>
      <c r="E199" s="2" t="s">
        <v>1755</v>
      </c>
      <c r="F199" s="2" t="s">
        <v>32</v>
      </c>
      <c r="G199" s="2"/>
      <c r="H199" s="2"/>
      <c r="I199" s="2"/>
      <c r="J199" s="2" t="s">
        <v>2610</v>
      </c>
      <c r="K199" s="2">
        <v>3</v>
      </c>
      <c r="L199" s="4">
        <v>15</v>
      </c>
      <c r="O199" s="2"/>
      <c r="P199" s="2" t="s">
        <v>471</v>
      </c>
      <c r="Q199" s="2" t="s">
        <v>472</v>
      </c>
      <c r="R199" s="2" t="s">
        <v>12</v>
      </c>
      <c r="S199" s="2" t="s">
        <v>473</v>
      </c>
      <c r="T199" s="2" t="s">
        <v>97</v>
      </c>
      <c r="U199" s="2"/>
    </row>
    <row r="200" spans="1:21" x14ac:dyDescent="0.25">
      <c r="A200" s="261">
        <v>46191</v>
      </c>
      <c r="B200" s="2" t="s">
        <v>2153</v>
      </c>
      <c r="C200" s="2" t="s">
        <v>2154</v>
      </c>
      <c r="D200" s="2" t="s">
        <v>0</v>
      </c>
      <c r="E200" s="2" t="s">
        <v>2155</v>
      </c>
      <c r="F200" s="2" t="s">
        <v>83</v>
      </c>
      <c r="G200" s="2"/>
      <c r="H200" s="2"/>
      <c r="I200" s="2"/>
      <c r="J200" s="2" t="s">
        <v>2613</v>
      </c>
      <c r="K200" s="2">
        <v>2</v>
      </c>
      <c r="L200" s="4">
        <v>10</v>
      </c>
      <c r="M200" s="6"/>
      <c r="O200" s="2"/>
      <c r="P200" s="2" t="s">
        <v>1516</v>
      </c>
      <c r="Q200" s="2" t="s">
        <v>1517</v>
      </c>
      <c r="R200" s="2" t="s">
        <v>12</v>
      </c>
      <c r="S200" s="2" t="s">
        <v>1518</v>
      </c>
      <c r="T200" s="2" t="s">
        <v>43</v>
      </c>
      <c r="U200" s="2"/>
    </row>
    <row r="201" spans="1:21" x14ac:dyDescent="0.25">
      <c r="A201" s="261">
        <v>46191</v>
      </c>
      <c r="B201" s="2" t="s">
        <v>2028</v>
      </c>
      <c r="C201" s="2" t="s">
        <v>2029</v>
      </c>
      <c r="D201" s="2" t="s">
        <v>12</v>
      </c>
      <c r="E201" s="2" t="s">
        <v>2030</v>
      </c>
      <c r="F201" s="2" t="s">
        <v>316</v>
      </c>
      <c r="G201" s="2"/>
      <c r="H201" s="2"/>
      <c r="I201" s="2"/>
      <c r="J201" s="2" t="s">
        <v>2613</v>
      </c>
      <c r="K201" s="2">
        <v>2</v>
      </c>
      <c r="L201" s="4">
        <v>11.5</v>
      </c>
      <c r="M201" s="6"/>
      <c r="O201" s="2"/>
      <c r="P201" s="2" t="s">
        <v>2042</v>
      </c>
      <c r="Q201" s="2" t="s">
        <v>2043</v>
      </c>
      <c r="R201" s="2" t="s">
        <v>12</v>
      </c>
      <c r="S201" s="2" t="s">
        <v>2044</v>
      </c>
      <c r="T201" s="2" t="s">
        <v>1525</v>
      </c>
      <c r="U201" s="2"/>
    </row>
    <row r="202" spans="1:21" x14ac:dyDescent="0.25">
      <c r="A202" s="261">
        <v>46191</v>
      </c>
      <c r="B202" s="2" t="s">
        <v>1386</v>
      </c>
      <c r="C202" s="2" t="s">
        <v>1387</v>
      </c>
      <c r="D202" s="2" t="s">
        <v>13</v>
      </c>
      <c r="E202" s="2" t="s">
        <v>1388</v>
      </c>
      <c r="F202" s="2" t="s">
        <v>43</v>
      </c>
      <c r="G202" s="2"/>
      <c r="H202" s="2"/>
      <c r="I202" s="2"/>
      <c r="J202" s="2" t="s">
        <v>2676</v>
      </c>
      <c r="K202" s="2">
        <v>5</v>
      </c>
      <c r="L202" s="4">
        <v>77.5</v>
      </c>
      <c r="M202" s="6"/>
      <c r="O202" s="2"/>
      <c r="P202" s="2" t="s">
        <v>88</v>
      </c>
      <c r="Q202" s="2" t="s">
        <v>138</v>
      </c>
      <c r="R202" s="2" t="s">
        <v>12</v>
      </c>
      <c r="S202" s="2" t="s">
        <v>89</v>
      </c>
      <c r="T202" s="2" t="s">
        <v>90</v>
      </c>
      <c r="U202" s="2"/>
    </row>
    <row r="203" spans="1:21" x14ac:dyDescent="0.25">
      <c r="A203" s="261">
        <v>46191</v>
      </c>
      <c r="B203" s="2" t="s">
        <v>2079</v>
      </c>
      <c r="C203" s="2" t="s">
        <v>2080</v>
      </c>
      <c r="D203" s="2" t="s">
        <v>12</v>
      </c>
      <c r="E203" s="2" t="s">
        <v>2081</v>
      </c>
      <c r="F203" s="2" t="s">
        <v>49</v>
      </c>
      <c r="G203" s="2"/>
      <c r="H203" s="2"/>
      <c r="I203" s="2"/>
      <c r="J203" s="2" t="s">
        <v>2676</v>
      </c>
      <c r="K203" s="2">
        <v>5</v>
      </c>
      <c r="L203" s="4">
        <v>47.5</v>
      </c>
      <c r="M203" s="6"/>
      <c r="O203" s="2"/>
      <c r="P203" s="2" t="s">
        <v>474</v>
      </c>
      <c r="Q203" s="2" t="s">
        <v>475</v>
      </c>
      <c r="R203" s="2" t="s">
        <v>12</v>
      </c>
      <c r="S203" s="2" t="s">
        <v>476</v>
      </c>
      <c r="T203" s="2" t="s">
        <v>44</v>
      </c>
      <c r="U203" s="2"/>
    </row>
    <row r="204" spans="1:21" x14ac:dyDescent="0.25">
      <c r="A204" s="261">
        <v>46191</v>
      </c>
      <c r="B204" s="2" t="s">
        <v>1511</v>
      </c>
      <c r="C204" s="2" t="s">
        <v>1512</v>
      </c>
      <c r="D204" s="2" t="s">
        <v>12</v>
      </c>
      <c r="E204" s="2" t="s">
        <v>1513</v>
      </c>
      <c r="F204" s="2" t="s">
        <v>46</v>
      </c>
      <c r="G204" s="2"/>
      <c r="H204" s="2"/>
      <c r="I204" s="2"/>
      <c r="J204" s="2" t="s">
        <v>2676</v>
      </c>
      <c r="K204" s="2">
        <v>5</v>
      </c>
      <c r="L204" s="4">
        <v>25</v>
      </c>
      <c r="O204" s="2"/>
      <c r="P204" s="2" t="s">
        <v>1519</v>
      </c>
      <c r="Q204" s="2" t="s">
        <v>1520</v>
      </c>
      <c r="R204" s="2" t="s">
        <v>12</v>
      </c>
      <c r="S204" s="2" t="s">
        <v>1521</v>
      </c>
      <c r="T204" s="2" t="s">
        <v>44</v>
      </c>
      <c r="U204" s="2"/>
    </row>
    <row r="205" spans="1:21" x14ac:dyDescent="0.25">
      <c r="A205" s="261">
        <v>46191</v>
      </c>
      <c r="B205" s="2" t="s">
        <v>1244</v>
      </c>
      <c r="C205" s="2" t="s">
        <v>1245</v>
      </c>
      <c r="D205" s="2" t="s">
        <v>0</v>
      </c>
      <c r="E205" s="2" t="s">
        <v>1246</v>
      </c>
      <c r="F205" s="2" t="s">
        <v>33</v>
      </c>
      <c r="G205" s="2"/>
      <c r="H205" s="2"/>
      <c r="I205" s="2"/>
      <c r="J205" s="2" t="s">
        <v>2611</v>
      </c>
      <c r="K205" s="2">
        <v>1</v>
      </c>
      <c r="L205" s="4">
        <v>10.5</v>
      </c>
      <c r="M205" s="6"/>
      <c r="O205" s="2"/>
      <c r="P205" s="2" t="s">
        <v>1522</v>
      </c>
      <c r="Q205" s="2" t="s">
        <v>1523</v>
      </c>
      <c r="R205" s="2" t="s">
        <v>12</v>
      </c>
      <c r="S205" s="2" t="s">
        <v>1524</v>
      </c>
      <c r="T205" s="2" t="s">
        <v>1525</v>
      </c>
      <c r="U205" s="2"/>
    </row>
    <row r="206" spans="1:21" x14ac:dyDescent="0.25">
      <c r="A206" s="261">
        <v>46191</v>
      </c>
      <c r="B206" s="2" t="s">
        <v>679</v>
      </c>
      <c r="C206" s="2" t="s">
        <v>680</v>
      </c>
      <c r="D206" s="2" t="s">
        <v>12</v>
      </c>
      <c r="E206" s="2" t="s">
        <v>681</v>
      </c>
      <c r="F206" s="2" t="s">
        <v>44</v>
      </c>
      <c r="G206" s="2"/>
      <c r="H206" s="2"/>
      <c r="I206" s="2"/>
      <c r="J206" s="2" t="s">
        <v>2610</v>
      </c>
      <c r="K206" s="2">
        <v>3</v>
      </c>
      <c r="L206" s="4">
        <v>29</v>
      </c>
      <c r="O206" s="2"/>
      <c r="P206" s="2" t="s">
        <v>477</v>
      </c>
      <c r="Q206" s="2" t="s">
        <v>478</v>
      </c>
      <c r="R206" s="2" t="s">
        <v>12</v>
      </c>
      <c r="S206" s="2" t="s">
        <v>479</v>
      </c>
      <c r="T206" s="2" t="s">
        <v>90</v>
      </c>
      <c r="U206" s="2"/>
    </row>
    <row r="207" spans="1:21" x14ac:dyDescent="0.25">
      <c r="A207" s="261">
        <v>46191</v>
      </c>
      <c r="B207" s="248" t="s">
        <v>1998</v>
      </c>
      <c r="C207" s="248" t="s">
        <v>1999</v>
      </c>
      <c r="D207" s="2" t="s">
        <v>17</v>
      </c>
      <c r="E207" s="248" t="s">
        <v>2000</v>
      </c>
      <c r="F207" s="248" t="s">
        <v>170</v>
      </c>
      <c r="G207" s="2"/>
      <c r="H207" s="2"/>
      <c r="I207" s="2"/>
      <c r="J207" s="2" t="s">
        <v>2610</v>
      </c>
      <c r="K207" s="2">
        <v>3</v>
      </c>
      <c r="L207" s="4">
        <v>15</v>
      </c>
      <c r="M207" s="6"/>
      <c r="O207" s="2"/>
      <c r="P207" s="2" t="s">
        <v>2045</v>
      </c>
      <c r="Q207" s="2" t="s">
        <v>2046</v>
      </c>
      <c r="R207" s="2" t="s">
        <v>12</v>
      </c>
      <c r="S207" s="2" t="s">
        <v>2047</v>
      </c>
      <c r="T207" s="2" t="s">
        <v>125</v>
      </c>
      <c r="U207" s="2"/>
    </row>
    <row r="208" spans="1:21" x14ac:dyDescent="0.25">
      <c r="A208" s="261">
        <v>46191</v>
      </c>
      <c r="B208" s="2" t="s">
        <v>1031</v>
      </c>
      <c r="C208" s="2" t="s">
        <v>1032</v>
      </c>
      <c r="D208" s="2" t="s">
        <v>0</v>
      </c>
      <c r="E208" s="2" t="s">
        <v>1033</v>
      </c>
      <c r="F208" s="2" t="s">
        <v>33</v>
      </c>
      <c r="G208" s="2"/>
      <c r="H208" s="2"/>
      <c r="I208" s="2"/>
      <c r="J208" s="2" t="s">
        <v>2611</v>
      </c>
      <c r="K208" s="2">
        <v>1</v>
      </c>
      <c r="L208" s="4">
        <v>20.5</v>
      </c>
      <c r="O208" s="2"/>
      <c r="P208" s="2" t="s">
        <v>480</v>
      </c>
      <c r="Q208" s="2" t="s">
        <v>481</v>
      </c>
      <c r="R208" s="2" t="s">
        <v>12</v>
      </c>
      <c r="S208" s="2" t="s">
        <v>482</v>
      </c>
      <c r="T208" s="2" t="s">
        <v>48</v>
      </c>
      <c r="U208" s="2"/>
    </row>
    <row r="209" spans="1:21" x14ac:dyDescent="0.25">
      <c r="A209" s="261">
        <v>46191</v>
      </c>
      <c r="B209" s="2" t="s">
        <v>1121</v>
      </c>
      <c r="C209" s="2" t="s">
        <v>1122</v>
      </c>
      <c r="D209" s="2" t="s">
        <v>0</v>
      </c>
      <c r="E209" s="2" t="s">
        <v>1123</v>
      </c>
      <c r="F209" s="2" t="s">
        <v>33</v>
      </c>
      <c r="G209" s="2"/>
      <c r="H209" s="2"/>
      <c r="I209" s="2"/>
      <c r="J209" s="2" t="s">
        <v>2610</v>
      </c>
      <c r="K209" s="2">
        <v>3</v>
      </c>
      <c r="L209" s="4">
        <v>17.5</v>
      </c>
      <c r="M209" s="6"/>
      <c r="O209" s="2"/>
      <c r="P209" s="2" t="s">
        <v>1526</v>
      </c>
      <c r="Q209" s="2" t="s">
        <v>1527</v>
      </c>
      <c r="R209" s="2" t="s">
        <v>12</v>
      </c>
      <c r="S209" s="2" t="s">
        <v>1528</v>
      </c>
      <c r="T209" s="2" t="s">
        <v>43</v>
      </c>
      <c r="U209" s="2"/>
    </row>
    <row r="210" spans="1:21" x14ac:dyDescent="0.25">
      <c r="A210" s="261">
        <v>46191</v>
      </c>
      <c r="B210" s="2" t="s">
        <v>1771</v>
      </c>
      <c r="C210" s="2" t="s">
        <v>1772</v>
      </c>
      <c r="D210" s="2" t="s">
        <v>0</v>
      </c>
      <c r="E210" s="2" t="s">
        <v>1773</v>
      </c>
      <c r="F210" s="2" t="s">
        <v>33</v>
      </c>
      <c r="G210" s="2"/>
      <c r="H210" s="2"/>
      <c r="I210" s="2"/>
      <c r="J210" s="2" t="s">
        <v>2610</v>
      </c>
      <c r="K210" s="2">
        <v>3</v>
      </c>
      <c r="L210" s="4">
        <v>58.5</v>
      </c>
      <c r="O210" s="2"/>
      <c r="P210" s="2" t="s">
        <v>483</v>
      </c>
      <c r="Q210" s="2" t="s">
        <v>484</v>
      </c>
      <c r="R210" s="2" t="s">
        <v>12</v>
      </c>
      <c r="S210" s="2" t="s">
        <v>485</v>
      </c>
      <c r="T210" s="2" t="s">
        <v>301</v>
      </c>
      <c r="U210" s="2"/>
    </row>
    <row r="211" spans="1:21" x14ac:dyDescent="0.25">
      <c r="A211" s="261">
        <v>46191</v>
      </c>
      <c r="B211" s="2" t="s">
        <v>427</v>
      </c>
      <c r="C211" s="2" t="s">
        <v>428</v>
      </c>
      <c r="D211" s="2" t="s">
        <v>12</v>
      </c>
      <c r="E211" s="2" t="s">
        <v>429</v>
      </c>
      <c r="F211" s="2" t="s">
        <v>48</v>
      </c>
      <c r="G211" s="2"/>
      <c r="J211" s="178" t="s">
        <v>2613</v>
      </c>
      <c r="K211" s="2">
        <v>2</v>
      </c>
      <c r="L211" s="4">
        <v>14.5</v>
      </c>
      <c r="O211" s="2"/>
      <c r="P211" s="2" t="s">
        <v>2048</v>
      </c>
      <c r="Q211" s="2" t="s">
        <v>2049</v>
      </c>
      <c r="R211" s="2" t="s">
        <v>12</v>
      </c>
      <c r="S211" s="2" t="s">
        <v>2050</v>
      </c>
      <c r="T211" s="2" t="s">
        <v>316</v>
      </c>
      <c r="U211" s="2"/>
    </row>
    <row r="212" spans="1:21" x14ac:dyDescent="0.25">
      <c r="A212" s="261">
        <v>46191</v>
      </c>
      <c r="B212" s="2" t="s">
        <v>1526</v>
      </c>
      <c r="C212" s="2" t="s">
        <v>1527</v>
      </c>
      <c r="D212" s="2" t="s">
        <v>12</v>
      </c>
      <c r="E212" s="2" t="s">
        <v>1528</v>
      </c>
      <c r="F212" s="2" t="s">
        <v>43</v>
      </c>
      <c r="G212" s="2"/>
      <c r="H212" s="2"/>
      <c r="I212" s="2"/>
      <c r="J212" s="2" t="s">
        <v>2676</v>
      </c>
      <c r="K212" s="2">
        <v>5</v>
      </c>
      <c r="L212" s="4">
        <v>51</v>
      </c>
      <c r="O212" s="2"/>
      <c r="P212" s="2" t="s">
        <v>486</v>
      </c>
      <c r="Q212" s="2" t="s">
        <v>487</v>
      </c>
      <c r="R212" s="2" t="s">
        <v>12</v>
      </c>
      <c r="S212" s="2" t="s">
        <v>488</v>
      </c>
      <c r="T212" s="2" t="s">
        <v>43</v>
      </c>
      <c r="U212" s="2"/>
    </row>
    <row r="213" spans="1:21" x14ac:dyDescent="0.25">
      <c r="A213" s="261">
        <v>46191</v>
      </c>
      <c r="B213" s="2" t="s">
        <v>1306</v>
      </c>
      <c r="C213" s="2" t="s">
        <v>1307</v>
      </c>
      <c r="D213" s="2" t="s">
        <v>0</v>
      </c>
      <c r="E213" s="2" t="s">
        <v>1308</v>
      </c>
      <c r="F213" s="2" t="s">
        <v>33</v>
      </c>
      <c r="G213" s="2"/>
      <c r="H213" s="2"/>
      <c r="I213" s="2"/>
      <c r="J213" s="2" t="s">
        <v>2609</v>
      </c>
      <c r="K213" s="2">
        <v>4</v>
      </c>
      <c r="L213" s="4">
        <v>20</v>
      </c>
      <c r="O213" s="2"/>
      <c r="P213" s="2" t="s">
        <v>489</v>
      </c>
      <c r="Q213" s="2" t="s">
        <v>490</v>
      </c>
      <c r="R213" s="2" t="s">
        <v>12</v>
      </c>
      <c r="S213" s="2" t="s">
        <v>491</v>
      </c>
      <c r="T213" s="2" t="s">
        <v>125</v>
      </c>
      <c r="U213" s="2"/>
    </row>
    <row r="214" spans="1:21" x14ac:dyDescent="0.25">
      <c r="A214" s="261">
        <v>46191</v>
      </c>
      <c r="B214" s="2" t="s">
        <v>2219</v>
      </c>
      <c r="C214" s="2" t="s">
        <v>2220</v>
      </c>
      <c r="D214" s="2" t="s">
        <v>0</v>
      </c>
      <c r="E214" s="2" t="s">
        <v>2221</v>
      </c>
      <c r="F214" s="2" t="s">
        <v>83</v>
      </c>
      <c r="G214" s="2"/>
      <c r="H214" s="2"/>
      <c r="I214" s="2"/>
      <c r="J214" s="2" t="s">
        <v>2610</v>
      </c>
      <c r="K214" s="2">
        <v>3</v>
      </c>
      <c r="L214" s="4">
        <v>16.5</v>
      </c>
      <c r="O214" s="2"/>
      <c r="P214" s="2" t="s">
        <v>492</v>
      </c>
      <c r="Q214" s="2" t="s">
        <v>493</v>
      </c>
      <c r="R214" s="2" t="s">
        <v>12</v>
      </c>
      <c r="S214" s="2" t="s">
        <v>494</v>
      </c>
      <c r="T214" s="2" t="s">
        <v>97</v>
      </c>
      <c r="U214" s="2"/>
    </row>
    <row r="215" spans="1:21" x14ac:dyDescent="0.25">
      <c r="A215" s="261">
        <v>46191</v>
      </c>
      <c r="B215" s="2" t="s">
        <v>2225</v>
      </c>
      <c r="C215" s="2" t="s">
        <v>2226</v>
      </c>
      <c r="D215" s="2" t="s">
        <v>0</v>
      </c>
      <c r="E215" s="2" t="s">
        <v>2227</v>
      </c>
      <c r="F215" s="2" t="s">
        <v>83</v>
      </c>
      <c r="G215" s="2"/>
      <c r="H215" s="2"/>
      <c r="I215" s="2"/>
      <c r="J215" s="2" t="s">
        <v>2610</v>
      </c>
      <c r="K215" s="2">
        <v>3</v>
      </c>
      <c r="L215" s="4">
        <v>15</v>
      </c>
      <c r="M215" s="6"/>
      <c r="O215" s="2"/>
      <c r="P215" s="2" t="s">
        <v>495</v>
      </c>
      <c r="Q215" s="2" t="s">
        <v>496</v>
      </c>
      <c r="R215" s="2" t="s">
        <v>12</v>
      </c>
      <c r="S215" s="2" t="s">
        <v>497</v>
      </c>
      <c r="T215" s="2" t="s">
        <v>113</v>
      </c>
      <c r="U215" s="2"/>
    </row>
    <row r="216" spans="1:21" x14ac:dyDescent="0.25">
      <c r="A216" s="261">
        <v>46191</v>
      </c>
      <c r="B216" s="2" t="s">
        <v>2425</v>
      </c>
      <c r="C216" s="2" t="s">
        <v>2426</v>
      </c>
      <c r="D216" s="2" t="s">
        <v>0</v>
      </c>
      <c r="E216" s="2" t="s">
        <v>2435</v>
      </c>
      <c r="F216" s="2" t="s">
        <v>83</v>
      </c>
      <c r="G216" s="288"/>
      <c r="H216" s="288"/>
      <c r="I216" s="288"/>
      <c r="J216" s="288" t="s">
        <v>2611</v>
      </c>
      <c r="K216" s="288">
        <v>1</v>
      </c>
      <c r="L216" s="289">
        <v>7.5</v>
      </c>
      <c r="M216" s="6"/>
      <c r="O216" s="2"/>
      <c r="P216" s="2" t="s">
        <v>2051</v>
      </c>
      <c r="Q216" s="2" t="s">
        <v>2052</v>
      </c>
      <c r="R216" s="2" t="s">
        <v>12</v>
      </c>
      <c r="S216" s="2" t="s">
        <v>2053</v>
      </c>
      <c r="T216" s="2" t="s">
        <v>125</v>
      </c>
      <c r="U216" s="2"/>
    </row>
    <row r="217" spans="1:21" x14ac:dyDescent="0.25">
      <c r="A217" s="261">
        <v>46191</v>
      </c>
      <c r="B217" s="2" t="s">
        <v>2341</v>
      </c>
      <c r="C217" s="2" t="s">
        <v>2342</v>
      </c>
      <c r="D217" s="2" t="s">
        <v>0</v>
      </c>
      <c r="E217" s="2" t="s">
        <v>2347</v>
      </c>
      <c r="F217" s="2" t="s">
        <v>1285</v>
      </c>
      <c r="G217" s="161"/>
      <c r="H217" s="161"/>
      <c r="I217" s="161"/>
      <c r="J217" s="161" t="s">
        <v>2611</v>
      </c>
      <c r="K217" s="161">
        <v>1</v>
      </c>
      <c r="L217" s="97">
        <v>5</v>
      </c>
      <c r="M217" s="6"/>
      <c r="O217" s="2"/>
      <c r="P217" s="2" t="s">
        <v>1529</v>
      </c>
      <c r="Q217" s="2" t="s">
        <v>1530</v>
      </c>
      <c r="R217" s="2" t="s">
        <v>12</v>
      </c>
      <c r="S217" s="2" t="s">
        <v>1531</v>
      </c>
      <c r="T217" s="2" t="s">
        <v>1532</v>
      </c>
      <c r="U217" s="2"/>
    </row>
    <row r="218" spans="1:21" x14ac:dyDescent="0.25">
      <c r="A218" s="261">
        <v>46191</v>
      </c>
      <c r="B218" s="2" t="s">
        <v>222</v>
      </c>
      <c r="C218" s="2" t="s">
        <v>223</v>
      </c>
      <c r="D218" s="2" t="s">
        <v>13</v>
      </c>
      <c r="E218" s="2" t="s">
        <v>224</v>
      </c>
      <c r="F218" s="2" t="s">
        <v>43</v>
      </c>
      <c r="G218" s="2"/>
      <c r="H218" s="161"/>
      <c r="I218" s="161"/>
      <c r="J218" s="161" t="s">
        <v>2611</v>
      </c>
      <c r="K218" s="161">
        <v>1</v>
      </c>
      <c r="L218" s="4">
        <v>5</v>
      </c>
      <c r="M218" s="6"/>
      <c r="O218" s="2"/>
      <c r="P218" s="2" t="s">
        <v>498</v>
      </c>
      <c r="Q218" s="2" t="s">
        <v>499</v>
      </c>
      <c r="R218" s="2" t="s">
        <v>12</v>
      </c>
      <c r="S218" s="2" t="s">
        <v>500</v>
      </c>
      <c r="T218" s="2" t="s">
        <v>46</v>
      </c>
      <c r="U218" s="2"/>
    </row>
    <row r="219" spans="1:21" x14ac:dyDescent="0.25">
      <c r="A219" s="261">
        <v>46191</v>
      </c>
      <c r="B219" s="2" t="s">
        <v>853</v>
      </c>
      <c r="C219" s="2" t="s">
        <v>854</v>
      </c>
      <c r="D219" s="2" t="s">
        <v>0</v>
      </c>
      <c r="E219" s="2" t="s">
        <v>855</v>
      </c>
      <c r="F219" s="2" t="s">
        <v>856</v>
      </c>
      <c r="G219" s="2"/>
      <c r="H219" s="161"/>
      <c r="I219" s="161"/>
      <c r="J219" s="161" t="s">
        <v>2611</v>
      </c>
      <c r="K219" s="161">
        <v>1</v>
      </c>
      <c r="L219" s="4">
        <v>5</v>
      </c>
      <c r="M219" s="6"/>
      <c r="O219" s="2"/>
      <c r="P219" s="2" t="s">
        <v>501</v>
      </c>
      <c r="Q219" s="2" t="s">
        <v>502</v>
      </c>
      <c r="R219" s="2" t="s">
        <v>12</v>
      </c>
      <c r="S219" s="2" t="s">
        <v>503</v>
      </c>
      <c r="T219" s="2" t="s">
        <v>301</v>
      </c>
      <c r="U219" s="2"/>
    </row>
    <row r="220" spans="1:21" x14ac:dyDescent="0.25">
      <c r="A220" s="261">
        <v>46191</v>
      </c>
      <c r="B220" s="2" t="s">
        <v>2001</v>
      </c>
      <c r="C220" s="2" t="s">
        <v>2002</v>
      </c>
      <c r="D220" s="2" t="s">
        <v>13</v>
      </c>
      <c r="E220" s="2" t="s">
        <v>2003</v>
      </c>
      <c r="F220" s="2" t="s">
        <v>43</v>
      </c>
      <c r="G220" s="2"/>
      <c r="H220" s="161"/>
      <c r="I220" s="161"/>
      <c r="J220" s="161" t="s">
        <v>2611</v>
      </c>
      <c r="K220" s="161">
        <v>1</v>
      </c>
      <c r="L220" s="4">
        <v>5</v>
      </c>
      <c r="M220" s="6"/>
      <c r="O220" s="2"/>
      <c r="P220" s="2" t="s">
        <v>504</v>
      </c>
      <c r="Q220" s="2" t="s">
        <v>505</v>
      </c>
      <c r="R220" s="2" t="s">
        <v>12</v>
      </c>
      <c r="S220" s="2" t="s">
        <v>506</v>
      </c>
      <c r="T220" s="2" t="s">
        <v>301</v>
      </c>
      <c r="U220" s="2"/>
    </row>
    <row r="221" spans="1:21" x14ac:dyDescent="0.25">
      <c r="A221" s="261">
        <v>46191</v>
      </c>
      <c r="B221" s="2" t="s">
        <v>1004</v>
      </c>
      <c r="C221" s="2" t="s">
        <v>1005</v>
      </c>
      <c r="D221" s="2" t="s">
        <v>0</v>
      </c>
      <c r="E221" s="2" t="s">
        <v>1006</v>
      </c>
      <c r="F221" s="2" t="s">
        <v>87</v>
      </c>
      <c r="G221" s="2"/>
      <c r="H221" s="2"/>
      <c r="I221" s="2"/>
      <c r="J221" s="161" t="s">
        <v>2611</v>
      </c>
      <c r="K221" s="161">
        <v>1</v>
      </c>
      <c r="L221" s="4">
        <v>5</v>
      </c>
      <c r="M221" s="6"/>
      <c r="O221" s="2"/>
      <c r="P221" s="2" t="s">
        <v>507</v>
      </c>
      <c r="Q221" s="2" t="s">
        <v>508</v>
      </c>
      <c r="R221" s="2" t="s">
        <v>12</v>
      </c>
      <c r="S221" s="2" t="s">
        <v>509</v>
      </c>
      <c r="T221" s="2" t="s">
        <v>125</v>
      </c>
      <c r="U221" s="2"/>
    </row>
    <row r="222" spans="1:21" x14ac:dyDescent="0.25">
      <c r="A222" s="261">
        <v>46191</v>
      </c>
      <c r="B222" s="2" t="s">
        <v>471</v>
      </c>
      <c r="C222" s="2" t="s">
        <v>472</v>
      </c>
      <c r="D222" s="2" t="s">
        <v>12</v>
      </c>
      <c r="E222" s="2" t="s">
        <v>473</v>
      </c>
      <c r="F222" s="2" t="s">
        <v>97</v>
      </c>
      <c r="G222" s="2"/>
      <c r="H222" s="2"/>
      <c r="I222" s="2"/>
      <c r="J222" s="2" t="s">
        <v>2611</v>
      </c>
      <c r="K222" s="2">
        <v>1</v>
      </c>
      <c r="L222" s="4">
        <v>5</v>
      </c>
      <c r="M222" s="6"/>
      <c r="O222" s="2"/>
      <c r="P222" s="2" t="s">
        <v>2054</v>
      </c>
      <c r="Q222" s="2" t="s">
        <v>2055</v>
      </c>
      <c r="R222" s="2" t="s">
        <v>12</v>
      </c>
      <c r="S222" s="2" t="s">
        <v>2056</v>
      </c>
      <c r="T222" s="2" t="s">
        <v>301</v>
      </c>
      <c r="U222" s="2"/>
    </row>
    <row r="223" spans="1:21" ht="15.75" thickBot="1" x14ac:dyDescent="0.3">
      <c r="A223" s="211">
        <v>46191</v>
      </c>
      <c r="B223" s="212" t="s">
        <v>415</v>
      </c>
      <c r="C223" s="212" t="s">
        <v>416</v>
      </c>
      <c r="D223" s="212" t="s">
        <v>12</v>
      </c>
      <c r="E223" s="212" t="s">
        <v>417</v>
      </c>
      <c r="F223" s="212" t="s">
        <v>316</v>
      </c>
      <c r="G223" s="212"/>
      <c r="H223" s="212"/>
      <c r="I223" s="212"/>
      <c r="J223" s="212" t="s">
        <v>2611</v>
      </c>
      <c r="K223" s="212">
        <v>1</v>
      </c>
      <c r="L223" s="109">
        <v>5</v>
      </c>
      <c r="M223" s="320">
        <f>SUM(L197:L223)</f>
        <v>523.5</v>
      </c>
      <c r="O223" s="2"/>
      <c r="P223" s="2" t="s">
        <v>510</v>
      </c>
      <c r="Q223" s="2" t="s">
        <v>511</v>
      </c>
      <c r="R223" s="2" t="s">
        <v>12</v>
      </c>
      <c r="S223" s="2" t="s">
        <v>512</v>
      </c>
      <c r="T223" s="2" t="s">
        <v>309</v>
      </c>
      <c r="U223" s="2"/>
    </row>
    <row r="224" spans="1:21" x14ac:dyDescent="0.25">
      <c r="A224" s="261">
        <v>46192</v>
      </c>
      <c r="B224" s="2" t="s">
        <v>392</v>
      </c>
      <c r="C224" s="2" t="s">
        <v>393</v>
      </c>
      <c r="D224" s="2" t="s">
        <v>12</v>
      </c>
      <c r="E224" s="2" t="s">
        <v>394</v>
      </c>
      <c r="F224" s="2" t="s">
        <v>395</v>
      </c>
      <c r="G224" s="161"/>
      <c r="H224" s="161"/>
      <c r="I224" s="161"/>
      <c r="J224" s="161" t="s">
        <v>2613</v>
      </c>
      <c r="K224" s="161">
        <v>2</v>
      </c>
      <c r="L224" s="97">
        <v>24.5</v>
      </c>
      <c r="M224" s="6"/>
      <c r="O224" s="2"/>
      <c r="P224" s="2" t="s">
        <v>513</v>
      </c>
      <c r="Q224" s="2" t="s">
        <v>514</v>
      </c>
      <c r="R224" s="2" t="s">
        <v>12</v>
      </c>
      <c r="S224" s="2" t="s">
        <v>515</v>
      </c>
      <c r="T224" s="2" t="s">
        <v>45</v>
      </c>
      <c r="U224" s="2"/>
    </row>
    <row r="225" spans="1:21" x14ac:dyDescent="0.25">
      <c r="A225" s="261">
        <v>46192</v>
      </c>
      <c r="B225" s="2" t="s">
        <v>1717</v>
      </c>
      <c r="C225" s="2" t="s">
        <v>1718</v>
      </c>
      <c r="D225" s="2" t="s">
        <v>12</v>
      </c>
      <c r="E225" s="2" t="s">
        <v>1719</v>
      </c>
      <c r="F225" s="2" t="s">
        <v>45</v>
      </c>
      <c r="G225" s="2"/>
      <c r="H225" s="2"/>
      <c r="I225" s="2"/>
      <c r="J225" s="2" t="s">
        <v>2613</v>
      </c>
      <c r="K225" s="2">
        <v>2</v>
      </c>
      <c r="L225" s="4">
        <v>10</v>
      </c>
      <c r="M225" s="6"/>
      <c r="O225" s="2"/>
      <c r="P225" s="2" t="s">
        <v>516</v>
      </c>
      <c r="Q225" s="2" t="s">
        <v>517</v>
      </c>
      <c r="R225" s="2" t="s">
        <v>12</v>
      </c>
      <c r="S225" s="2" t="s">
        <v>518</v>
      </c>
      <c r="T225" s="2" t="s">
        <v>125</v>
      </c>
      <c r="U225" s="2"/>
    </row>
    <row r="226" spans="1:21" x14ac:dyDescent="0.25">
      <c r="A226" s="261">
        <v>46192</v>
      </c>
      <c r="B226" s="2" t="s">
        <v>1666</v>
      </c>
      <c r="C226" s="2" t="s">
        <v>1667</v>
      </c>
      <c r="D226" s="2" t="s">
        <v>12</v>
      </c>
      <c r="E226" s="2" t="s">
        <v>1668</v>
      </c>
      <c r="F226" s="2" t="s">
        <v>125</v>
      </c>
      <c r="G226" s="288"/>
      <c r="H226" s="288"/>
      <c r="I226" s="288"/>
      <c r="J226" s="288" t="s">
        <v>2610</v>
      </c>
      <c r="K226" s="288">
        <v>3</v>
      </c>
      <c r="L226" s="289">
        <v>27</v>
      </c>
      <c r="M226" s="6"/>
      <c r="O226" s="2"/>
      <c r="P226" s="2" t="s">
        <v>519</v>
      </c>
      <c r="Q226" s="2" t="s">
        <v>520</v>
      </c>
      <c r="R226" s="2" t="s">
        <v>12</v>
      </c>
      <c r="S226" s="2" t="s">
        <v>521</v>
      </c>
      <c r="T226" s="2" t="s">
        <v>125</v>
      </c>
      <c r="U226" s="2"/>
    </row>
    <row r="227" spans="1:21" x14ac:dyDescent="0.25">
      <c r="A227" s="261">
        <v>46192</v>
      </c>
      <c r="B227" s="2" t="s">
        <v>415</v>
      </c>
      <c r="C227" s="2" t="s">
        <v>416</v>
      </c>
      <c r="D227" s="2" t="s">
        <v>12</v>
      </c>
      <c r="E227" s="2" t="s">
        <v>417</v>
      </c>
      <c r="F227" s="2" t="s">
        <v>316</v>
      </c>
      <c r="G227" s="288"/>
      <c r="H227" s="288"/>
      <c r="I227" s="288"/>
      <c r="J227" s="288" t="s">
        <v>2611</v>
      </c>
      <c r="K227" s="288">
        <v>1</v>
      </c>
      <c r="L227" s="289">
        <v>5</v>
      </c>
      <c r="M227" s="6"/>
      <c r="O227" s="2"/>
      <c r="P227" s="2" t="s">
        <v>522</v>
      </c>
      <c r="Q227" s="2" t="s">
        <v>523</v>
      </c>
      <c r="R227" s="2" t="s">
        <v>12</v>
      </c>
      <c r="S227" s="2" t="s">
        <v>524</v>
      </c>
      <c r="T227" s="2" t="s">
        <v>47</v>
      </c>
      <c r="U227" s="2"/>
    </row>
    <row r="228" spans="1:21" x14ac:dyDescent="0.25">
      <c r="A228" s="261">
        <v>46192</v>
      </c>
      <c r="B228" s="2" t="s">
        <v>765</v>
      </c>
      <c r="C228" s="2" t="s">
        <v>766</v>
      </c>
      <c r="D228" s="2" t="s">
        <v>12</v>
      </c>
      <c r="E228" s="2" t="s">
        <v>767</v>
      </c>
      <c r="F228" s="2" t="s">
        <v>46</v>
      </c>
      <c r="G228" s="161"/>
      <c r="H228" s="161"/>
      <c r="I228" s="161"/>
      <c r="J228" s="161" t="s">
        <v>2613</v>
      </c>
      <c r="K228" s="161">
        <v>2</v>
      </c>
      <c r="L228" s="97">
        <v>10</v>
      </c>
      <c r="M228" s="6"/>
      <c r="O228" s="2"/>
      <c r="P228" s="2" t="s">
        <v>525</v>
      </c>
      <c r="Q228" s="2" t="s">
        <v>526</v>
      </c>
      <c r="R228" s="2" t="s">
        <v>12</v>
      </c>
      <c r="S228" s="2" t="s">
        <v>527</v>
      </c>
      <c r="T228" s="2" t="s">
        <v>97</v>
      </c>
      <c r="U228" s="2"/>
    </row>
    <row r="229" spans="1:21" x14ac:dyDescent="0.25">
      <c r="A229" s="261">
        <v>46192</v>
      </c>
      <c r="B229" s="2" t="s">
        <v>616</v>
      </c>
      <c r="C229" s="2" t="s">
        <v>617</v>
      </c>
      <c r="D229" s="2" t="s">
        <v>12</v>
      </c>
      <c r="E229" s="2" t="s">
        <v>618</v>
      </c>
      <c r="F229" s="2" t="s">
        <v>619</v>
      </c>
      <c r="G229" s="2"/>
      <c r="H229" s="161"/>
      <c r="I229" s="161"/>
      <c r="J229" s="161" t="s">
        <v>2613</v>
      </c>
      <c r="K229" s="161">
        <v>2</v>
      </c>
      <c r="L229" s="97">
        <v>17</v>
      </c>
      <c r="M229" s="6"/>
      <c r="O229" s="2"/>
      <c r="P229" s="2" t="s">
        <v>1533</v>
      </c>
      <c r="Q229" s="2" t="s">
        <v>1534</v>
      </c>
      <c r="R229" s="2" t="s">
        <v>12</v>
      </c>
      <c r="S229" s="2" t="s">
        <v>1535</v>
      </c>
      <c r="T229" s="2" t="s">
        <v>329</v>
      </c>
      <c r="U229" s="2"/>
    </row>
    <row r="230" spans="1:21" x14ac:dyDescent="0.25">
      <c r="A230" s="261">
        <v>46192</v>
      </c>
      <c r="B230" s="2" t="s">
        <v>762</v>
      </c>
      <c r="C230" s="2" t="s">
        <v>763</v>
      </c>
      <c r="D230" s="2" t="s">
        <v>12</v>
      </c>
      <c r="E230" s="2" t="s">
        <v>764</v>
      </c>
      <c r="F230" s="2" t="s">
        <v>46</v>
      </c>
      <c r="G230" s="2"/>
      <c r="H230" s="2"/>
      <c r="I230" s="2"/>
      <c r="J230" s="161" t="s">
        <v>2613</v>
      </c>
      <c r="K230" s="2">
        <v>2</v>
      </c>
      <c r="L230" s="4">
        <v>26</v>
      </c>
      <c r="M230" s="6"/>
      <c r="O230" s="2"/>
      <c r="P230" s="2" t="s">
        <v>528</v>
      </c>
      <c r="Q230" s="2" t="s">
        <v>1536</v>
      </c>
      <c r="R230" s="2" t="s">
        <v>12</v>
      </c>
      <c r="S230" s="2" t="s">
        <v>529</v>
      </c>
      <c r="T230" s="2" t="s">
        <v>43</v>
      </c>
      <c r="U230" s="2"/>
    </row>
    <row r="231" spans="1:21" x14ac:dyDescent="0.25">
      <c r="A231" s="261">
        <v>46192</v>
      </c>
      <c r="B231" s="2" t="s">
        <v>1098</v>
      </c>
      <c r="C231" s="2" t="s">
        <v>1099</v>
      </c>
      <c r="D231" s="2" t="s">
        <v>0</v>
      </c>
      <c r="E231" s="2" t="s">
        <v>1100</v>
      </c>
      <c r="F231" s="2" t="s">
        <v>0</v>
      </c>
      <c r="G231" s="2"/>
      <c r="H231" s="2"/>
      <c r="I231" s="2"/>
      <c r="J231" s="161" t="s">
        <v>2611</v>
      </c>
      <c r="K231" s="2">
        <v>1</v>
      </c>
      <c r="L231" s="4">
        <v>20.5</v>
      </c>
      <c r="M231" s="6"/>
      <c r="O231" s="2"/>
      <c r="P231" s="2" t="s">
        <v>2290</v>
      </c>
      <c r="Q231" s="2" t="s">
        <v>2291</v>
      </c>
      <c r="R231" s="2" t="s">
        <v>12</v>
      </c>
      <c r="S231" s="2" t="s">
        <v>2292</v>
      </c>
      <c r="T231" s="2" t="s">
        <v>2293</v>
      </c>
      <c r="U231" s="2"/>
    </row>
    <row r="232" spans="1:21" x14ac:dyDescent="0.25">
      <c r="A232" s="261">
        <v>46192</v>
      </c>
      <c r="B232" s="2" t="s">
        <v>2156</v>
      </c>
      <c r="C232" s="2" t="s">
        <v>2157</v>
      </c>
      <c r="D232" s="2" t="s">
        <v>0</v>
      </c>
      <c r="E232" s="2" t="s">
        <v>2158</v>
      </c>
      <c r="F232" s="2" t="s">
        <v>0</v>
      </c>
      <c r="G232" s="2"/>
      <c r="H232" s="2"/>
      <c r="I232" s="2"/>
      <c r="J232" s="161" t="s">
        <v>2611</v>
      </c>
      <c r="K232" s="161">
        <v>1</v>
      </c>
      <c r="L232" s="4">
        <v>6.5</v>
      </c>
      <c r="M232" s="6"/>
      <c r="O232" s="2"/>
      <c r="P232" s="2" t="s">
        <v>1537</v>
      </c>
      <c r="Q232" s="2" t="s">
        <v>1538</v>
      </c>
      <c r="R232" s="2" t="s">
        <v>12</v>
      </c>
      <c r="S232" s="2" t="s">
        <v>1539</v>
      </c>
      <c r="T232" s="2" t="s">
        <v>305</v>
      </c>
      <c r="U232" s="2"/>
    </row>
    <row r="233" spans="1:21" x14ac:dyDescent="0.25">
      <c r="A233" s="261">
        <v>46192</v>
      </c>
      <c r="B233" s="2" t="s">
        <v>1027</v>
      </c>
      <c r="C233" s="2" t="s">
        <v>1028</v>
      </c>
      <c r="D233" s="2" t="s">
        <v>0</v>
      </c>
      <c r="E233" s="2" t="s">
        <v>1029</v>
      </c>
      <c r="F233" s="2" t="s">
        <v>1030</v>
      </c>
      <c r="G233" s="2"/>
      <c r="H233" s="2"/>
      <c r="I233" s="2"/>
      <c r="J233" s="161" t="s">
        <v>2611</v>
      </c>
      <c r="K233" s="161">
        <v>1</v>
      </c>
      <c r="L233" s="4">
        <v>6.5</v>
      </c>
      <c r="M233" s="6"/>
      <c r="O233" s="2"/>
      <c r="P233" s="2" t="s">
        <v>2057</v>
      </c>
      <c r="Q233" s="2" t="s">
        <v>2058</v>
      </c>
      <c r="R233" s="2" t="s">
        <v>12</v>
      </c>
      <c r="S233" s="2" t="s">
        <v>2059</v>
      </c>
      <c r="T233" s="2" t="s">
        <v>49</v>
      </c>
      <c r="U233" s="2"/>
    </row>
    <row r="234" spans="1:21" x14ac:dyDescent="0.25">
      <c r="A234" s="261">
        <v>46192</v>
      </c>
      <c r="B234" s="2" t="s">
        <v>330</v>
      </c>
      <c r="C234" s="2" t="s">
        <v>331</v>
      </c>
      <c r="D234" s="2" t="s">
        <v>12</v>
      </c>
      <c r="E234" s="2" t="s">
        <v>332</v>
      </c>
      <c r="F234" s="2" t="s">
        <v>90</v>
      </c>
      <c r="G234" s="2"/>
      <c r="H234" s="2"/>
      <c r="I234" s="2"/>
      <c r="J234" s="161" t="s">
        <v>2611</v>
      </c>
      <c r="K234" s="161">
        <v>1</v>
      </c>
      <c r="L234" s="4">
        <v>5</v>
      </c>
      <c r="M234" s="6"/>
      <c r="O234" s="2"/>
      <c r="P234" s="2" t="s">
        <v>530</v>
      </c>
      <c r="Q234" s="2" t="s">
        <v>531</v>
      </c>
      <c r="R234" s="2" t="s">
        <v>12</v>
      </c>
      <c r="S234" s="2" t="s">
        <v>532</v>
      </c>
      <c r="T234" s="2" t="s">
        <v>43</v>
      </c>
      <c r="U234" s="2"/>
    </row>
    <row r="235" spans="1:21" x14ac:dyDescent="0.25">
      <c r="A235" s="261">
        <v>46192</v>
      </c>
      <c r="B235" s="2" t="s">
        <v>477</v>
      </c>
      <c r="C235" s="2" t="s">
        <v>478</v>
      </c>
      <c r="D235" s="2" t="s">
        <v>12</v>
      </c>
      <c r="E235" s="2" t="s">
        <v>479</v>
      </c>
      <c r="F235" s="2" t="s">
        <v>90</v>
      </c>
      <c r="G235" s="2"/>
      <c r="H235" s="2"/>
      <c r="I235" s="2"/>
      <c r="J235" s="161" t="s">
        <v>2613</v>
      </c>
      <c r="K235" s="2">
        <v>2</v>
      </c>
      <c r="L235" s="4">
        <v>33</v>
      </c>
      <c r="M235" s="6"/>
      <c r="O235" s="2"/>
      <c r="P235" s="2" t="s">
        <v>533</v>
      </c>
      <c r="Q235" s="2" t="s">
        <v>534</v>
      </c>
      <c r="R235" s="2" t="s">
        <v>12</v>
      </c>
      <c r="S235" s="2" t="s">
        <v>535</v>
      </c>
      <c r="T235" s="2" t="s">
        <v>49</v>
      </c>
      <c r="U235" s="2"/>
    </row>
    <row r="236" spans="1:21" x14ac:dyDescent="0.25">
      <c r="A236" s="261">
        <v>46192</v>
      </c>
      <c r="B236" s="2" t="s">
        <v>225</v>
      </c>
      <c r="C236" s="2" t="s">
        <v>226</v>
      </c>
      <c r="D236" s="2" t="s">
        <v>13</v>
      </c>
      <c r="E236" s="2" t="s">
        <v>227</v>
      </c>
      <c r="F236" s="2" t="s">
        <v>43</v>
      </c>
      <c r="G236" s="2"/>
      <c r="H236" s="2"/>
      <c r="I236" s="2"/>
      <c r="J236" s="161" t="s">
        <v>2613</v>
      </c>
      <c r="K236" s="2">
        <v>2</v>
      </c>
      <c r="L236" s="4">
        <v>48</v>
      </c>
      <c r="M236" s="6"/>
      <c r="O236" s="2"/>
      <c r="P236" s="2" t="s">
        <v>1540</v>
      </c>
      <c r="Q236" s="2" t="s">
        <v>1541</v>
      </c>
      <c r="R236" s="2" t="s">
        <v>12</v>
      </c>
      <c r="S236" s="2" t="s">
        <v>1542</v>
      </c>
      <c r="T236" s="2" t="s">
        <v>1543</v>
      </c>
      <c r="U236" s="2"/>
    </row>
    <row r="237" spans="1:21" x14ac:dyDescent="0.25">
      <c r="A237" s="261">
        <v>46192</v>
      </c>
      <c r="B237" s="2" t="s">
        <v>1522</v>
      </c>
      <c r="C237" s="2" t="s">
        <v>1523</v>
      </c>
      <c r="D237" s="2" t="s">
        <v>12</v>
      </c>
      <c r="E237" s="2" t="s">
        <v>1524</v>
      </c>
      <c r="F237" s="2" t="s">
        <v>1525</v>
      </c>
      <c r="G237" s="2"/>
      <c r="H237" s="2"/>
      <c r="I237" s="2"/>
      <c r="J237" s="161" t="s">
        <v>2613</v>
      </c>
      <c r="K237" s="2">
        <v>2</v>
      </c>
      <c r="L237" s="4">
        <v>10</v>
      </c>
      <c r="M237" s="6"/>
      <c r="O237" s="2"/>
      <c r="P237" s="2" t="s">
        <v>536</v>
      </c>
      <c r="Q237" s="2" t="s">
        <v>537</v>
      </c>
      <c r="R237" s="2" t="s">
        <v>12</v>
      </c>
      <c r="S237" s="2" t="s">
        <v>538</v>
      </c>
      <c r="T237" s="2" t="s">
        <v>125</v>
      </c>
      <c r="U237" s="2"/>
    </row>
    <row r="238" spans="1:21" ht="15.75" thickBot="1" x14ac:dyDescent="0.3">
      <c r="A238" s="262">
        <v>46192</v>
      </c>
      <c r="B238" s="212" t="s">
        <v>386</v>
      </c>
      <c r="C238" s="212" t="s">
        <v>387</v>
      </c>
      <c r="D238" s="212" t="s">
        <v>12</v>
      </c>
      <c r="E238" s="212" t="s">
        <v>388</v>
      </c>
      <c r="F238" s="212" t="s">
        <v>301</v>
      </c>
      <c r="G238" s="212"/>
      <c r="H238" s="212"/>
      <c r="I238" s="212"/>
      <c r="J238" s="244" t="s">
        <v>2611</v>
      </c>
      <c r="K238" s="212">
        <v>1</v>
      </c>
      <c r="L238" s="109">
        <v>6.5</v>
      </c>
      <c r="M238" s="320">
        <f>SUM(L224:L238)</f>
        <v>255.5</v>
      </c>
      <c r="O238" s="2"/>
      <c r="P238" s="2" t="s">
        <v>539</v>
      </c>
      <c r="Q238" s="2" t="s">
        <v>540</v>
      </c>
      <c r="R238" s="2" t="s">
        <v>12</v>
      </c>
      <c r="S238" s="2" t="s">
        <v>541</v>
      </c>
      <c r="T238" s="2" t="s">
        <v>44</v>
      </c>
      <c r="U238" s="2"/>
    </row>
    <row r="239" spans="1:21" x14ac:dyDescent="0.25">
      <c r="A239" s="261">
        <v>46193</v>
      </c>
      <c r="B239" s="2" t="s">
        <v>759</v>
      </c>
      <c r="C239" s="2" t="s">
        <v>760</v>
      </c>
      <c r="D239" s="2" t="s">
        <v>12</v>
      </c>
      <c r="E239" s="2" t="s">
        <v>761</v>
      </c>
      <c r="F239" s="2" t="s">
        <v>43</v>
      </c>
      <c r="G239" s="161"/>
      <c r="H239" s="161"/>
      <c r="I239" s="161"/>
      <c r="J239" s="161" t="s">
        <v>2611</v>
      </c>
      <c r="K239" s="161">
        <v>1</v>
      </c>
      <c r="L239" s="97">
        <v>10.5</v>
      </c>
      <c r="M239" s="6"/>
      <c r="O239" s="2"/>
      <c r="P239" s="2" t="s">
        <v>542</v>
      </c>
      <c r="Q239" s="2" t="s">
        <v>543</v>
      </c>
      <c r="R239" s="2" t="s">
        <v>12</v>
      </c>
      <c r="S239" s="2" t="s">
        <v>544</v>
      </c>
      <c r="T239" s="2" t="s">
        <v>47</v>
      </c>
      <c r="U239" s="2"/>
    </row>
    <row r="240" spans="1:21" ht="15.75" thickBot="1" x14ac:dyDescent="0.3">
      <c r="A240" s="262">
        <v>46193</v>
      </c>
      <c r="B240" s="212" t="s">
        <v>1582</v>
      </c>
      <c r="C240" s="212" t="s">
        <v>1583</v>
      </c>
      <c r="D240" s="212" t="s">
        <v>12</v>
      </c>
      <c r="E240" s="212" t="s">
        <v>1584</v>
      </c>
      <c r="F240" s="212" t="s">
        <v>48</v>
      </c>
      <c r="G240" s="212"/>
      <c r="H240" s="212"/>
      <c r="I240" s="212"/>
      <c r="J240" s="244" t="s">
        <v>2684</v>
      </c>
      <c r="K240" s="212">
        <v>7</v>
      </c>
      <c r="L240" s="109">
        <v>37.5</v>
      </c>
      <c r="M240" s="320">
        <f>SUM(L239:L240)</f>
        <v>48</v>
      </c>
      <c r="O240" s="2"/>
      <c r="P240" s="2" t="s">
        <v>545</v>
      </c>
      <c r="Q240" s="2" t="s">
        <v>546</v>
      </c>
      <c r="R240" s="2" t="s">
        <v>12</v>
      </c>
      <c r="S240" s="2" t="s">
        <v>547</v>
      </c>
      <c r="T240" s="2" t="s">
        <v>46</v>
      </c>
      <c r="U240" s="2"/>
    </row>
    <row r="241" spans="1:21" x14ac:dyDescent="0.25">
      <c r="A241" s="261">
        <v>46195</v>
      </c>
      <c r="B241" s="2" t="s">
        <v>646</v>
      </c>
      <c r="C241" s="2" t="s">
        <v>647</v>
      </c>
      <c r="D241" s="2" t="s">
        <v>12</v>
      </c>
      <c r="E241" s="2" t="s">
        <v>648</v>
      </c>
      <c r="F241" s="2" t="s">
        <v>44</v>
      </c>
      <c r="G241" s="161"/>
      <c r="H241" s="161"/>
      <c r="I241" s="161"/>
      <c r="J241" s="161" t="s">
        <v>2611</v>
      </c>
      <c r="K241" s="161">
        <v>1</v>
      </c>
      <c r="L241" s="97">
        <v>30.5</v>
      </c>
      <c r="M241" s="6"/>
      <c r="O241" s="2"/>
      <c r="P241" s="2" t="s">
        <v>1544</v>
      </c>
      <c r="Q241" s="2" t="s">
        <v>1545</v>
      </c>
      <c r="R241" s="2" t="s">
        <v>12</v>
      </c>
      <c r="S241" s="2" t="s">
        <v>1546</v>
      </c>
      <c r="T241" s="2" t="s">
        <v>301</v>
      </c>
      <c r="U241" s="2"/>
    </row>
    <row r="242" spans="1:21" x14ac:dyDescent="0.25">
      <c r="A242" s="261">
        <v>46195</v>
      </c>
      <c r="B242" s="2" t="s">
        <v>1711</v>
      </c>
      <c r="C242" s="2" t="s">
        <v>1712</v>
      </c>
      <c r="D242" s="2" t="s">
        <v>12</v>
      </c>
      <c r="E242" s="2" t="s">
        <v>1713</v>
      </c>
      <c r="F242" s="2" t="s">
        <v>316</v>
      </c>
      <c r="G242" s="2"/>
      <c r="H242" s="2"/>
      <c r="I242" s="2"/>
      <c r="J242" s="161" t="s">
        <v>2610</v>
      </c>
      <c r="K242" s="2">
        <v>3</v>
      </c>
      <c r="L242" s="4">
        <v>15</v>
      </c>
      <c r="M242" s="6"/>
      <c r="O242" s="2"/>
      <c r="P242" s="2" t="s">
        <v>2060</v>
      </c>
      <c r="Q242" s="2" t="s">
        <v>2061</v>
      </c>
      <c r="R242" s="2" t="s">
        <v>12</v>
      </c>
      <c r="S242" s="2" t="s">
        <v>2062</v>
      </c>
      <c r="T242" s="2" t="s">
        <v>44</v>
      </c>
      <c r="U242" s="2"/>
    </row>
    <row r="243" spans="1:21" x14ac:dyDescent="0.25">
      <c r="A243" s="261">
        <v>46195</v>
      </c>
      <c r="B243" s="2" t="s">
        <v>756</v>
      </c>
      <c r="C243" s="2" t="s">
        <v>757</v>
      </c>
      <c r="D243" s="2" t="s">
        <v>12</v>
      </c>
      <c r="E243" s="2" t="s">
        <v>758</v>
      </c>
      <c r="F243" s="2" t="s">
        <v>125</v>
      </c>
      <c r="G243" s="2"/>
      <c r="H243" s="2"/>
      <c r="I243" s="2"/>
      <c r="J243" s="2" t="s">
        <v>2613</v>
      </c>
      <c r="K243" s="2">
        <v>2</v>
      </c>
      <c r="L243" s="4">
        <v>21</v>
      </c>
      <c r="M243" s="6"/>
      <c r="O243" s="2"/>
      <c r="P243" s="2" t="s">
        <v>122</v>
      </c>
      <c r="Q243" s="2" t="s">
        <v>123</v>
      </c>
      <c r="R243" s="2" t="s">
        <v>12</v>
      </c>
      <c r="S243" s="2" t="s">
        <v>124</v>
      </c>
      <c r="T243" s="2" t="s">
        <v>125</v>
      </c>
      <c r="U243" s="2"/>
    </row>
    <row r="244" spans="1:21" x14ac:dyDescent="0.25">
      <c r="A244" s="261">
        <v>46195</v>
      </c>
      <c r="B244" s="2" t="s">
        <v>219</v>
      </c>
      <c r="C244" s="2" t="s">
        <v>220</v>
      </c>
      <c r="D244" s="2" t="s">
        <v>13</v>
      </c>
      <c r="E244" s="2" t="s">
        <v>221</v>
      </c>
      <c r="F244" s="2" t="s">
        <v>43</v>
      </c>
      <c r="G244" s="2"/>
      <c r="H244" s="2"/>
      <c r="I244" s="2"/>
      <c r="J244" s="2" t="s">
        <v>2613</v>
      </c>
      <c r="K244" s="2">
        <v>2</v>
      </c>
      <c r="L244" s="4">
        <v>41</v>
      </c>
      <c r="M244" s="6"/>
      <c r="O244" s="2"/>
      <c r="P244" s="2" t="s">
        <v>548</v>
      </c>
      <c r="Q244" s="2" t="s">
        <v>549</v>
      </c>
      <c r="R244" s="2" t="s">
        <v>12</v>
      </c>
      <c r="S244" s="2" t="s">
        <v>550</v>
      </c>
      <c r="T244" s="2" t="s">
        <v>316</v>
      </c>
      <c r="U244" s="2"/>
    </row>
    <row r="245" spans="1:21" x14ac:dyDescent="0.25">
      <c r="A245" s="261">
        <v>46195</v>
      </c>
      <c r="B245" s="2" t="s">
        <v>1286</v>
      </c>
      <c r="C245" s="2" t="s">
        <v>1287</v>
      </c>
      <c r="D245" s="2" t="s">
        <v>0</v>
      </c>
      <c r="E245" s="2" t="s">
        <v>1288</v>
      </c>
      <c r="F245" s="2" t="s">
        <v>83</v>
      </c>
      <c r="G245" s="2"/>
      <c r="H245" s="2"/>
      <c r="I245" s="2"/>
      <c r="J245" s="2" t="s">
        <v>2613</v>
      </c>
      <c r="K245" s="2">
        <v>2</v>
      </c>
      <c r="L245" s="4">
        <v>64</v>
      </c>
      <c r="M245" s="6"/>
      <c r="O245" s="2"/>
      <c r="P245" s="2" t="s">
        <v>1547</v>
      </c>
      <c r="Q245" s="2" t="s">
        <v>1548</v>
      </c>
      <c r="R245" s="2" t="s">
        <v>12</v>
      </c>
      <c r="S245" s="2" t="s">
        <v>1549</v>
      </c>
      <c r="T245" s="2" t="s">
        <v>44</v>
      </c>
      <c r="U245" s="2"/>
    </row>
    <row r="246" spans="1:21" x14ac:dyDescent="0.25">
      <c r="A246" s="261">
        <v>46195</v>
      </c>
      <c r="B246" s="2" t="s">
        <v>1254</v>
      </c>
      <c r="C246" s="2" t="s">
        <v>1255</v>
      </c>
      <c r="D246" s="2" t="s">
        <v>0</v>
      </c>
      <c r="E246" s="2" t="s">
        <v>1256</v>
      </c>
      <c r="F246" s="2" t="s">
        <v>995</v>
      </c>
      <c r="G246" s="2"/>
      <c r="H246" s="2"/>
      <c r="I246" s="2"/>
      <c r="J246" s="2" t="s">
        <v>2611</v>
      </c>
      <c r="K246" s="2">
        <v>1</v>
      </c>
      <c r="L246" s="4">
        <v>22.5</v>
      </c>
      <c r="M246" s="6"/>
      <c r="O246" s="2"/>
      <c r="P246" s="2" t="s">
        <v>111</v>
      </c>
      <c r="Q246" s="2" t="s">
        <v>112</v>
      </c>
      <c r="R246" s="2" t="s">
        <v>12</v>
      </c>
      <c r="S246" s="2" t="s">
        <v>110</v>
      </c>
      <c r="T246" s="2" t="s">
        <v>113</v>
      </c>
      <c r="U246" s="2"/>
    </row>
    <row r="247" spans="1:21" x14ac:dyDescent="0.25">
      <c r="A247" s="261">
        <v>46195</v>
      </c>
      <c r="B247" s="2" t="s">
        <v>1969</v>
      </c>
      <c r="C247" s="2" t="s">
        <v>1970</v>
      </c>
      <c r="D247" s="2" t="s">
        <v>0</v>
      </c>
      <c r="E247" s="2" t="s">
        <v>1971</v>
      </c>
      <c r="F247" s="2" t="s">
        <v>1972</v>
      </c>
      <c r="G247" s="2"/>
      <c r="H247" s="2"/>
      <c r="I247" s="2"/>
      <c r="J247" s="2" t="s">
        <v>2611</v>
      </c>
      <c r="K247" s="2">
        <v>1</v>
      </c>
      <c r="L247" s="4">
        <v>5</v>
      </c>
      <c r="M247" s="6"/>
      <c r="O247" s="2"/>
      <c r="P247" s="2" t="s">
        <v>551</v>
      </c>
      <c r="Q247" s="2" t="s">
        <v>552</v>
      </c>
      <c r="R247" s="2" t="s">
        <v>12</v>
      </c>
      <c r="S247" s="2" t="s">
        <v>553</v>
      </c>
      <c r="T247" s="2" t="s">
        <v>44</v>
      </c>
      <c r="U247" s="2"/>
    </row>
    <row r="248" spans="1:21" x14ac:dyDescent="0.25">
      <c r="A248" s="261">
        <v>46195</v>
      </c>
      <c r="B248" s="2" t="s">
        <v>430</v>
      </c>
      <c r="C248" s="2" t="s">
        <v>431</v>
      </c>
      <c r="D248" s="2" t="s">
        <v>12</v>
      </c>
      <c r="E248" s="2" t="s">
        <v>432</v>
      </c>
      <c r="F248" s="2" t="s">
        <v>125</v>
      </c>
      <c r="G248" s="2"/>
      <c r="H248" s="2"/>
      <c r="I248" s="2"/>
      <c r="J248" s="2" t="s">
        <v>2611</v>
      </c>
      <c r="K248" s="2">
        <v>1</v>
      </c>
      <c r="L248" s="4">
        <v>5</v>
      </c>
      <c r="M248" s="6"/>
      <c r="O248" s="2"/>
      <c r="P248" s="2" t="s">
        <v>554</v>
      </c>
      <c r="Q248" s="2" t="s">
        <v>555</v>
      </c>
      <c r="R248" s="2" t="s">
        <v>12</v>
      </c>
      <c r="S248" s="2" t="s">
        <v>556</v>
      </c>
      <c r="T248" s="2" t="s">
        <v>557</v>
      </c>
      <c r="U248" s="2"/>
    </row>
    <row r="249" spans="1:21" ht="15.75" thickBot="1" x14ac:dyDescent="0.3">
      <c r="A249" s="262">
        <v>46195</v>
      </c>
      <c r="B249" s="212" t="s">
        <v>421</v>
      </c>
      <c r="C249" s="212" t="s">
        <v>422</v>
      </c>
      <c r="D249" s="212" t="s">
        <v>12</v>
      </c>
      <c r="E249" s="212" t="s">
        <v>423</v>
      </c>
      <c r="F249" s="212" t="s">
        <v>43</v>
      </c>
      <c r="G249" s="212"/>
      <c r="H249" s="212"/>
      <c r="I249" s="212"/>
      <c r="J249" s="212" t="s">
        <v>2686</v>
      </c>
      <c r="K249" s="212">
        <v>6</v>
      </c>
      <c r="L249" s="109">
        <v>174</v>
      </c>
      <c r="M249" s="338">
        <f>SUM(L241:L249)</f>
        <v>378</v>
      </c>
      <c r="O249" s="2"/>
      <c r="P249" s="2" t="s">
        <v>2401</v>
      </c>
      <c r="Q249" s="2" t="s">
        <v>2402</v>
      </c>
      <c r="R249" s="2" t="s">
        <v>12</v>
      </c>
      <c r="S249" s="2" t="s">
        <v>2408</v>
      </c>
      <c r="T249" s="2" t="s">
        <v>43</v>
      </c>
      <c r="U249" s="2"/>
    </row>
    <row r="250" spans="1:21" x14ac:dyDescent="0.25">
      <c r="A250" s="261">
        <v>46196</v>
      </c>
      <c r="B250" s="2" t="s">
        <v>2339</v>
      </c>
      <c r="C250" s="2" t="s">
        <v>2340</v>
      </c>
      <c r="D250" s="2" t="s">
        <v>0</v>
      </c>
      <c r="E250" s="2" t="s">
        <v>2346</v>
      </c>
      <c r="F250" s="2" t="s">
        <v>1094</v>
      </c>
      <c r="G250" s="161"/>
      <c r="H250" s="161"/>
      <c r="I250" s="161"/>
      <c r="J250" s="161" t="s">
        <v>2613</v>
      </c>
      <c r="K250" s="161">
        <v>2</v>
      </c>
      <c r="L250" s="97">
        <v>11.5</v>
      </c>
      <c r="M250" s="6"/>
      <c r="O250" s="2"/>
      <c r="P250" s="2" t="s">
        <v>1550</v>
      </c>
      <c r="Q250" s="2" t="s">
        <v>1551</v>
      </c>
      <c r="R250" s="2" t="s">
        <v>12</v>
      </c>
      <c r="S250" s="2" t="s">
        <v>1552</v>
      </c>
      <c r="T250" s="2" t="s">
        <v>125</v>
      </c>
      <c r="U250" s="2"/>
    </row>
    <row r="251" spans="1:21" x14ac:dyDescent="0.25">
      <c r="A251" s="261">
        <v>46196</v>
      </c>
      <c r="B251" s="2" t="s">
        <v>2182</v>
      </c>
      <c r="C251" s="2" t="s">
        <v>2183</v>
      </c>
      <c r="D251" s="2" t="s">
        <v>0</v>
      </c>
      <c r="E251" s="2" t="s">
        <v>2184</v>
      </c>
      <c r="F251" s="2" t="s">
        <v>34</v>
      </c>
      <c r="G251" s="2"/>
      <c r="H251" s="2"/>
      <c r="I251" s="2"/>
      <c r="J251" s="2" t="s">
        <v>2613</v>
      </c>
      <c r="K251" s="2">
        <v>2</v>
      </c>
      <c r="L251" s="4">
        <v>10</v>
      </c>
      <c r="M251" s="6"/>
      <c r="O251" s="2"/>
      <c r="P251" s="2" t="s">
        <v>1553</v>
      </c>
      <c r="Q251" s="2" t="s">
        <v>1554</v>
      </c>
      <c r="R251" s="2" t="s">
        <v>12</v>
      </c>
      <c r="S251" s="2" t="s">
        <v>1552</v>
      </c>
      <c r="T251" s="2" t="s">
        <v>125</v>
      </c>
      <c r="U251" s="2"/>
    </row>
    <row r="252" spans="1:21" x14ac:dyDescent="0.25">
      <c r="A252" s="261">
        <v>46196</v>
      </c>
      <c r="B252" s="2" t="s">
        <v>2185</v>
      </c>
      <c r="C252" s="2" t="s">
        <v>2186</v>
      </c>
      <c r="D252" s="2" t="s">
        <v>0</v>
      </c>
      <c r="E252" s="2" t="s">
        <v>2184</v>
      </c>
      <c r="F252" s="2" t="s">
        <v>879</v>
      </c>
      <c r="G252" s="2"/>
      <c r="H252" s="2"/>
      <c r="I252" s="2"/>
      <c r="J252" s="2" t="s">
        <v>2676</v>
      </c>
      <c r="K252" s="2">
        <v>5</v>
      </c>
      <c r="L252" s="4">
        <v>45.5</v>
      </c>
      <c r="M252" s="6"/>
      <c r="O252" s="2"/>
      <c r="P252" s="2" t="s">
        <v>1555</v>
      </c>
      <c r="Q252" s="2" t="s">
        <v>1556</v>
      </c>
      <c r="R252" s="2" t="s">
        <v>12</v>
      </c>
      <c r="S252" s="2" t="s">
        <v>1557</v>
      </c>
      <c r="T252" s="2" t="s">
        <v>1558</v>
      </c>
      <c r="U252" s="2"/>
    </row>
    <row r="253" spans="1:21" x14ac:dyDescent="0.25">
      <c r="A253" s="261">
        <v>46196</v>
      </c>
      <c r="B253" s="2" t="s">
        <v>1629</v>
      </c>
      <c r="C253" s="2" t="s">
        <v>1630</v>
      </c>
      <c r="D253" s="2" t="s">
        <v>12</v>
      </c>
      <c r="E253" s="2" t="s">
        <v>1631</v>
      </c>
      <c r="F253" s="2" t="s">
        <v>90</v>
      </c>
      <c r="G253" s="2"/>
      <c r="H253" s="2"/>
      <c r="I253" s="2"/>
      <c r="J253" s="2" t="s">
        <v>2610</v>
      </c>
      <c r="K253" s="2">
        <v>3</v>
      </c>
      <c r="L253" s="4">
        <v>15</v>
      </c>
      <c r="M253" s="6"/>
      <c r="O253" s="2"/>
      <c r="P253" s="2" t="s">
        <v>2063</v>
      </c>
      <c r="Q253" s="2" t="s">
        <v>2064</v>
      </c>
      <c r="R253" s="2" t="s">
        <v>12</v>
      </c>
      <c r="S253" s="2" t="s">
        <v>2065</v>
      </c>
      <c r="T253" s="2" t="s">
        <v>2066</v>
      </c>
      <c r="U253" s="2"/>
    </row>
    <row r="254" spans="1:21" x14ac:dyDescent="0.25">
      <c r="A254" s="261">
        <v>46196</v>
      </c>
      <c r="B254" s="2" t="s">
        <v>2294</v>
      </c>
      <c r="C254" s="2" t="s">
        <v>2295</v>
      </c>
      <c r="D254" s="2" t="s">
        <v>0</v>
      </c>
      <c r="E254" s="2" t="s">
        <v>2296</v>
      </c>
      <c r="F254" s="2" t="s">
        <v>2297</v>
      </c>
      <c r="G254" s="2"/>
      <c r="H254" s="2"/>
      <c r="I254" s="2"/>
      <c r="J254" s="2" t="s">
        <v>2613</v>
      </c>
      <c r="K254" s="2">
        <v>2</v>
      </c>
      <c r="L254" s="4">
        <v>57</v>
      </c>
      <c r="M254" s="6"/>
      <c r="O254" s="2"/>
      <c r="P254" s="2" t="s">
        <v>558</v>
      </c>
      <c r="Q254" s="2" t="s">
        <v>559</v>
      </c>
      <c r="R254" s="2" t="s">
        <v>12</v>
      </c>
      <c r="S254" s="2" t="s">
        <v>560</v>
      </c>
      <c r="T254" s="2" t="s">
        <v>125</v>
      </c>
      <c r="U254" s="2"/>
    </row>
    <row r="255" spans="1:21" x14ac:dyDescent="0.25">
      <c r="A255" s="261">
        <v>46196</v>
      </c>
      <c r="B255" s="2" t="s">
        <v>1124</v>
      </c>
      <c r="C255" s="2" t="s">
        <v>1125</v>
      </c>
      <c r="D255" s="2" t="s">
        <v>0</v>
      </c>
      <c r="E255" s="2" t="s">
        <v>1126</v>
      </c>
      <c r="F255" s="2" t="s">
        <v>34</v>
      </c>
      <c r="G255" s="2"/>
      <c r="H255" s="2"/>
      <c r="I255" s="2"/>
      <c r="J255" s="2" t="s">
        <v>2611</v>
      </c>
      <c r="K255" s="2">
        <v>1</v>
      </c>
      <c r="L255" s="4">
        <v>41.5</v>
      </c>
      <c r="M255" s="6"/>
      <c r="O255" s="2"/>
      <c r="P255" s="2" t="s">
        <v>561</v>
      </c>
      <c r="Q255" s="2" t="s">
        <v>562</v>
      </c>
      <c r="R255" s="2" t="s">
        <v>12</v>
      </c>
      <c r="S255" s="2" t="s">
        <v>563</v>
      </c>
      <c r="T255" s="2" t="s">
        <v>315</v>
      </c>
      <c r="U255" s="2"/>
    </row>
    <row r="256" spans="1:21" x14ac:dyDescent="0.25">
      <c r="A256" s="261">
        <v>46196</v>
      </c>
      <c r="B256" s="2" t="s">
        <v>1463</v>
      </c>
      <c r="C256" s="2" t="s">
        <v>1464</v>
      </c>
      <c r="D256" s="2" t="s">
        <v>12</v>
      </c>
      <c r="E256" s="2" t="s">
        <v>1465</v>
      </c>
      <c r="F256" s="2" t="s">
        <v>44</v>
      </c>
      <c r="G256" s="2"/>
      <c r="H256" s="2"/>
      <c r="I256" s="2"/>
      <c r="J256" s="2" t="s">
        <v>2611</v>
      </c>
      <c r="K256" s="2">
        <v>1</v>
      </c>
      <c r="L256" s="4">
        <v>12.5</v>
      </c>
      <c r="M256" s="6"/>
      <c r="O256" s="2"/>
      <c r="P256" s="2" t="s">
        <v>1559</v>
      </c>
      <c r="Q256" s="2" t="s">
        <v>1560</v>
      </c>
      <c r="R256" s="2" t="s">
        <v>12</v>
      </c>
      <c r="S256" s="2" t="s">
        <v>1561</v>
      </c>
      <c r="T256" s="2" t="s">
        <v>1462</v>
      </c>
      <c r="U256" s="2"/>
    </row>
    <row r="257" spans="1:21" x14ac:dyDescent="0.25">
      <c r="A257" s="261">
        <v>46196</v>
      </c>
      <c r="B257" s="2" t="s">
        <v>1910</v>
      </c>
      <c r="C257" s="2" t="s">
        <v>1911</v>
      </c>
      <c r="D257" s="2" t="s">
        <v>0</v>
      </c>
      <c r="E257" s="2" t="s">
        <v>1912</v>
      </c>
      <c r="F257" s="2" t="s">
        <v>39</v>
      </c>
      <c r="G257" s="2"/>
      <c r="H257" s="2"/>
      <c r="I257" s="2"/>
      <c r="J257" s="2" t="s">
        <v>2684</v>
      </c>
      <c r="K257" s="2">
        <v>7</v>
      </c>
      <c r="L257" s="4">
        <v>102.5</v>
      </c>
      <c r="M257" s="6"/>
      <c r="O257" s="2"/>
      <c r="P257" s="2" t="s">
        <v>1562</v>
      </c>
      <c r="Q257" s="2" t="s">
        <v>1563</v>
      </c>
      <c r="R257" s="2" t="s">
        <v>12</v>
      </c>
      <c r="S257" s="2" t="s">
        <v>1564</v>
      </c>
      <c r="T257" s="2" t="s">
        <v>191</v>
      </c>
      <c r="U257" s="2"/>
    </row>
    <row r="258" spans="1:21" x14ac:dyDescent="0.25">
      <c r="A258" s="261">
        <v>46196</v>
      </c>
      <c r="B258" s="2" t="s">
        <v>819</v>
      </c>
      <c r="C258" s="2" t="s">
        <v>820</v>
      </c>
      <c r="D258" s="2" t="s">
        <v>14</v>
      </c>
      <c r="E258" s="2" t="s">
        <v>821</v>
      </c>
      <c r="F258" s="2" t="s">
        <v>32</v>
      </c>
      <c r="G258" s="288"/>
      <c r="H258" s="288"/>
      <c r="I258" s="288"/>
      <c r="J258" s="288" t="s">
        <v>2611</v>
      </c>
      <c r="K258" s="288">
        <v>1</v>
      </c>
      <c r="L258" s="289">
        <v>10.5</v>
      </c>
      <c r="M258" s="6"/>
      <c r="O258" s="2"/>
      <c r="P258" s="2" t="s">
        <v>564</v>
      </c>
      <c r="Q258" s="2" t="s">
        <v>565</v>
      </c>
      <c r="R258" s="2" t="s">
        <v>12</v>
      </c>
      <c r="S258" s="2" t="s">
        <v>566</v>
      </c>
      <c r="T258" s="2" t="s">
        <v>567</v>
      </c>
      <c r="U258" s="2"/>
    </row>
    <row r="259" spans="1:21" x14ac:dyDescent="0.25">
      <c r="A259" s="261">
        <v>46196</v>
      </c>
      <c r="B259" s="2" t="s">
        <v>1863</v>
      </c>
      <c r="C259" s="2" t="s">
        <v>1864</v>
      </c>
      <c r="D259" s="2" t="s">
        <v>0</v>
      </c>
      <c r="E259" s="2" t="s">
        <v>1865</v>
      </c>
      <c r="F259" s="2" t="s">
        <v>33</v>
      </c>
      <c r="G259" s="161"/>
      <c r="H259" s="161"/>
      <c r="I259" s="161"/>
      <c r="J259" s="161" t="s">
        <v>2611</v>
      </c>
      <c r="K259" s="161">
        <v>1</v>
      </c>
      <c r="L259" s="97">
        <v>7.5</v>
      </c>
      <c r="M259" s="6"/>
      <c r="O259" s="2"/>
      <c r="P259" s="2" t="s">
        <v>568</v>
      </c>
      <c r="Q259" s="2" t="s">
        <v>569</v>
      </c>
      <c r="R259" s="2" t="s">
        <v>12</v>
      </c>
      <c r="S259" s="2" t="s">
        <v>570</v>
      </c>
      <c r="T259" s="2" t="s">
        <v>48</v>
      </c>
      <c r="U259" s="2"/>
    </row>
    <row r="260" spans="1:21" x14ac:dyDescent="0.25">
      <c r="A260" s="261">
        <v>46196</v>
      </c>
      <c r="B260" s="2" t="s">
        <v>1226</v>
      </c>
      <c r="C260" s="2" t="s">
        <v>1227</v>
      </c>
      <c r="D260" s="2" t="s">
        <v>0</v>
      </c>
      <c r="E260" s="2" t="s">
        <v>1228</v>
      </c>
      <c r="F260" s="2" t="s">
        <v>83</v>
      </c>
      <c r="G260" s="2"/>
      <c r="H260" s="2"/>
      <c r="I260" s="2"/>
      <c r="J260" s="161" t="s">
        <v>2613</v>
      </c>
      <c r="K260" s="2">
        <v>2</v>
      </c>
      <c r="L260" s="4">
        <v>25</v>
      </c>
      <c r="M260" s="6"/>
      <c r="O260" s="2"/>
      <c r="P260" s="2" t="s">
        <v>1565</v>
      </c>
      <c r="Q260" s="2" t="s">
        <v>1566</v>
      </c>
      <c r="R260" s="2" t="s">
        <v>12</v>
      </c>
      <c r="S260" s="2" t="s">
        <v>1567</v>
      </c>
      <c r="T260" s="2" t="s">
        <v>191</v>
      </c>
      <c r="U260" s="2"/>
    </row>
    <row r="261" spans="1:21" x14ac:dyDescent="0.25">
      <c r="A261" s="261">
        <v>46196</v>
      </c>
      <c r="B261" s="2" t="s">
        <v>1220</v>
      </c>
      <c r="C261" s="2" t="s">
        <v>1221</v>
      </c>
      <c r="D261" s="2" t="s">
        <v>0</v>
      </c>
      <c r="E261" s="2" t="s">
        <v>1222</v>
      </c>
      <c r="F261" s="2" t="s">
        <v>83</v>
      </c>
      <c r="G261" s="2"/>
      <c r="H261" s="2"/>
      <c r="I261" s="2"/>
      <c r="J261" s="161" t="s">
        <v>2613</v>
      </c>
      <c r="K261" s="2">
        <v>2</v>
      </c>
      <c r="L261" s="4">
        <v>23</v>
      </c>
      <c r="M261" s="6"/>
      <c r="O261" s="2"/>
      <c r="P261" s="2" t="s">
        <v>2067</v>
      </c>
      <c r="Q261" s="2" t="s">
        <v>2068</v>
      </c>
      <c r="R261" s="2" t="s">
        <v>12</v>
      </c>
      <c r="S261" s="2" t="s">
        <v>2069</v>
      </c>
      <c r="T261" s="2" t="s">
        <v>43</v>
      </c>
      <c r="U261" s="2"/>
    </row>
    <row r="262" spans="1:21" x14ac:dyDescent="0.25">
      <c r="A262" s="181">
        <v>46196</v>
      </c>
      <c r="B262" s="2" t="s">
        <v>1783</v>
      </c>
      <c r="C262" s="2" t="s">
        <v>1784</v>
      </c>
      <c r="D262" s="2" t="s">
        <v>0</v>
      </c>
      <c r="E262" s="2" t="s">
        <v>1785</v>
      </c>
      <c r="F262" s="2" t="s">
        <v>34</v>
      </c>
      <c r="G262" s="2"/>
      <c r="H262" s="2"/>
      <c r="I262" s="2"/>
      <c r="J262" s="161" t="s">
        <v>2554</v>
      </c>
      <c r="K262" s="2">
        <v>1</v>
      </c>
      <c r="L262" s="4">
        <v>16.5</v>
      </c>
      <c r="M262" s="6"/>
      <c r="O262" s="2"/>
      <c r="P262" s="2" t="s">
        <v>2070</v>
      </c>
      <c r="Q262" s="2" t="s">
        <v>2071</v>
      </c>
      <c r="R262" s="2" t="s">
        <v>12</v>
      </c>
      <c r="S262" s="2" t="s">
        <v>2072</v>
      </c>
      <c r="T262" s="2" t="s">
        <v>46</v>
      </c>
      <c r="U262" s="2"/>
    </row>
    <row r="263" spans="1:21" x14ac:dyDescent="0.25">
      <c r="A263" s="181">
        <v>46196</v>
      </c>
      <c r="B263" s="2" t="s">
        <v>1708</v>
      </c>
      <c r="C263" s="2" t="s">
        <v>1709</v>
      </c>
      <c r="D263" s="2" t="s">
        <v>12</v>
      </c>
      <c r="E263" s="2" t="s">
        <v>1710</v>
      </c>
      <c r="F263" s="2" t="s">
        <v>1692</v>
      </c>
      <c r="G263" s="2"/>
      <c r="H263" s="2"/>
      <c r="I263" s="2"/>
      <c r="J263" s="161" t="s">
        <v>2686</v>
      </c>
      <c r="K263" s="2">
        <v>6</v>
      </c>
      <c r="L263" s="4">
        <v>96</v>
      </c>
      <c r="M263" s="6"/>
      <c r="O263" s="2"/>
      <c r="P263" s="2" t="s">
        <v>2073</v>
      </c>
      <c r="Q263" s="2" t="s">
        <v>2074</v>
      </c>
      <c r="R263" s="2" t="s">
        <v>12</v>
      </c>
      <c r="S263" s="2" t="s">
        <v>2075</v>
      </c>
      <c r="T263" s="2" t="s">
        <v>113</v>
      </c>
      <c r="U263" s="2"/>
    </row>
    <row r="264" spans="1:21" x14ac:dyDescent="0.25">
      <c r="A264" s="181">
        <v>46196</v>
      </c>
      <c r="B264" s="2" t="s">
        <v>273</v>
      </c>
      <c r="C264" s="2" t="s">
        <v>274</v>
      </c>
      <c r="D264" s="2" t="s">
        <v>13</v>
      </c>
      <c r="E264" s="2" t="s">
        <v>275</v>
      </c>
      <c r="F264" s="2" t="s">
        <v>43</v>
      </c>
      <c r="G264" s="2"/>
      <c r="H264" s="2"/>
      <c r="I264" s="2"/>
      <c r="J264" s="161" t="s">
        <v>2613</v>
      </c>
      <c r="K264" s="2">
        <v>2</v>
      </c>
      <c r="L264" s="4">
        <v>22</v>
      </c>
      <c r="M264" s="6"/>
      <c r="O264" s="2"/>
      <c r="P264" s="2" t="s">
        <v>1568</v>
      </c>
      <c r="Q264" s="2" t="s">
        <v>1569</v>
      </c>
      <c r="R264" s="2" t="s">
        <v>12</v>
      </c>
      <c r="S264" s="2" t="s">
        <v>1570</v>
      </c>
      <c r="T264" s="2" t="s">
        <v>125</v>
      </c>
      <c r="U264" s="2"/>
    </row>
    <row r="265" spans="1:21" x14ac:dyDescent="0.25">
      <c r="A265" s="181">
        <v>46196</v>
      </c>
      <c r="B265" s="2" t="s">
        <v>282</v>
      </c>
      <c r="C265" s="2" t="s">
        <v>283</v>
      </c>
      <c r="D265" s="2" t="s">
        <v>13</v>
      </c>
      <c r="E265" s="2" t="s">
        <v>284</v>
      </c>
      <c r="F265" s="2" t="s">
        <v>43</v>
      </c>
      <c r="G265" s="2"/>
      <c r="H265" s="2"/>
      <c r="I265" s="2"/>
      <c r="J265" s="161" t="s">
        <v>2676</v>
      </c>
      <c r="K265" s="2">
        <v>5</v>
      </c>
      <c r="L265" s="4">
        <v>25</v>
      </c>
      <c r="M265" s="6"/>
      <c r="O265" s="2"/>
      <c r="P265" s="2" t="s">
        <v>1571</v>
      </c>
      <c r="Q265" s="2" t="s">
        <v>1572</v>
      </c>
      <c r="R265" s="2" t="s">
        <v>12</v>
      </c>
      <c r="S265" s="2" t="s">
        <v>1573</v>
      </c>
      <c r="T265" s="2" t="s">
        <v>329</v>
      </c>
      <c r="U265" s="2"/>
    </row>
    <row r="266" spans="1:21" x14ac:dyDescent="0.25">
      <c r="A266" s="181">
        <v>46196</v>
      </c>
      <c r="B266" s="2" t="s">
        <v>530</v>
      </c>
      <c r="C266" s="2" t="s">
        <v>531</v>
      </c>
      <c r="D266" s="2" t="s">
        <v>12</v>
      </c>
      <c r="E266" s="2" t="s">
        <v>532</v>
      </c>
      <c r="F266" s="2" t="s">
        <v>43</v>
      </c>
      <c r="G266" s="2"/>
      <c r="H266" s="2"/>
      <c r="I266" s="2"/>
      <c r="J266" s="2" t="s">
        <v>2613</v>
      </c>
      <c r="K266" s="2">
        <v>2</v>
      </c>
      <c r="L266" s="4">
        <v>52</v>
      </c>
      <c r="M266" s="6"/>
      <c r="O266" s="2"/>
      <c r="P266" s="2" t="s">
        <v>1574</v>
      </c>
      <c r="Q266" s="2" t="s">
        <v>1575</v>
      </c>
      <c r="R266" s="2" t="s">
        <v>12</v>
      </c>
      <c r="S266" s="2" t="s">
        <v>1573</v>
      </c>
      <c r="T266" s="2" t="s">
        <v>44</v>
      </c>
      <c r="U266" s="2"/>
    </row>
    <row r="267" spans="1:21" x14ac:dyDescent="0.25">
      <c r="A267" s="181">
        <v>46196</v>
      </c>
      <c r="B267" s="288" t="s">
        <v>2337</v>
      </c>
      <c r="C267" s="288" t="s">
        <v>2338</v>
      </c>
      <c r="D267" s="288" t="s">
        <v>0</v>
      </c>
      <c r="E267" s="288" t="s">
        <v>2345</v>
      </c>
      <c r="F267" s="288" t="s">
        <v>977</v>
      </c>
      <c r="G267" s="2"/>
      <c r="H267" s="2"/>
      <c r="I267" s="2"/>
      <c r="J267" s="2" t="s">
        <v>2611</v>
      </c>
      <c r="K267" s="2">
        <v>1</v>
      </c>
      <c r="L267" s="4">
        <v>10.5</v>
      </c>
      <c r="M267" s="6"/>
      <c r="O267" s="2"/>
      <c r="P267" s="2" t="s">
        <v>571</v>
      </c>
      <c r="Q267" s="2" t="s">
        <v>572</v>
      </c>
      <c r="R267" s="2" t="s">
        <v>12</v>
      </c>
      <c r="S267" s="2" t="s">
        <v>573</v>
      </c>
      <c r="T267" s="2" t="s">
        <v>46</v>
      </c>
      <c r="U267" s="2"/>
    </row>
    <row r="268" spans="1:21" x14ac:dyDescent="0.25">
      <c r="A268" s="181">
        <v>46196</v>
      </c>
      <c r="B268" s="2" t="s">
        <v>2114</v>
      </c>
      <c r="C268" s="2" t="s">
        <v>2115</v>
      </c>
      <c r="D268" s="2" t="s">
        <v>12</v>
      </c>
      <c r="E268" s="2" t="s">
        <v>1379</v>
      </c>
      <c r="F268" s="2" t="s">
        <v>301</v>
      </c>
      <c r="G268" s="2"/>
      <c r="H268" s="2"/>
      <c r="I268" s="2"/>
      <c r="J268" s="2" t="s">
        <v>2609</v>
      </c>
      <c r="K268" s="2">
        <v>4</v>
      </c>
      <c r="L268" s="4">
        <v>37.5</v>
      </c>
      <c r="M268" s="6"/>
      <c r="O268" s="2"/>
      <c r="P268" s="2" t="s">
        <v>2076</v>
      </c>
      <c r="Q268" s="2" t="s">
        <v>2077</v>
      </c>
      <c r="R268" s="2" t="s">
        <v>12</v>
      </c>
      <c r="S268" s="2" t="s">
        <v>2078</v>
      </c>
      <c r="T268" s="2" t="s">
        <v>44</v>
      </c>
      <c r="U268" s="2"/>
    </row>
    <row r="269" spans="1:21" x14ac:dyDescent="0.25">
      <c r="A269" s="181">
        <v>46196</v>
      </c>
      <c r="B269" s="2" t="s">
        <v>1939</v>
      </c>
      <c r="C269" s="2" t="s">
        <v>1940</v>
      </c>
      <c r="D269" s="2" t="s">
        <v>0</v>
      </c>
      <c r="E269" s="2" t="s">
        <v>1941</v>
      </c>
      <c r="F269" s="2" t="s">
        <v>34</v>
      </c>
      <c r="G269" s="2"/>
      <c r="H269" s="2"/>
      <c r="I269" s="2"/>
      <c r="J269" s="2" t="s">
        <v>2613</v>
      </c>
      <c r="K269" s="2">
        <v>2</v>
      </c>
      <c r="L269" s="4">
        <v>36</v>
      </c>
      <c r="M269" s="6"/>
      <c r="O269" s="2"/>
      <c r="P269" s="2" t="s">
        <v>574</v>
      </c>
      <c r="Q269" s="2" t="s">
        <v>575</v>
      </c>
      <c r="R269" s="2" t="s">
        <v>12</v>
      </c>
      <c r="S269" s="2" t="s">
        <v>576</v>
      </c>
      <c r="T269" s="2" t="s">
        <v>46</v>
      </c>
      <c r="U269" s="2"/>
    </row>
    <row r="270" spans="1:21" x14ac:dyDescent="0.25">
      <c r="A270" s="181">
        <v>46196</v>
      </c>
      <c r="B270" s="248" t="s">
        <v>1377</v>
      </c>
      <c r="C270" s="248" t="s">
        <v>1378</v>
      </c>
      <c r="D270" s="2" t="s">
        <v>17</v>
      </c>
      <c r="E270" s="248" t="s">
        <v>1379</v>
      </c>
      <c r="F270" s="248" t="s">
        <v>170</v>
      </c>
      <c r="G270" s="2"/>
      <c r="H270" s="2"/>
      <c r="I270" s="2"/>
      <c r="J270" s="2" t="s">
        <v>2613</v>
      </c>
      <c r="K270" s="2">
        <v>2</v>
      </c>
      <c r="L270" s="4">
        <v>12.5</v>
      </c>
      <c r="M270" s="6"/>
      <c r="O270" s="2"/>
      <c r="P270" s="2" t="s">
        <v>1576</v>
      </c>
      <c r="Q270" s="2" t="s">
        <v>1577</v>
      </c>
      <c r="R270" s="2" t="s">
        <v>12</v>
      </c>
      <c r="S270" s="2" t="s">
        <v>1578</v>
      </c>
      <c r="T270" s="2" t="s">
        <v>43</v>
      </c>
      <c r="U270" s="2"/>
    </row>
    <row r="271" spans="1:21" x14ac:dyDescent="0.25">
      <c r="A271" s="181">
        <v>46196</v>
      </c>
      <c r="B271" s="2" t="s">
        <v>691</v>
      </c>
      <c r="C271" s="2" t="s">
        <v>692</v>
      </c>
      <c r="D271" s="2" t="s">
        <v>12</v>
      </c>
      <c r="E271" s="2" t="s">
        <v>693</v>
      </c>
      <c r="F271" s="2" t="s">
        <v>48</v>
      </c>
      <c r="G271" s="2"/>
      <c r="H271" s="2"/>
      <c r="I271" s="2"/>
      <c r="J271" s="2" t="s">
        <v>2610</v>
      </c>
      <c r="K271" s="2">
        <v>3</v>
      </c>
      <c r="L271" s="4">
        <v>51.5</v>
      </c>
      <c r="M271" s="6"/>
      <c r="O271" s="2"/>
      <c r="P271" s="2" t="s">
        <v>577</v>
      </c>
      <c r="Q271" s="2" t="s">
        <v>578</v>
      </c>
      <c r="R271" s="2" t="s">
        <v>12</v>
      </c>
      <c r="S271" s="2" t="s">
        <v>579</v>
      </c>
      <c r="T271" s="2" t="s">
        <v>44</v>
      </c>
      <c r="U271" s="2"/>
    </row>
    <row r="272" spans="1:21" x14ac:dyDescent="0.25">
      <c r="A272" s="181">
        <v>46196</v>
      </c>
      <c r="B272" s="2" t="s">
        <v>1398</v>
      </c>
      <c r="C272" s="2" t="s">
        <v>1399</v>
      </c>
      <c r="D272" s="2" t="s">
        <v>13</v>
      </c>
      <c r="E272" s="2" t="s">
        <v>1400</v>
      </c>
      <c r="F272" s="2" t="s">
        <v>43</v>
      </c>
      <c r="G272" s="2"/>
      <c r="H272" s="2"/>
      <c r="I272" s="2"/>
      <c r="J272" s="2" t="s">
        <v>2611</v>
      </c>
      <c r="K272" s="2">
        <v>1</v>
      </c>
      <c r="L272" s="4">
        <v>15.5</v>
      </c>
      <c r="M272" s="6"/>
      <c r="O272" s="2"/>
      <c r="P272" s="2" t="s">
        <v>1579</v>
      </c>
      <c r="Q272" s="2" t="s">
        <v>1580</v>
      </c>
      <c r="R272" s="2" t="s">
        <v>12</v>
      </c>
      <c r="S272" s="2" t="s">
        <v>1581</v>
      </c>
      <c r="T272" s="2" t="s">
        <v>1462</v>
      </c>
      <c r="U272" s="2"/>
    </row>
    <row r="273" spans="1:21" ht="15.75" thickBot="1" x14ac:dyDescent="0.3">
      <c r="A273" s="309">
        <v>46196</v>
      </c>
      <c r="B273" s="310" t="s">
        <v>974</v>
      </c>
      <c r="C273" s="310" t="s">
        <v>975</v>
      </c>
      <c r="D273" s="310" t="s">
        <v>0</v>
      </c>
      <c r="E273" s="310" t="s">
        <v>976</v>
      </c>
      <c r="F273" s="310" t="s">
        <v>977</v>
      </c>
      <c r="G273" s="310"/>
      <c r="H273" s="310"/>
      <c r="I273" s="310"/>
      <c r="J273" s="310" t="s">
        <v>2611</v>
      </c>
      <c r="K273" s="310">
        <v>1</v>
      </c>
      <c r="L273" s="311">
        <v>5</v>
      </c>
      <c r="M273" s="320">
        <f>SUM(L250:L273)</f>
        <v>741.5</v>
      </c>
      <c r="O273" s="2"/>
      <c r="P273" s="2" t="s">
        <v>2079</v>
      </c>
      <c r="Q273" s="2" t="s">
        <v>2080</v>
      </c>
      <c r="R273" s="2" t="s">
        <v>12</v>
      </c>
      <c r="S273" s="2" t="s">
        <v>2081</v>
      </c>
      <c r="T273" s="2" t="s">
        <v>49</v>
      </c>
      <c r="U273" s="2"/>
    </row>
    <row r="274" spans="1:21" x14ac:dyDescent="0.25">
      <c r="A274" s="312">
        <v>46197</v>
      </c>
      <c r="B274" s="2" t="s">
        <v>1926</v>
      </c>
      <c r="C274" s="2" t="s">
        <v>1927</v>
      </c>
      <c r="D274" s="2" t="s">
        <v>0</v>
      </c>
      <c r="E274" s="2" t="s">
        <v>1928</v>
      </c>
      <c r="F274" s="2" t="s">
        <v>39</v>
      </c>
      <c r="G274" s="161"/>
      <c r="H274" s="161"/>
      <c r="I274" s="161"/>
      <c r="J274" s="161" t="s">
        <v>2686</v>
      </c>
      <c r="K274" s="161">
        <v>6</v>
      </c>
      <c r="L274" s="97">
        <v>30</v>
      </c>
      <c r="M274" s="6"/>
      <c r="O274" s="2"/>
      <c r="P274" s="2" t="s">
        <v>91</v>
      </c>
      <c r="Q274" s="2" t="s">
        <v>92</v>
      </c>
      <c r="R274" s="2" t="s">
        <v>12</v>
      </c>
      <c r="S274" s="2" t="s">
        <v>93</v>
      </c>
      <c r="T274" s="2" t="s">
        <v>46</v>
      </c>
      <c r="U274" s="2"/>
    </row>
    <row r="275" spans="1:21" x14ac:dyDescent="0.25">
      <c r="A275" s="315">
        <v>46197</v>
      </c>
      <c r="B275" s="2" t="s">
        <v>2378</v>
      </c>
      <c r="C275" s="2" t="s">
        <v>2379</v>
      </c>
      <c r="D275" s="2" t="s">
        <v>0</v>
      </c>
      <c r="E275" s="2" t="s">
        <v>2382</v>
      </c>
      <c r="F275" s="2" t="s">
        <v>883</v>
      </c>
      <c r="G275" s="2"/>
      <c r="H275" s="2"/>
      <c r="I275" s="2"/>
      <c r="J275" s="2" t="s">
        <v>2611</v>
      </c>
      <c r="K275" s="2">
        <v>1</v>
      </c>
      <c r="L275" s="4">
        <v>5</v>
      </c>
      <c r="M275" s="6"/>
      <c r="O275" s="2"/>
      <c r="P275" s="2" t="s">
        <v>94</v>
      </c>
      <c r="Q275" s="2" t="s">
        <v>95</v>
      </c>
      <c r="R275" s="2" t="s">
        <v>12</v>
      </c>
      <c r="S275" s="2" t="s">
        <v>96</v>
      </c>
      <c r="T275" s="2" t="s">
        <v>97</v>
      </c>
      <c r="U275" s="2"/>
    </row>
    <row r="276" spans="1:21" x14ac:dyDescent="0.25">
      <c r="A276" s="315">
        <v>46197</v>
      </c>
      <c r="B276" s="2" t="s">
        <v>865</v>
      </c>
      <c r="C276" s="2" t="s">
        <v>866</v>
      </c>
      <c r="D276" s="2" t="s">
        <v>0</v>
      </c>
      <c r="E276" s="2" t="s">
        <v>2396</v>
      </c>
      <c r="F276" s="2" t="s">
        <v>867</v>
      </c>
      <c r="G276" s="2"/>
      <c r="H276" s="161"/>
      <c r="I276" s="161"/>
      <c r="J276" s="2" t="s">
        <v>2686</v>
      </c>
      <c r="K276" s="2">
        <v>6</v>
      </c>
      <c r="L276" s="97">
        <v>275</v>
      </c>
      <c r="M276" s="6"/>
      <c r="O276" s="2"/>
      <c r="P276" s="2" t="s">
        <v>580</v>
      </c>
      <c r="Q276" s="2" t="s">
        <v>581</v>
      </c>
      <c r="R276" s="2" t="s">
        <v>12</v>
      </c>
      <c r="S276" s="2" t="s">
        <v>582</v>
      </c>
      <c r="T276" s="2" t="s">
        <v>44</v>
      </c>
      <c r="U276" s="2"/>
    </row>
    <row r="277" spans="1:21" x14ac:dyDescent="0.25">
      <c r="A277" s="315">
        <v>46197</v>
      </c>
      <c r="B277" s="2" t="s">
        <v>1898</v>
      </c>
      <c r="C277" s="2" t="s">
        <v>1899</v>
      </c>
      <c r="D277" s="2" t="s">
        <v>0</v>
      </c>
      <c r="E277" s="2" t="s">
        <v>1900</v>
      </c>
      <c r="F277" s="2" t="s">
        <v>33</v>
      </c>
      <c r="G277" s="288"/>
      <c r="H277" s="288"/>
      <c r="I277" s="288"/>
      <c r="J277" s="288" t="s">
        <v>2613</v>
      </c>
      <c r="K277" s="288">
        <v>2</v>
      </c>
      <c r="L277" s="289">
        <v>10</v>
      </c>
      <c r="M277" s="6"/>
      <c r="O277" s="2"/>
      <c r="P277" s="2" t="s">
        <v>583</v>
      </c>
      <c r="Q277" s="2" t="s">
        <v>584</v>
      </c>
      <c r="R277" s="2" t="s">
        <v>12</v>
      </c>
      <c r="S277" s="2" t="s">
        <v>585</v>
      </c>
      <c r="T277" s="2" t="s">
        <v>47</v>
      </c>
      <c r="U277" s="2"/>
    </row>
    <row r="278" spans="1:21" x14ac:dyDescent="0.25">
      <c r="A278" s="315">
        <v>46197</v>
      </c>
      <c r="B278" s="2" t="s">
        <v>1885</v>
      </c>
      <c r="C278" s="2" t="s">
        <v>1886</v>
      </c>
      <c r="D278" s="2" t="s">
        <v>0</v>
      </c>
      <c r="E278" s="2" t="s">
        <v>1887</v>
      </c>
      <c r="F278" s="2" t="s">
        <v>1888</v>
      </c>
      <c r="G278" s="161"/>
      <c r="H278" s="161"/>
      <c r="I278" s="161"/>
      <c r="J278" s="161" t="s">
        <v>2611</v>
      </c>
      <c r="K278" s="161">
        <v>1</v>
      </c>
      <c r="L278" s="97">
        <v>8.5</v>
      </c>
      <c r="M278" s="6"/>
      <c r="O278" s="2"/>
      <c r="P278" s="2" t="s">
        <v>586</v>
      </c>
      <c r="Q278" s="2" t="s">
        <v>587</v>
      </c>
      <c r="R278" s="2" t="s">
        <v>12</v>
      </c>
      <c r="S278" s="2" t="s">
        <v>588</v>
      </c>
      <c r="T278" s="2" t="s">
        <v>589</v>
      </c>
      <c r="U278" s="2"/>
    </row>
    <row r="279" spans="1:21" x14ac:dyDescent="0.25">
      <c r="A279" s="315">
        <v>46197</v>
      </c>
      <c r="B279" s="2" t="s">
        <v>1091</v>
      </c>
      <c r="C279" s="2" t="s">
        <v>1092</v>
      </c>
      <c r="D279" s="2" t="s">
        <v>0</v>
      </c>
      <c r="E279" s="2" t="s">
        <v>1093</v>
      </c>
      <c r="F279" s="2" t="s">
        <v>1094</v>
      </c>
      <c r="G279" s="2"/>
      <c r="H279" s="2"/>
      <c r="I279" s="2"/>
      <c r="J279" s="161" t="s">
        <v>2613</v>
      </c>
      <c r="K279" s="2">
        <v>2</v>
      </c>
      <c r="L279" s="4">
        <v>14.5</v>
      </c>
      <c r="M279" s="6"/>
      <c r="O279" s="2"/>
      <c r="P279" s="2" t="s">
        <v>590</v>
      </c>
      <c r="Q279" s="2" t="s">
        <v>591</v>
      </c>
      <c r="R279" s="2" t="s">
        <v>51</v>
      </c>
      <c r="S279" s="2" t="s">
        <v>592</v>
      </c>
      <c r="T279" s="2" t="s">
        <v>316</v>
      </c>
      <c r="U279" s="2"/>
    </row>
    <row r="280" spans="1:21" x14ac:dyDescent="0.25">
      <c r="A280" s="315">
        <v>46197</v>
      </c>
      <c r="B280" s="2" t="s">
        <v>1024</v>
      </c>
      <c r="C280" s="2" t="s">
        <v>1025</v>
      </c>
      <c r="D280" s="2" t="s">
        <v>0</v>
      </c>
      <c r="E280" s="2" t="s">
        <v>1026</v>
      </c>
      <c r="F280" s="2" t="s">
        <v>39</v>
      </c>
      <c r="G280" s="2"/>
      <c r="H280" s="2"/>
      <c r="I280" s="2"/>
      <c r="J280" s="161" t="s">
        <v>2613</v>
      </c>
      <c r="K280" s="2">
        <v>2</v>
      </c>
      <c r="L280" s="4">
        <v>17</v>
      </c>
      <c r="M280" s="6"/>
      <c r="O280" s="2"/>
      <c r="P280" s="2" t="s">
        <v>593</v>
      </c>
      <c r="Q280" s="2" t="s">
        <v>594</v>
      </c>
      <c r="R280" s="2" t="s">
        <v>12</v>
      </c>
      <c r="S280" s="2" t="s">
        <v>595</v>
      </c>
      <c r="T280" s="2" t="s">
        <v>125</v>
      </c>
      <c r="U280" s="2"/>
    </row>
    <row r="281" spans="1:21" ht="15.75" thickBot="1" x14ac:dyDescent="0.3">
      <c r="A281" s="316">
        <v>46197</v>
      </c>
      <c r="B281" s="212" t="s">
        <v>694</v>
      </c>
      <c r="C281" s="212" t="s">
        <v>695</v>
      </c>
      <c r="D281" s="212" t="s">
        <v>12</v>
      </c>
      <c r="E281" s="212" t="s">
        <v>696</v>
      </c>
      <c r="F281" s="212" t="s">
        <v>43</v>
      </c>
      <c r="G281" s="212"/>
      <c r="H281" s="212"/>
      <c r="I281" s="212"/>
      <c r="J281" s="244" t="s">
        <v>2613</v>
      </c>
      <c r="K281" s="212">
        <v>2</v>
      </c>
      <c r="L281" s="109">
        <v>17</v>
      </c>
      <c r="M281" s="320">
        <f>SUM(L274:L281)</f>
        <v>377</v>
      </c>
      <c r="O281" s="2"/>
      <c r="P281" s="2" t="s">
        <v>596</v>
      </c>
      <c r="Q281" s="2" t="s">
        <v>597</v>
      </c>
      <c r="R281" s="2" t="s">
        <v>12</v>
      </c>
      <c r="S281" s="2" t="s">
        <v>595</v>
      </c>
      <c r="T281" s="2" t="s">
        <v>316</v>
      </c>
      <c r="U281" s="2"/>
    </row>
    <row r="282" spans="1:21" x14ac:dyDescent="0.25">
      <c r="A282" s="261">
        <v>46198</v>
      </c>
      <c r="B282" s="2" t="s">
        <v>2022</v>
      </c>
      <c r="C282" s="2" t="s">
        <v>2023</v>
      </c>
      <c r="D282" s="2" t="s">
        <v>12</v>
      </c>
      <c r="E282" s="2" t="s">
        <v>2024</v>
      </c>
      <c r="F282" s="2" t="s">
        <v>297</v>
      </c>
      <c r="G282" s="161"/>
      <c r="H282" s="161"/>
      <c r="I282" s="161"/>
      <c r="J282" s="161" t="s">
        <v>2611</v>
      </c>
      <c r="K282" s="161">
        <v>1</v>
      </c>
      <c r="L282" s="97">
        <v>29.5</v>
      </c>
      <c r="M282" s="6"/>
      <c r="O282" s="2"/>
      <c r="P282" s="2" t="s">
        <v>1582</v>
      </c>
      <c r="Q282" s="2" t="s">
        <v>1583</v>
      </c>
      <c r="R282" s="2" t="s">
        <v>12</v>
      </c>
      <c r="S282" s="2" t="s">
        <v>1584</v>
      </c>
      <c r="T282" s="2" t="s">
        <v>48</v>
      </c>
      <c r="U282" s="2"/>
    </row>
    <row r="283" spans="1:21" x14ac:dyDescent="0.25">
      <c r="A283" s="261">
        <v>46198</v>
      </c>
      <c r="B283" s="318" t="s">
        <v>2704</v>
      </c>
      <c r="C283" s="318" t="s">
        <v>2705</v>
      </c>
      <c r="D283" s="318" t="s">
        <v>12</v>
      </c>
      <c r="E283" s="318" t="s">
        <v>2706</v>
      </c>
      <c r="F283" s="318" t="s">
        <v>43</v>
      </c>
      <c r="G283" s="288"/>
      <c r="H283" s="288"/>
      <c r="I283" s="288"/>
      <c r="J283" s="288" t="s">
        <v>2611</v>
      </c>
      <c r="K283" s="2">
        <v>1</v>
      </c>
      <c r="L283" s="4">
        <v>6.5</v>
      </c>
      <c r="M283" s="6"/>
      <c r="O283" s="2"/>
      <c r="P283" s="2" t="s">
        <v>1585</v>
      </c>
      <c r="Q283" s="2" t="s">
        <v>1586</v>
      </c>
      <c r="R283" s="2" t="s">
        <v>12</v>
      </c>
      <c r="S283" s="2" t="s">
        <v>1587</v>
      </c>
      <c r="T283" s="2" t="s">
        <v>309</v>
      </c>
      <c r="U283" s="2"/>
    </row>
    <row r="284" spans="1:21" x14ac:dyDescent="0.25">
      <c r="A284" s="261">
        <v>46198</v>
      </c>
      <c r="B284" s="2" t="s">
        <v>1957</v>
      </c>
      <c r="C284" s="2" t="s">
        <v>1958</v>
      </c>
      <c r="D284" s="2" t="s">
        <v>0</v>
      </c>
      <c r="E284" s="2" t="s">
        <v>1959</v>
      </c>
      <c r="F284" s="2" t="s">
        <v>83</v>
      </c>
      <c r="G284" s="2"/>
      <c r="H284" s="2"/>
      <c r="I284" s="2"/>
      <c r="J284" s="161" t="s">
        <v>2613</v>
      </c>
      <c r="K284" s="2">
        <v>2</v>
      </c>
      <c r="L284" s="4">
        <v>10</v>
      </c>
      <c r="M284" s="6"/>
      <c r="O284" s="2"/>
      <c r="P284" s="2" t="s">
        <v>598</v>
      </c>
      <c r="Q284" s="2" t="s">
        <v>599</v>
      </c>
      <c r="R284" s="2" t="s">
        <v>12</v>
      </c>
      <c r="S284" s="2" t="s">
        <v>600</v>
      </c>
      <c r="T284" s="2" t="s">
        <v>601</v>
      </c>
      <c r="U284" s="2"/>
    </row>
    <row r="285" spans="1:21" x14ac:dyDescent="0.25">
      <c r="A285" s="261">
        <v>46198</v>
      </c>
      <c r="B285" s="2" t="s">
        <v>742</v>
      </c>
      <c r="C285" s="2" t="s">
        <v>743</v>
      </c>
      <c r="D285" s="2" t="s">
        <v>12</v>
      </c>
      <c r="E285" s="2" t="s">
        <v>744</v>
      </c>
      <c r="F285" s="2" t="s">
        <v>316</v>
      </c>
      <c r="G285" s="2"/>
      <c r="H285" s="2"/>
      <c r="I285" s="2"/>
      <c r="J285" s="161" t="s">
        <v>2611</v>
      </c>
      <c r="K285" s="2">
        <v>1</v>
      </c>
      <c r="L285" s="4">
        <v>13.5</v>
      </c>
      <c r="M285" s="6"/>
      <c r="O285" s="2"/>
      <c r="P285" s="2" t="s">
        <v>1588</v>
      </c>
      <c r="Q285" s="2" t="s">
        <v>1589</v>
      </c>
      <c r="R285" s="2" t="s">
        <v>12</v>
      </c>
      <c r="S285" s="2" t="s">
        <v>1590</v>
      </c>
      <c r="T285" s="2" t="s">
        <v>48</v>
      </c>
      <c r="U285" s="2"/>
    </row>
    <row r="286" spans="1:21" x14ac:dyDescent="0.25">
      <c r="A286" s="261">
        <v>46198</v>
      </c>
      <c r="B286" s="2" t="s">
        <v>2332</v>
      </c>
      <c r="C286" s="2" t="s">
        <v>2333</v>
      </c>
      <c r="D286" s="2" t="s">
        <v>12</v>
      </c>
      <c r="E286" s="2" t="s">
        <v>2335</v>
      </c>
      <c r="F286" s="2" t="s">
        <v>1692</v>
      </c>
      <c r="G286" s="2"/>
      <c r="H286" s="2"/>
      <c r="I286" s="2"/>
      <c r="J286" s="2" t="s">
        <v>2611</v>
      </c>
      <c r="K286" s="2">
        <v>1</v>
      </c>
      <c r="L286" s="4">
        <v>5</v>
      </c>
      <c r="M286" s="6"/>
      <c r="O286" s="2"/>
      <c r="P286" s="2" t="s">
        <v>602</v>
      </c>
      <c r="Q286" s="2" t="s">
        <v>603</v>
      </c>
      <c r="R286" s="2" t="s">
        <v>12</v>
      </c>
      <c r="S286" s="2" t="s">
        <v>263</v>
      </c>
      <c r="T286" s="2" t="s">
        <v>329</v>
      </c>
      <c r="U286" s="2"/>
    </row>
    <row r="287" spans="1:21" x14ac:dyDescent="0.25">
      <c r="A287" s="261">
        <v>46198</v>
      </c>
      <c r="B287" s="2" t="s">
        <v>754</v>
      </c>
      <c r="C287" s="2" t="s">
        <v>755</v>
      </c>
      <c r="D287" s="2" t="s">
        <v>12</v>
      </c>
      <c r="E287" s="2" t="s">
        <v>2335</v>
      </c>
      <c r="F287" s="2" t="s">
        <v>316</v>
      </c>
      <c r="G287" s="2"/>
      <c r="H287" s="2"/>
      <c r="I287" s="2"/>
      <c r="J287" s="2" t="s">
        <v>2611</v>
      </c>
      <c r="K287" s="2">
        <v>1</v>
      </c>
      <c r="L287" s="4">
        <v>5</v>
      </c>
      <c r="M287" s="6"/>
      <c r="O287" s="2"/>
      <c r="P287" s="2" t="s">
        <v>1591</v>
      </c>
      <c r="Q287" s="2" t="s">
        <v>1592</v>
      </c>
      <c r="R287" s="2" t="s">
        <v>12</v>
      </c>
      <c r="S287" s="2" t="s">
        <v>51</v>
      </c>
      <c r="T287" s="2" t="s">
        <v>315</v>
      </c>
      <c r="U287" s="2"/>
    </row>
    <row r="288" spans="1:21" x14ac:dyDescent="0.25">
      <c r="A288" s="261">
        <v>46198</v>
      </c>
      <c r="B288" s="2" t="s">
        <v>751</v>
      </c>
      <c r="C288" s="2" t="s">
        <v>752</v>
      </c>
      <c r="D288" s="2" t="s">
        <v>12</v>
      </c>
      <c r="E288" s="2" t="s">
        <v>753</v>
      </c>
      <c r="F288" s="2" t="s">
        <v>329</v>
      </c>
      <c r="G288" s="2"/>
      <c r="H288" s="2"/>
      <c r="I288" s="2"/>
      <c r="J288" s="2" t="s">
        <v>2611</v>
      </c>
      <c r="K288" s="2">
        <v>1</v>
      </c>
      <c r="L288" s="4">
        <v>5</v>
      </c>
      <c r="M288" s="6"/>
      <c r="O288" s="2"/>
      <c r="P288" s="2" t="s">
        <v>1594</v>
      </c>
      <c r="Q288" s="2" t="s">
        <v>1595</v>
      </c>
      <c r="R288" s="2" t="s">
        <v>12</v>
      </c>
      <c r="S288" s="2" t="s">
        <v>1596</v>
      </c>
      <c r="T288" s="2" t="s">
        <v>1597</v>
      </c>
      <c r="U288" s="2"/>
    </row>
    <row r="289" spans="1:21" x14ac:dyDescent="0.25">
      <c r="A289" s="261">
        <v>46198</v>
      </c>
      <c r="B289" s="2" t="s">
        <v>483</v>
      </c>
      <c r="C289" s="2" t="s">
        <v>484</v>
      </c>
      <c r="D289" s="2" t="s">
        <v>12</v>
      </c>
      <c r="E289" s="2" t="s">
        <v>485</v>
      </c>
      <c r="F289" s="2" t="s">
        <v>301</v>
      </c>
      <c r="G289" s="2"/>
      <c r="H289" s="2"/>
      <c r="I289" s="2"/>
      <c r="J289" s="2" t="s">
        <v>2611</v>
      </c>
      <c r="K289" s="2">
        <v>1</v>
      </c>
      <c r="L289" s="4">
        <v>26.5</v>
      </c>
      <c r="M289" s="6"/>
      <c r="O289" s="2"/>
      <c r="P289" s="2" t="s">
        <v>604</v>
      </c>
      <c r="Q289" s="2" t="s">
        <v>605</v>
      </c>
      <c r="R289" s="2" t="s">
        <v>12</v>
      </c>
      <c r="S289" s="2" t="s">
        <v>606</v>
      </c>
      <c r="T289" s="2" t="s">
        <v>47</v>
      </c>
      <c r="U289" s="2"/>
    </row>
    <row r="290" spans="1:21" x14ac:dyDescent="0.25">
      <c r="A290" s="261">
        <v>46198</v>
      </c>
      <c r="B290" s="2" t="s">
        <v>948</v>
      </c>
      <c r="C290" s="2" t="s">
        <v>949</v>
      </c>
      <c r="D290" s="2" t="s">
        <v>0</v>
      </c>
      <c r="E290" s="2" t="s">
        <v>950</v>
      </c>
      <c r="F290" s="2" t="s">
        <v>951</v>
      </c>
      <c r="G290" s="2"/>
      <c r="H290" s="2"/>
      <c r="I290" s="2"/>
      <c r="J290" s="2" t="s">
        <v>2609</v>
      </c>
      <c r="K290" s="2">
        <v>4</v>
      </c>
      <c r="L290" s="4">
        <v>21.5</v>
      </c>
      <c r="M290" s="6"/>
      <c r="O290" s="2"/>
      <c r="P290" s="2" t="s">
        <v>1598</v>
      </c>
      <c r="Q290" s="2" t="s">
        <v>1599</v>
      </c>
      <c r="R290" s="2" t="s">
        <v>12</v>
      </c>
      <c r="S290" s="2" t="s">
        <v>1600</v>
      </c>
      <c r="T290" s="2" t="s">
        <v>301</v>
      </c>
      <c r="U290" s="2"/>
    </row>
    <row r="291" spans="1:21" ht="14.25" customHeight="1" x14ac:dyDescent="0.25">
      <c r="A291" s="261">
        <v>46198</v>
      </c>
      <c r="B291" s="2" t="s">
        <v>925</v>
      </c>
      <c r="C291" s="2" t="s">
        <v>926</v>
      </c>
      <c r="D291" s="2" t="s">
        <v>0</v>
      </c>
      <c r="E291" s="2" t="s">
        <v>927</v>
      </c>
      <c r="F291" s="2" t="s">
        <v>39</v>
      </c>
      <c r="G291" s="2"/>
      <c r="H291" s="2"/>
      <c r="I291" s="2"/>
      <c r="J291" s="2" t="s">
        <v>2611</v>
      </c>
      <c r="K291" s="2">
        <v>1</v>
      </c>
      <c r="L291" s="4">
        <v>13.5</v>
      </c>
      <c r="M291" s="6"/>
      <c r="O291" s="2"/>
      <c r="P291" s="2" t="s">
        <v>1601</v>
      </c>
      <c r="Q291" s="2" t="s">
        <v>1602</v>
      </c>
      <c r="R291" s="2" t="s">
        <v>12</v>
      </c>
      <c r="S291" s="2" t="s">
        <v>1600</v>
      </c>
      <c r="T291" s="2" t="s">
        <v>301</v>
      </c>
      <c r="U291" s="2"/>
    </row>
    <row r="292" spans="1:21" x14ac:dyDescent="0.25">
      <c r="A292" s="261">
        <v>46198</v>
      </c>
      <c r="B292" s="2" t="s">
        <v>952</v>
      </c>
      <c r="C292" s="2" t="s">
        <v>953</v>
      </c>
      <c r="D292" s="2" t="s">
        <v>0</v>
      </c>
      <c r="E292" s="2" t="s">
        <v>954</v>
      </c>
      <c r="F292" s="2" t="s">
        <v>39</v>
      </c>
      <c r="G292" s="2"/>
      <c r="H292" s="2"/>
      <c r="I292" s="2"/>
      <c r="J292" s="2" t="s">
        <v>2611</v>
      </c>
      <c r="K292" s="2">
        <v>1</v>
      </c>
      <c r="L292" s="4">
        <v>5</v>
      </c>
      <c r="M292" s="6"/>
      <c r="O292" s="2"/>
      <c r="P292" s="2" t="s">
        <v>607</v>
      </c>
      <c r="Q292" s="2" t="s">
        <v>608</v>
      </c>
      <c r="R292" s="2" t="s">
        <v>12</v>
      </c>
      <c r="S292" s="2" t="s">
        <v>609</v>
      </c>
      <c r="T292" s="2" t="s">
        <v>316</v>
      </c>
      <c r="U292" s="2"/>
    </row>
    <row r="293" spans="1:21" ht="14.25" customHeight="1" x14ac:dyDescent="0.25">
      <c r="A293" s="261">
        <v>46198</v>
      </c>
      <c r="B293" s="2" t="s">
        <v>731</v>
      </c>
      <c r="C293" s="2" t="s">
        <v>732</v>
      </c>
      <c r="D293" s="2" t="s">
        <v>12</v>
      </c>
      <c r="E293" s="2" t="s">
        <v>733</v>
      </c>
      <c r="F293" s="2" t="s">
        <v>316</v>
      </c>
      <c r="G293" s="2"/>
      <c r="H293" s="2"/>
      <c r="I293" s="2"/>
      <c r="J293" s="2" t="s">
        <v>2609</v>
      </c>
      <c r="K293" s="2">
        <v>4</v>
      </c>
      <c r="L293" s="4">
        <v>25</v>
      </c>
      <c r="M293" s="6"/>
      <c r="O293" s="2"/>
      <c r="P293" s="2" t="s">
        <v>1603</v>
      </c>
      <c r="Q293" s="2" t="s">
        <v>611</v>
      </c>
      <c r="R293" s="2" t="s">
        <v>12</v>
      </c>
      <c r="S293" s="2" t="s">
        <v>1604</v>
      </c>
      <c r="T293" s="2" t="s">
        <v>43</v>
      </c>
      <c r="U293" s="2"/>
    </row>
    <row r="294" spans="1:21" ht="14.25" customHeight="1" x14ac:dyDescent="0.25">
      <c r="A294" s="261">
        <v>46198</v>
      </c>
      <c r="B294" s="2" t="s">
        <v>734</v>
      </c>
      <c r="C294" s="2" t="s">
        <v>735</v>
      </c>
      <c r="D294" s="2" t="s">
        <v>12</v>
      </c>
      <c r="E294" s="2" t="s">
        <v>733</v>
      </c>
      <c r="F294" s="2" t="s">
        <v>316</v>
      </c>
      <c r="G294" s="2"/>
      <c r="H294" s="2"/>
      <c r="I294" s="2"/>
      <c r="J294" s="2" t="s">
        <v>2609</v>
      </c>
      <c r="K294" s="2">
        <v>4</v>
      </c>
      <c r="L294" s="4">
        <v>20</v>
      </c>
      <c r="M294" s="6"/>
      <c r="O294" s="2"/>
      <c r="P294" s="2" t="s">
        <v>610</v>
      </c>
      <c r="Q294" s="2" t="s">
        <v>2389</v>
      </c>
      <c r="R294" s="2" t="s">
        <v>51</v>
      </c>
      <c r="S294" s="2" t="s">
        <v>612</v>
      </c>
      <c r="T294" s="2" t="s">
        <v>316</v>
      </c>
      <c r="U294" s="2"/>
    </row>
    <row r="295" spans="1:21" x14ac:dyDescent="0.25">
      <c r="A295" s="261">
        <v>46198</v>
      </c>
      <c r="B295" s="2" t="s">
        <v>771</v>
      </c>
      <c r="C295" s="2" t="s">
        <v>772</v>
      </c>
      <c r="D295" s="2" t="s">
        <v>12</v>
      </c>
      <c r="E295" s="2" t="s">
        <v>773</v>
      </c>
      <c r="F295" s="2" t="s">
        <v>46</v>
      </c>
      <c r="G295" s="2"/>
      <c r="H295" s="2"/>
      <c r="I295" s="2"/>
      <c r="J295" s="2" t="s">
        <v>2610</v>
      </c>
      <c r="K295" s="2">
        <v>3</v>
      </c>
      <c r="L295" s="4">
        <v>28.5</v>
      </c>
      <c r="M295" s="6"/>
      <c r="O295" s="2"/>
      <c r="P295" s="2" t="s">
        <v>1605</v>
      </c>
      <c r="Q295" s="2" t="s">
        <v>1606</v>
      </c>
      <c r="R295" s="2" t="s">
        <v>12</v>
      </c>
      <c r="S295" s="2" t="s">
        <v>1607</v>
      </c>
      <c r="T295" s="2" t="s">
        <v>1608</v>
      </c>
      <c r="U295" s="2"/>
    </row>
    <row r="296" spans="1:21" x14ac:dyDescent="0.25">
      <c r="A296" s="261">
        <v>46198</v>
      </c>
      <c r="B296" s="2" t="s">
        <v>909</v>
      </c>
      <c r="C296" s="2" t="s">
        <v>910</v>
      </c>
      <c r="D296" s="2" t="s">
        <v>0</v>
      </c>
      <c r="E296" s="2" t="s">
        <v>376</v>
      </c>
      <c r="F296" s="2" t="s">
        <v>39</v>
      </c>
      <c r="G296" s="2"/>
      <c r="H296" s="2"/>
      <c r="I296" s="2"/>
      <c r="J296" s="2" t="s">
        <v>2611</v>
      </c>
      <c r="K296" s="2">
        <v>1</v>
      </c>
      <c r="L296" s="4">
        <v>14.5</v>
      </c>
      <c r="M296" s="6"/>
      <c r="O296" s="2"/>
      <c r="P296" s="2" t="s">
        <v>613</v>
      </c>
      <c r="Q296" s="2" t="s">
        <v>614</v>
      </c>
      <c r="R296" s="2" t="s">
        <v>12</v>
      </c>
      <c r="S296" s="2" t="s">
        <v>615</v>
      </c>
      <c r="T296" s="2" t="s">
        <v>48</v>
      </c>
      <c r="U296" s="2"/>
    </row>
    <row r="297" spans="1:21" x14ac:dyDescent="0.25">
      <c r="A297" s="261">
        <v>46198</v>
      </c>
      <c r="B297" s="2" t="s">
        <v>213</v>
      </c>
      <c r="C297" s="2" t="s">
        <v>214</v>
      </c>
      <c r="D297" s="2" t="s">
        <v>13</v>
      </c>
      <c r="E297" s="2" t="s">
        <v>215</v>
      </c>
      <c r="F297" s="2" t="s">
        <v>43</v>
      </c>
      <c r="G297" s="288"/>
      <c r="H297" s="288"/>
      <c r="I297" s="288"/>
      <c r="J297" s="288" t="s">
        <v>2611</v>
      </c>
      <c r="K297" s="288">
        <v>1</v>
      </c>
      <c r="L297" s="289">
        <v>26.5</v>
      </c>
      <c r="M297" s="6"/>
      <c r="O297" s="2"/>
      <c r="P297" s="2" t="s">
        <v>616</v>
      </c>
      <c r="Q297" s="2" t="s">
        <v>617</v>
      </c>
      <c r="R297" s="2" t="s">
        <v>12</v>
      </c>
      <c r="S297" s="2" t="s">
        <v>618</v>
      </c>
      <c r="T297" s="2" t="s">
        <v>619</v>
      </c>
      <c r="U297" s="2"/>
    </row>
    <row r="298" spans="1:21" x14ac:dyDescent="0.25">
      <c r="A298" s="261">
        <v>46198</v>
      </c>
      <c r="B298" s="2" t="s">
        <v>2343</v>
      </c>
      <c r="C298" s="2" t="s">
        <v>2344</v>
      </c>
      <c r="D298" s="2" t="s">
        <v>0</v>
      </c>
      <c r="E298" s="2" t="s">
        <v>773</v>
      </c>
      <c r="F298" s="2" t="s">
        <v>2348</v>
      </c>
      <c r="G298" s="161"/>
      <c r="H298" s="161"/>
      <c r="I298" s="161"/>
      <c r="J298" s="161" t="s">
        <v>2611</v>
      </c>
      <c r="K298" s="161">
        <v>1</v>
      </c>
      <c r="L298" s="97">
        <v>31.5</v>
      </c>
      <c r="M298" s="6"/>
      <c r="O298" s="2"/>
      <c r="P298" s="2" t="s">
        <v>620</v>
      </c>
      <c r="Q298" s="2" t="s">
        <v>621</v>
      </c>
      <c r="R298" s="2" t="s">
        <v>12</v>
      </c>
      <c r="S298" s="2" t="s">
        <v>622</v>
      </c>
      <c r="T298" s="2" t="s">
        <v>46</v>
      </c>
      <c r="U298" s="2"/>
    </row>
    <row r="299" spans="1:21" x14ac:dyDescent="0.25">
      <c r="A299" s="261">
        <v>46198</v>
      </c>
      <c r="B299" s="2" t="s">
        <v>1612</v>
      </c>
      <c r="C299" s="2" t="s">
        <v>1613</v>
      </c>
      <c r="D299" s="2" t="s">
        <v>12</v>
      </c>
      <c r="E299" s="2" t="s">
        <v>1611</v>
      </c>
      <c r="F299" s="2" t="s">
        <v>46</v>
      </c>
      <c r="G299" s="2"/>
      <c r="H299" s="2"/>
      <c r="I299" s="2"/>
      <c r="J299" s="161" t="s">
        <v>2613</v>
      </c>
      <c r="K299" s="161">
        <v>2</v>
      </c>
      <c r="L299" s="4">
        <v>22</v>
      </c>
      <c r="M299" s="6"/>
      <c r="O299" s="2"/>
      <c r="P299" s="2" t="s">
        <v>623</v>
      </c>
      <c r="Q299" s="2" t="s">
        <v>624</v>
      </c>
      <c r="R299" s="2" t="s">
        <v>12</v>
      </c>
      <c r="S299" s="2" t="s">
        <v>625</v>
      </c>
      <c r="T299" s="2" t="s">
        <v>46</v>
      </c>
      <c r="U299" s="2"/>
    </row>
    <row r="300" spans="1:21" x14ac:dyDescent="0.25">
      <c r="A300" s="261">
        <v>46198</v>
      </c>
      <c r="B300" s="2" t="s">
        <v>713</v>
      </c>
      <c r="C300" s="2" t="s">
        <v>714</v>
      </c>
      <c r="D300" s="2" t="s">
        <v>12</v>
      </c>
      <c r="E300" s="2" t="s">
        <v>2107</v>
      </c>
      <c r="F300" s="2" t="s">
        <v>49</v>
      </c>
      <c r="G300" s="2"/>
      <c r="H300" s="2"/>
      <c r="I300" s="2"/>
      <c r="J300" s="161" t="s">
        <v>2611</v>
      </c>
      <c r="K300" s="161">
        <v>1</v>
      </c>
      <c r="L300" s="4">
        <v>5</v>
      </c>
      <c r="M300" s="6"/>
      <c r="O300" s="2"/>
      <c r="P300" s="2" t="s">
        <v>626</v>
      </c>
      <c r="Q300" s="2" t="s">
        <v>627</v>
      </c>
      <c r="R300" s="2" t="s">
        <v>12</v>
      </c>
      <c r="S300" s="2" t="s">
        <v>625</v>
      </c>
      <c r="T300" s="2" t="s">
        <v>628</v>
      </c>
      <c r="U300" s="2"/>
    </row>
    <row r="301" spans="1:21" x14ac:dyDescent="0.25">
      <c r="A301" s="261">
        <v>46198</v>
      </c>
      <c r="B301" s="2" t="s">
        <v>2091</v>
      </c>
      <c r="C301" s="2" t="s">
        <v>2092</v>
      </c>
      <c r="D301" s="2" t="s">
        <v>12</v>
      </c>
      <c r="E301" s="2" t="s">
        <v>2093</v>
      </c>
      <c r="F301" s="2" t="s">
        <v>2094</v>
      </c>
      <c r="G301" s="2"/>
      <c r="H301" s="2"/>
      <c r="I301" s="2"/>
      <c r="J301" s="161" t="s">
        <v>2611</v>
      </c>
      <c r="K301" s="161">
        <v>1</v>
      </c>
      <c r="L301" s="4">
        <v>13.5</v>
      </c>
      <c r="M301" s="6"/>
      <c r="O301" s="2"/>
      <c r="P301" s="2" t="s">
        <v>1609</v>
      </c>
      <c r="Q301" s="2" t="s">
        <v>1610</v>
      </c>
      <c r="R301" s="2" t="s">
        <v>12</v>
      </c>
      <c r="S301" s="2" t="s">
        <v>1611</v>
      </c>
      <c r="T301" s="2" t="s">
        <v>44</v>
      </c>
      <c r="U301" s="2"/>
    </row>
    <row r="302" spans="1:21" x14ac:dyDescent="0.25">
      <c r="A302" s="261">
        <v>46198</v>
      </c>
      <c r="B302" s="2" t="s">
        <v>1973</v>
      </c>
      <c r="C302" s="2" t="s">
        <v>1974</v>
      </c>
      <c r="D302" s="2" t="s">
        <v>0</v>
      </c>
      <c r="E302" s="2" t="s">
        <v>1975</v>
      </c>
      <c r="F302" s="2" t="s">
        <v>38</v>
      </c>
      <c r="G302" s="2"/>
      <c r="H302" s="161"/>
      <c r="I302" s="161"/>
      <c r="J302" s="161" t="s">
        <v>2613</v>
      </c>
      <c r="K302" s="161">
        <v>2</v>
      </c>
      <c r="L302" s="97">
        <v>21</v>
      </c>
      <c r="M302" s="6"/>
      <c r="O302" s="2"/>
      <c r="P302" s="2" t="s">
        <v>1612</v>
      </c>
      <c r="Q302" s="2" t="s">
        <v>1613</v>
      </c>
      <c r="R302" s="2" t="s">
        <v>12</v>
      </c>
      <c r="S302" s="2" t="s">
        <v>1611</v>
      </c>
      <c r="T302" s="2" t="s">
        <v>46</v>
      </c>
      <c r="U302" s="2"/>
    </row>
    <row r="303" spans="1:21" x14ac:dyDescent="0.25">
      <c r="A303" s="261">
        <v>46198</v>
      </c>
      <c r="B303" s="2" t="s">
        <v>243</v>
      </c>
      <c r="C303" s="2" t="s">
        <v>244</v>
      </c>
      <c r="D303" s="2" t="s">
        <v>13</v>
      </c>
      <c r="E303" s="2" t="s">
        <v>245</v>
      </c>
      <c r="F303" s="2" t="s">
        <v>43</v>
      </c>
      <c r="G303" s="2"/>
      <c r="H303" s="2"/>
      <c r="I303" s="2"/>
      <c r="J303" s="161" t="s">
        <v>2611</v>
      </c>
      <c r="K303" s="161">
        <v>1</v>
      </c>
      <c r="L303" s="4">
        <v>7.5</v>
      </c>
      <c r="M303" s="6"/>
      <c r="O303" s="2"/>
      <c r="P303" s="2" t="s">
        <v>1614</v>
      </c>
      <c r="Q303" s="2" t="s">
        <v>1615</v>
      </c>
      <c r="R303" s="2" t="s">
        <v>12</v>
      </c>
      <c r="S303" s="2" t="s">
        <v>1616</v>
      </c>
      <c r="T303" s="2" t="s">
        <v>46</v>
      </c>
      <c r="U303" s="2"/>
    </row>
    <row r="304" spans="1:21" x14ac:dyDescent="0.25">
      <c r="A304" s="261">
        <v>46198</v>
      </c>
      <c r="B304" s="2" t="s">
        <v>707</v>
      </c>
      <c r="C304" s="2" t="s">
        <v>708</v>
      </c>
      <c r="D304" s="2" t="s">
        <v>12</v>
      </c>
      <c r="E304" s="2" t="s">
        <v>709</v>
      </c>
      <c r="F304" s="2" t="s">
        <v>46</v>
      </c>
      <c r="G304" s="2"/>
      <c r="H304" s="2"/>
      <c r="I304" s="2"/>
      <c r="J304" s="2" t="s">
        <v>2613</v>
      </c>
      <c r="K304" s="2">
        <v>2</v>
      </c>
      <c r="L304" s="4">
        <v>10</v>
      </c>
      <c r="M304" s="6"/>
      <c r="O304" s="2"/>
      <c r="P304" s="2" t="s">
        <v>723</v>
      </c>
      <c r="Q304" s="2" t="s">
        <v>724</v>
      </c>
      <c r="R304" s="2" t="s">
        <v>12</v>
      </c>
      <c r="S304" s="2" t="s">
        <v>1309</v>
      </c>
      <c r="T304" s="2" t="s">
        <v>48</v>
      </c>
      <c r="U304" s="2"/>
    </row>
    <row r="305" spans="1:21" x14ac:dyDescent="0.25">
      <c r="A305" s="261">
        <v>46198</v>
      </c>
      <c r="B305" s="2" t="s">
        <v>436</v>
      </c>
      <c r="C305" s="2" t="s">
        <v>437</v>
      </c>
      <c r="D305" s="2" t="s">
        <v>12</v>
      </c>
      <c r="E305" s="2" t="s">
        <v>438</v>
      </c>
      <c r="F305" s="2" t="s">
        <v>45</v>
      </c>
      <c r="G305" s="2"/>
      <c r="H305" s="2"/>
      <c r="I305" s="2"/>
      <c r="J305" s="161" t="s">
        <v>2611</v>
      </c>
      <c r="K305" s="161">
        <v>1</v>
      </c>
      <c r="L305" s="4">
        <v>5</v>
      </c>
      <c r="M305" s="6"/>
      <c r="O305" s="2"/>
      <c r="P305" s="2" t="s">
        <v>2082</v>
      </c>
      <c r="Q305" s="2" t="s">
        <v>2283</v>
      </c>
      <c r="R305" s="2" t="s">
        <v>12</v>
      </c>
      <c r="S305" s="2" t="s">
        <v>2083</v>
      </c>
      <c r="T305" s="2" t="s">
        <v>43</v>
      </c>
      <c r="U305" s="2"/>
    </row>
    <row r="306" spans="1:21" x14ac:dyDescent="0.25">
      <c r="A306" s="261">
        <v>46198</v>
      </c>
      <c r="B306" s="2" t="s">
        <v>240</v>
      </c>
      <c r="C306" s="2" t="s">
        <v>241</v>
      </c>
      <c r="D306" s="2" t="s">
        <v>13</v>
      </c>
      <c r="E306" s="2" t="s">
        <v>242</v>
      </c>
      <c r="F306" s="2" t="s">
        <v>43</v>
      </c>
      <c r="G306" s="2"/>
      <c r="H306" s="2"/>
      <c r="I306" s="2"/>
      <c r="J306" s="2" t="s">
        <v>2611</v>
      </c>
      <c r="K306" s="2">
        <v>1</v>
      </c>
      <c r="L306" s="4">
        <v>5</v>
      </c>
      <c r="M306" s="6"/>
      <c r="O306" s="2"/>
      <c r="P306" s="2" t="s">
        <v>629</v>
      </c>
      <c r="Q306" s="2" t="s">
        <v>630</v>
      </c>
      <c r="R306" s="2" t="s">
        <v>12</v>
      </c>
      <c r="S306" s="2" t="s">
        <v>631</v>
      </c>
      <c r="T306" s="2" t="s">
        <v>49</v>
      </c>
      <c r="U306" s="2"/>
    </row>
    <row r="307" spans="1:21" x14ac:dyDescent="0.25">
      <c r="A307" s="261">
        <v>46198</v>
      </c>
      <c r="B307" s="2" t="s">
        <v>1826</v>
      </c>
      <c r="C307" s="2" t="s">
        <v>1827</v>
      </c>
      <c r="D307" s="2" t="s">
        <v>0</v>
      </c>
      <c r="E307" s="2" t="s">
        <v>1828</v>
      </c>
      <c r="F307" s="2" t="s">
        <v>34</v>
      </c>
      <c r="G307" s="2"/>
      <c r="H307" s="2"/>
      <c r="I307" s="2"/>
      <c r="J307" s="2" t="s">
        <v>2613</v>
      </c>
      <c r="K307" s="2">
        <v>2</v>
      </c>
      <c r="L307" s="4">
        <v>48</v>
      </c>
      <c r="M307" s="6"/>
      <c r="O307" s="2"/>
      <c r="P307" s="2" t="s">
        <v>2084</v>
      </c>
      <c r="Q307" s="2" t="s">
        <v>2085</v>
      </c>
      <c r="R307" s="2" t="s">
        <v>12</v>
      </c>
      <c r="S307" s="2" t="s">
        <v>2086</v>
      </c>
      <c r="T307" s="2" t="s">
        <v>316</v>
      </c>
      <c r="U307" s="2"/>
    </row>
    <row r="308" spans="1:21" x14ac:dyDescent="0.25">
      <c r="A308" s="261">
        <v>46198</v>
      </c>
      <c r="B308" s="2" t="s">
        <v>2255</v>
      </c>
      <c r="C308" s="2" t="s">
        <v>2256</v>
      </c>
      <c r="D308" s="2" t="s">
        <v>0</v>
      </c>
      <c r="E308" s="2" t="s">
        <v>2257</v>
      </c>
      <c r="F308" s="2" t="s">
        <v>1858</v>
      </c>
      <c r="G308" s="2"/>
      <c r="H308" s="2"/>
      <c r="I308" s="2"/>
      <c r="J308" s="2" t="s">
        <v>2613</v>
      </c>
      <c r="K308" s="2">
        <v>2</v>
      </c>
      <c r="L308" s="4">
        <v>23</v>
      </c>
      <c r="M308" s="6"/>
      <c r="O308" s="2"/>
      <c r="P308" s="2" t="s">
        <v>632</v>
      </c>
      <c r="Q308" s="2" t="s">
        <v>633</v>
      </c>
      <c r="R308" s="2" t="s">
        <v>12</v>
      </c>
      <c r="S308" s="2" t="s">
        <v>634</v>
      </c>
      <c r="T308" s="2" t="s">
        <v>316</v>
      </c>
      <c r="U308" s="2"/>
    </row>
    <row r="309" spans="1:21" ht="15.75" thickBot="1" x14ac:dyDescent="0.3">
      <c r="A309" s="262">
        <v>46198</v>
      </c>
      <c r="B309" s="212" t="s">
        <v>2423</v>
      </c>
      <c r="C309" s="212" t="s">
        <v>2424</v>
      </c>
      <c r="D309" s="212" t="s">
        <v>0</v>
      </c>
      <c r="E309" s="212" t="s">
        <v>2257</v>
      </c>
      <c r="F309" s="212" t="s">
        <v>2434</v>
      </c>
      <c r="G309" s="212"/>
      <c r="H309" s="212"/>
      <c r="I309" s="212"/>
      <c r="J309" s="212" t="s">
        <v>2613</v>
      </c>
      <c r="K309" s="212">
        <v>2</v>
      </c>
      <c r="L309" s="109">
        <v>12.5</v>
      </c>
      <c r="M309" s="320">
        <f>SUM(L282:L309)</f>
        <v>459.5</v>
      </c>
      <c r="O309" s="2"/>
      <c r="P309" s="2" t="s">
        <v>635</v>
      </c>
      <c r="Q309" s="2" t="s">
        <v>636</v>
      </c>
      <c r="R309" s="2" t="s">
        <v>12</v>
      </c>
      <c r="S309" s="2" t="s">
        <v>634</v>
      </c>
      <c r="T309" s="2" t="s">
        <v>47</v>
      </c>
      <c r="U309" s="2"/>
    </row>
    <row r="310" spans="1:21" x14ac:dyDescent="0.25">
      <c r="A310" s="261">
        <v>46199</v>
      </c>
      <c r="B310" s="2" t="s">
        <v>1143</v>
      </c>
      <c r="C310" s="2" t="s">
        <v>1144</v>
      </c>
      <c r="D310" s="2" t="s">
        <v>0</v>
      </c>
      <c r="E310" s="2" t="s">
        <v>1145</v>
      </c>
      <c r="F310" s="2" t="s">
        <v>894</v>
      </c>
      <c r="G310" s="161"/>
      <c r="H310" s="161"/>
      <c r="I310" s="161"/>
      <c r="J310" s="161" t="s">
        <v>2609</v>
      </c>
      <c r="K310" s="161">
        <v>4</v>
      </c>
      <c r="L310" s="97">
        <v>20</v>
      </c>
      <c r="M310" s="6"/>
      <c r="O310" s="2"/>
      <c r="P310" s="2" t="s">
        <v>1617</v>
      </c>
      <c r="Q310" s="2" t="s">
        <v>1618</v>
      </c>
      <c r="R310" s="2" t="s">
        <v>12</v>
      </c>
      <c r="S310" s="2" t="s">
        <v>1619</v>
      </c>
      <c r="T310" s="2" t="s">
        <v>1462</v>
      </c>
      <c r="U310" s="2"/>
    </row>
    <row r="311" spans="1:21" x14ac:dyDescent="0.25">
      <c r="A311" s="261">
        <v>46199</v>
      </c>
      <c r="B311" s="2" t="s">
        <v>1266</v>
      </c>
      <c r="C311" s="2" t="s">
        <v>1267</v>
      </c>
      <c r="D311" s="2" t="s">
        <v>0</v>
      </c>
      <c r="E311" s="2" t="s">
        <v>1268</v>
      </c>
      <c r="F311" s="2" t="s">
        <v>83</v>
      </c>
      <c r="G311" s="288"/>
      <c r="H311" s="288"/>
      <c r="I311" s="288"/>
      <c r="J311" s="288" t="s">
        <v>2610</v>
      </c>
      <c r="K311" s="288">
        <v>3</v>
      </c>
      <c r="L311" s="289">
        <v>21.5</v>
      </c>
      <c r="M311" s="6"/>
      <c r="O311" s="2"/>
      <c r="P311" s="2" t="s">
        <v>1620</v>
      </c>
      <c r="Q311" s="2" t="s">
        <v>1621</v>
      </c>
      <c r="R311" s="2" t="s">
        <v>12</v>
      </c>
      <c r="S311" s="2" t="s">
        <v>1622</v>
      </c>
      <c r="T311" s="2" t="s">
        <v>43</v>
      </c>
      <c r="U311" s="2"/>
    </row>
    <row r="312" spans="1:21" x14ac:dyDescent="0.25">
      <c r="A312" s="261">
        <v>46199</v>
      </c>
      <c r="B312" s="2" t="s">
        <v>1115</v>
      </c>
      <c r="C312" s="2" t="s">
        <v>1116</v>
      </c>
      <c r="D312" s="2" t="s">
        <v>0</v>
      </c>
      <c r="E312" s="2" t="s">
        <v>1117</v>
      </c>
      <c r="F312" s="2" t="s">
        <v>887</v>
      </c>
      <c r="G312" s="288"/>
      <c r="H312" s="288"/>
      <c r="I312" s="288"/>
      <c r="J312" s="288" t="s">
        <v>2611</v>
      </c>
      <c r="K312" s="288">
        <v>1</v>
      </c>
      <c r="L312" s="289">
        <v>5</v>
      </c>
      <c r="M312" s="6"/>
      <c r="O312" s="2"/>
      <c r="P312" s="2" t="s">
        <v>1623</v>
      </c>
      <c r="Q312" s="2" t="s">
        <v>1624</v>
      </c>
      <c r="R312" s="2" t="s">
        <v>12</v>
      </c>
      <c r="S312" s="2" t="s">
        <v>1625</v>
      </c>
      <c r="T312" s="2" t="s">
        <v>47</v>
      </c>
      <c r="U312" s="2"/>
    </row>
    <row r="313" spans="1:21" x14ac:dyDescent="0.25">
      <c r="A313" s="261">
        <v>46199</v>
      </c>
      <c r="B313" s="2" t="s">
        <v>228</v>
      </c>
      <c r="C313" s="2" t="s">
        <v>229</v>
      </c>
      <c r="D313" s="2" t="s">
        <v>13</v>
      </c>
      <c r="E313" s="2" t="s">
        <v>230</v>
      </c>
      <c r="F313" s="2" t="s">
        <v>43</v>
      </c>
      <c r="G313" s="161"/>
      <c r="H313" s="161"/>
      <c r="I313" s="161"/>
      <c r="J313" s="161" t="s">
        <v>2611</v>
      </c>
      <c r="K313" s="161">
        <v>1</v>
      </c>
      <c r="L313" s="97">
        <v>42.5</v>
      </c>
      <c r="M313" s="6"/>
      <c r="O313" s="2"/>
      <c r="P313" s="2" t="s">
        <v>637</v>
      </c>
      <c r="Q313" s="2" t="s">
        <v>638</v>
      </c>
      <c r="R313" s="2" t="s">
        <v>12</v>
      </c>
      <c r="S313" s="2" t="s">
        <v>639</v>
      </c>
      <c r="T313" s="2" t="s">
        <v>48</v>
      </c>
      <c r="U313" s="2"/>
    </row>
    <row r="314" spans="1:21" x14ac:dyDescent="0.25">
      <c r="A314" s="261">
        <v>46199</v>
      </c>
      <c r="B314" s="2" t="s">
        <v>2015</v>
      </c>
      <c r="C314" s="2" t="s">
        <v>2016</v>
      </c>
      <c r="D314" s="2" t="s">
        <v>12</v>
      </c>
      <c r="E314" s="2" t="s">
        <v>2017</v>
      </c>
      <c r="F314" s="2" t="s">
        <v>12</v>
      </c>
      <c r="G314" s="2"/>
      <c r="H314" s="2"/>
      <c r="I314" s="2"/>
      <c r="J314" s="2" t="s">
        <v>2611</v>
      </c>
      <c r="K314" s="2">
        <v>1</v>
      </c>
      <c r="L314" s="4">
        <v>5</v>
      </c>
      <c r="M314" s="6"/>
      <c r="O314" s="2"/>
      <c r="P314" s="2"/>
      <c r="Q314" s="2"/>
      <c r="R314" s="2"/>
      <c r="S314" s="2"/>
      <c r="T314" s="2"/>
      <c r="U314" s="2"/>
    </row>
    <row r="315" spans="1:21" x14ac:dyDescent="0.25">
      <c r="A315" s="261">
        <v>46199</v>
      </c>
      <c r="B315" s="2" t="s">
        <v>206</v>
      </c>
      <c r="C315" s="2" t="s">
        <v>207</v>
      </c>
      <c r="D315" s="2" t="s">
        <v>13</v>
      </c>
      <c r="E315" s="2" t="s">
        <v>208</v>
      </c>
      <c r="F315" s="2" t="s">
        <v>209</v>
      </c>
      <c r="G315" s="225"/>
      <c r="H315" s="2"/>
      <c r="I315" s="2"/>
      <c r="J315" s="2" t="s">
        <v>2611</v>
      </c>
      <c r="K315" s="2">
        <v>1</v>
      </c>
      <c r="L315" s="4">
        <v>64.5</v>
      </c>
      <c r="M315" s="6"/>
      <c r="O315" s="2"/>
      <c r="P315" s="2" t="s">
        <v>640</v>
      </c>
      <c r="Q315" s="2" t="s">
        <v>641</v>
      </c>
      <c r="R315" s="2" t="s">
        <v>12</v>
      </c>
      <c r="S315" s="2" t="s">
        <v>642</v>
      </c>
      <c r="T315" s="2" t="s">
        <v>43</v>
      </c>
      <c r="U315" s="2"/>
    </row>
    <row r="316" spans="1:21" x14ac:dyDescent="0.25">
      <c r="A316" s="261">
        <v>46199</v>
      </c>
      <c r="B316" s="2" t="s">
        <v>1410</v>
      </c>
      <c r="C316" s="2" t="s">
        <v>1411</v>
      </c>
      <c r="D316" s="2" t="s">
        <v>13</v>
      </c>
      <c r="E316" s="2" t="s">
        <v>1412</v>
      </c>
      <c r="F316" s="2" t="s">
        <v>43</v>
      </c>
      <c r="G316" s="2"/>
      <c r="H316" s="2"/>
      <c r="I316" s="2"/>
      <c r="J316" s="2" t="s">
        <v>2611</v>
      </c>
      <c r="K316" s="2">
        <v>1</v>
      </c>
      <c r="L316" s="4">
        <v>5</v>
      </c>
      <c r="M316" s="6"/>
      <c r="O316" s="2"/>
      <c r="P316" s="2" t="s">
        <v>2403</v>
      </c>
      <c r="Q316" s="2" t="s">
        <v>2404</v>
      </c>
      <c r="R316" s="2" t="s">
        <v>12</v>
      </c>
      <c r="S316" s="2" t="s">
        <v>1135</v>
      </c>
      <c r="T316" s="2" t="s">
        <v>2409</v>
      </c>
      <c r="U316" s="2"/>
    </row>
    <row r="317" spans="1:21" x14ac:dyDescent="0.25">
      <c r="A317" s="261">
        <v>46199</v>
      </c>
      <c r="B317" s="2" t="s">
        <v>1740</v>
      </c>
      <c r="C317" s="2" t="s">
        <v>1741</v>
      </c>
      <c r="D317" s="2" t="s">
        <v>14</v>
      </c>
      <c r="E317" s="2" t="s">
        <v>1742</v>
      </c>
      <c r="F317" s="2" t="s">
        <v>32</v>
      </c>
      <c r="G317" s="2"/>
      <c r="H317" s="2"/>
      <c r="I317" s="2"/>
      <c r="J317" s="2" t="s">
        <v>2613</v>
      </c>
      <c r="K317" s="2">
        <v>2</v>
      </c>
      <c r="L317" s="4">
        <v>28</v>
      </c>
      <c r="M317" s="6"/>
      <c r="O317" s="2"/>
      <c r="P317" s="2" t="s">
        <v>643</v>
      </c>
      <c r="Q317" s="2" t="s">
        <v>644</v>
      </c>
      <c r="R317" s="2" t="s">
        <v>12</v>
      </c>
      <c r="S317" s="2" t="s">
        <v>645</v>
      </c>
      <c r="T317" s="2" t="s">
        <v>316</v>
      </c>
      <c r="U317" s="2"/>
    </row>
    <row r="318" spans="1:21" x14ac:dyDescent="0.25">
      <c r="A318" s="261">
        <v>46199</v>
      </c>
      <c r="B318" s="2" t="s">
        <v>2418</v>
      </c>
      <c r="C318" s="2" t="s">
        <v>2419</v>
      </c>
      <c r="D318" s="2" t="s">
        <v>0</v>
      </c>
      <c r="E318" s="2" t="s">
        <v>2430</v>
      </c>
      <c r="F318" s="2" t="s">
        <v>2431</v>
      </c>
      <c r="G318" s="2"/>
      <c r="H318" s="2"/>
      <c r="I318" s="2"/>
      <c r="J318" s="2" t="s">
        <v>2609</v>
      </c>
      <c r="K318" s="2">
        <v>4</v>
      </c>
      <c r="L318" s="4">
        <v>32</v>
      </c>
      <c r="M318" s="6" t="s">
        <v>51</v>
      </c>
      <c r="O318" s="2"/>
      <c r="P318" s="2" t="s">
        <v>1626</v>
      </c>
      <c r="Q318" s="2" t="s">
        <v>1627</v>
      </c>
      <c r="R318" s="2" t="s">
        <v>12</v>
      </c>
      <c r="S318" s="2" t="s">
        <v>1628</v>
      </c>
      <c r="T318" s="2" t="s">
        <v>44</v>
      </c>
      <c r="U318" s="2"/>
    </row>
    <row r="319" spans="1:21" x14ac:dyDescent="0.25">
      <c r="A319" s="261">
        <v>46199</v>
      </c>
      <c r="B319" s="2" t="s">
        <v>1056</v>
      </c>
      <c r="C319" s="2" t="s">
        <v>1057</v>
      </c>
      <c r="D319" s="2" t="s">
        <v>0</v>
      </c>
      <c r="E319" s="2" t="s">
        <v>1058</v>
      </c>
      <c r="F319" s="2" t="s">
        <v>39</v>
      </c>
      <c r="G319" s="2"/>
      <c r="H319" s="2"/>
      <c r="I319" s="2"/>
      <c r="J319" s="2" t="s">
        <v>2610</v>
      </c>
      <c r="K319" s="2">
        <v>3</v>
      </c>
      <c r="L319" s="4">
        <v>37.5</v>
      </c>
      <c r="M319" s="6"/>
      <c r="O319" s="2"/>
      <c r="P319" s="2" t="s">
        <v>2368</v>
      </c>
      <c r="Q319" s="2" t="s">
        <v>2369</v>
      </c>
      <c r="R319" s="2" t="s">
        <v>12</v>
      </c>
      <c r="S319" s="2" t="s">
        <v>2371</v>
      </c>
      <c r="T319" s="2" t="s">
        <v>43</v>
      </c>
      <c r="U319" s="2"/>
    </row>
    <row r="320" spans="1:21" x14ac:dyDescent="0.25">
      <c r="A320" s="261">
        <v>46199</v>
      </c>
      <c r="B320" s="2" t="s">
        <v>2399</v>
      </c>
      <c r="C320" s="2" t="s">
        <v>2400</v>
      </c>
      <c r="D320" s="2" t="s">
        <v>12</v>
      </c>
      <c r="E320" s="2" t="s">
        <v>2407</v>
      </c>
      <c r="F320" s="2" t="s">
        <v>301</v>
      </c>
      <c r="G320" s="2"/>
      <c r="H320" s="2"/>
      <c r="I320" s="2"/>
      <c r="J320" s="2" t="s">
        <v>2611</v>
      </c>
      <c r="K320" s="161">
        <v>1</v>
      </c>
      <c r="L320" s="4">
        <v>5</v>
      </c>
      <c r="M320" s="6"/>
      <c r="O320" s="2"/>
      <c r="P320" s="2" t="s">
        <v>1629</v>
      </c>
      <c r="Q320" s="2" t="s">
        <v>1630</v>
      </c>
      <c r="R320" s="2" t="s">
        <v>12</v>
      </c>
      <c r="S320" s="2" t="s">
        <v>1631</v>
      </c>
      <c r="T320" s="2" t="s">
        <v>90</v>
      </c>
      <c r="U320" s="2"/>
    </row>
    <row r="321" spans="1:21" x14ac:dyDescent="0.25">
      <c r="A321" s="261">
        <v>46199</v>
      </c>
      <c r="B321" s="2" t="s">
        <v>94</v>
      </c>
      <c r="C321" s="2" t="s">
        <v>95</v>
      </c>
      <c r="D321" s="2" t="s">
        <v>12</v>
      </c>
      <c r="E321" s="2" t="s">
        <v>96</v>
      </c>
      <c r="F321" s="2" t="s">
        <v>97</v>
      </c>
      <c r="G321" s="2"/>
      <c r="H321" s="161"/>
      <c r="I321" s="161"/>
      <c r="J321" s="2" t="s">
        <v>2613</v>
      </c>
      <c r="K321" s="161">
        <v>2</v>
      </c>
      <c r="L321" s="97">
        <v>19</v>
      </c>
      <c r="M321" s="6"/>
      <c r="O321" s="2"/>
      <c r="P321" s="2" t="s">
        <v>1632</v>
      </c>
      <c r="Q321" s="2" t="s">
        <v>1633</v>
      </c>
      <c r="R321" s="2" t="s">
        <v>12</v>
      </c>
      <c r="S321" s="2" t="s">
        <v>1634</v>
      </c>
      <c r="T321" s="2" t="s">
        <v>1635</v>
      </c>
      <c r="U321" s="2"/>
    </row>
    <row r="322" spans="1:21" x14ac:dyDescent="0.25">
      <c r="A322" s="261">
        <v>46199</v>
      </c>
      <c r="B322" s="2" t="s">
        <v>91</v>
      </c>
      <c r="C322" s="2" t="s">
        <v>92</v>
      </c>
      <c r="D322" s="2" t="s">
        <v>12</v>
      </c>
      <c r="E322" s="2" t="s">
        <v>93</v>
      </c>
      <c r="F322" s="2" t="s">
        <v>46</v>
      </c>
      <c r="G322" s="2"/>
      <c r="H322" s="161"/>
      <c r="I322" s="161"/>
      <c r="J322" s="2" t="s">
        <v>2613</v>
      </c>
      <c r="K322" s="161">
        <v>2</v>
      </c>
      <c r="L322" s="97">
        <v>10</v>
      </c>
      <c r="M322" s="6"/>
      <c r="O322" s="2"/>
      <c r="P322" s="2" t="s">
        <v>1636</v>
      </c>
      <c r="Q322" s="2" t="s">
        <v>1637</v>
      </c>
      <c r="R322" s="2" t="s">
        <v>12</v>
      </c>
      <c r="S322" s="2" t="s">
        <v>1638</v>
      </c>
      <c r="T322" s="2" t="s">
        <v>329</v>
      </c>
      <c r="U322" s="2"/>
    </row>
    <row r="323" spans="1:21" ht="15.75" thickBot="1" x14ac:dyDescent="0.3">
      <c r="A323" s="262">
        <v>46199</v>
      </c>
      <c r="B323" s="212" t="s">
        <v>682</v>
      </c>
      <c r="C323" s="212" t="s">
        <v>683</v>
      </c>
      <c r="D323" s="212" t="s">
        <v>12</v>
      </c>
      <c r="E323" s="212" t="s">
        <v>684</v>
      </c>
      <c r="F323" s="212" t="s">
        <v>44</v>
      </c>
      <c r="G323" s="212"/>
      <c r="H323" s="212"/>
      <c r="I323" s="212"/>
      <c r="J323" s="212" t="s">
        <v>2676</v>
      </c>
      <c r="K323" s="244">
        <v>5</v>
      </c>
      <c r="L323" s="109">
        <v>77</v>
      </c>
      <c r="M323" s="320">
        <f>SUM(L310:L323)</f>
        <v>372</v>
      </c>
      <c r="O323" s="2"/>
      <c r="P323" s="2" t="s">
        <v>2087</v>
      </c>
      <c r="Q323" s="2" t="s">
        <v>2088</v>
      </c>
      <c r="R323" s="2" t="s">
        <v>12</v>
      </c>
      <c r="S323" s="2" t="s">
        <v>1638</v>
      </c>
      <c r="T323" s="2" t="s">
        <v>46</v>
      </c>
      <c r="U323" s="2"/>
    </row>
    <row r="324" spans="1:21" x14ac:dyDescent="0.25">
      <c r="A324" s="291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40"/>
      <c r="M324" s="6"/>
      <c r="O324" s="225"/>
      <c r="P324" s="225" t="s">
        <v>2089</v>
      </c>
      <c r="Q324" s="225" t="s">
        <v>2090</v>
      </c>
      <c r="R324" s="225" t="s">
        <v>12</v>
      </c>
      <c r="S324" s="225" t="s">
        <v>1350</v>
      </c>
      <c r="T324" s="225" t="s">
        <v>301</v>
      </c>
      <c r="U324" s="225"/>
    </row>
    <row r="325" spans="1:21" x14ac:dyDescent="0.25">
      <c r="A325" s="2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97"/>
      <c r="M325" s="6"/>
      <c r="O325" s="269"/>
      <c r="P325" s="2" t="s">
        <v>646</v>
      </c>
      <c r="Q325" s="2" t="s">
        <v>647</v>
      </c>
      <c r="R325" s="2" t="s">
        <v>12</v>
      </c>
      <c r="S325" s="2" t="s">
        <v>648</v>
      </c>
      <c r="T325" s="2" t="s">
        <v>44</v>
      </c>
      <c r="U325" s="2"/>
    </row>
    <row r="326" spans="1:21" x14ac:dyDescent="0.25">
      <c r="A326" s="181"/>
      <c r="B326" s="2"/>
      <c r="C326" s="2"/>
      <c r="D326" s="2"/>
      <c r="E326" s="2"/>
      <c r="F326" s="2"/>
      <c r="G326" s="2"/>
      <c r="H326" s="2"/>
      <c r="I326" s="2"/>
      <c r="J326" s="2"/>
      <c r="K326" s="161"/>
      <c r="L326" s="4"/>
      <c r="M326" s="6"/>
      <c r="O326" s="161"/>
      <c r="P326" s="161" t="s">
        <v>649</v>
      </c>
      <c r="Q326" s="161" t="s">
        <v>650</v>
      </c>
      <c r="R326" s="161" t="s">
        <v>12</v>
      </c>
      <c r="S326" s="161" t="s">
        <v>651</v>
      </c>
      <c r="T326" s="161" t="s">
        <v>43</v>
      </c>
      <c r="U326" s="161"/>
    </row>
    <row r="327" spans="1:21" x14ac:dyDescent="0.25">
      <c r="A327" s="181"/>
      <c r="B327" s="2"/>
      <c r="C327" s="2"/>
      <c r="D327" s="2"/>
      <c r="E327" s="2"/>
      <c r="F327" s="2"/>
      <c r="G327" s="2"/>
      <c r="H327" s="2"/>
      <c r="I327" s="2"/>
      <c r="J327" s="2"/>
      <c r="K327" s="161"/>
      <c r="L327" s="4"/>
      <c r="M327" s="6"/>
      <c r="O327" s="2"/>
      <c r="P327" s="2" t="s">
        <v>1639</v>
      </c>
      <c r="Q327" s="2" t="s">
        <v>1640</v>
      </c>
      <c r="R327" s="2" t="s">
        <v>12</v>
      </c>
      <c r="S327" s="2" t="s">
        <v>1641</v>
      </c>
      <c r="T327" s="2" t="s">
        <v>652</v>
      </c>
      <c r="U327" s="2"/>
    </row>
    <row r="328" spans="1:21" x14ac:dyDescent="0.25">
      <c r="A328" s="181"/>
      <c r="B328" s="2"/>
      <c r="C328" s="2"/>
      <c r="D328" s="2"/>
      <c r="E328" s="2"/>
      <c r="F328" s="2"/>
      <c r="G328" s="2"/>
      <c r="H328" s="2"/>
      <c r="I328" s="2"/>
      <c r="J328" s="2"/>
      <c r="K328" s="161"/>
      <c r="L328" s="4"/>
      <c r="M328" s="6"/>
      <c r="O328" s="2"/>
      <c r="P328" s="2" t="s">
        <v>653</v>
      </c>
      <c r="Q328" s="2" t="s">
        <v>654</v>
      </c>
      <c r="R328" s="2" t="s">
        <v>12</v>
      </c>
      <c r="S328" s="2" t="s">
        <v>655</v>
      </c>
      <c r="T328" s="2" t="s">
        <v>46</v>
      </c>
      <c r="U328" s="2"/>
    </row>
    <row r="329" spans="1:21" x14ac:dyDescent="0.25">
      <c r="A329" s="181"/>
      <c r="B329" s="2"/>
      <c r="C329" s="2"/>
      <c r="D329" s="2"/>
      <c r="E329" s="2"/>
      <c r="F329" s="2"/>
      <c r="G329" s="2"/>
      <c r="H329" s="2"/>
      <c r="I329" s="2"/>
      <c r="J329" s="2"/>
      <c r="K329" s="161"/>
      <c r="L329" s="4"/>
      <c r="M329" s="6"/>
      <c r="O329" s="2"/>
      <c r="P329" s="2" t="s">
        <v>656</v>
      </c>
      <c r="Q329" s="2" t="s">
        <v>657</v>
      </c>
      <c r="R329" s="2" t="s">
        <v>12</v>
      </c>
      <c r="S329" s="2" t="s">
        <v>658</v>
      </c>
      <c r="T329" s="2" t="s">
        <v>48</v>
      </c>
      <c r="U329" s="2"/>
    </row>
    <row r="330" spans="1:21" x14ac:dyDescent="0.25">
      <c r="A330" s="181"/>
      <c r="B330" s="2"/>
      <c r="C330" s="2"/>
      <c r="D330" s="2"/>
      <c r="E330" s="2"/>
      <c r="F330" s="2"/>
      <c r="G330" s="2"/>
      <c r="H330" s="2"/>
      <c r="I330" s="2"/>
      <c r="J330" s="2"/>
      <c r="K330" s="161"/>
      <c r="L330" s="4"/>
      <c r="M330" s="6"/>
      <c r="O330" s="2"/>
      <c r="P330" s="2" t="s">
        <v>1642</v>
      </c>
      <c r="Q330" s="2" t="s">
        <v>1643</v>
      </c>
      <c r="R330" s="2" t="s">
        <v>12</v>
      </c>
      <c r="S330" s="2" t="s">
        <v>1644</v>
      </c>
      <c r="T330" s="2" t="s">
        <v>48</v>
      </c>
      <c r="U330" s="2"/>
    </row>
    <row r="331" spans="1:21" x14ac:dyDescent="0.25">
      <c r="A331" s="18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4"/>
      <c r="O331" s="2"/>
      <c r="P331" s="2" t="s">
        <v>659</v>
      </c>
      <c r="Q331" s="2" t="s">
        <v>660</v>
      </c>
      <c r="R331" s="2" t="s">
        <v>12</v>
      </c>
      <c r="S331" s="2" t="s">
        <v>661</v>
      </c>
      <c r="T331" s="2" t="s">
        <v>47</v>
      </c>
      <c r="U331" s="2"/>
    </row>
    <row r="332" spans="1:21" x14ac:dyDescent="0.25">
      <c r="A332" s="18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4"/>
      <c r="M332" s="6"/>
      <c r="O332" s="2"/>
      <c r="P332" s="2" t="s">
        <v>1645</v>
      </c>
      <c r="Q332" s="2" t="s">
        <v>1646</v>
      </c>
      <c r="R332" s="2" t="s">
        <v>12</v>
      </c>
      <c r="S332" s="2" t="s">
        <v>1647</v>
      </c>
      <c r="T332" s="2" t="s">
        <v>329</v>
      </c>
      <c r="U332" s="2"/>
    </row>
    <row r="333" spans="1:21" x14ac:dyDescent="0.25">
      <c r="A333" s="18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4"/>
      <c r="M333" s="6"/>
      <c r="O333" s="2"/>
      <c r="P333" s="2" t="s">
        <v>2091</v>
      </c>
      <c r="Q333" s="2" t="s">
        <v>2092</v>
      </c>
      <c r="R333" s="2" t="s">
        <v>12</v>
      </c>
      <c r="S333" s="2" t="s">
        <v>2093</v>
      </c>
      <c r="T333" s="2" t="s">
        <v>2094</v>
      </c>
      <c r="U333" s="2"/>
    </row>
    <row r="334" spans="1:21" x14ac:dyDescent="0.25">
      <c r="A334" s="18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4"/>
      <c r="M334" s="6"/>
      <c r="O334" s="2"/>
      <c r="P334" s="2" t="s">
        <v>2095</v>
      </c>
      <c r="Q334" s="2" t="s">
        <v>2096</v>
      </c>
      <c r="R334" s="2" t="s">
        <v>12</v>
      </c>
      <c r="S334" s="2" t="s">
        <v>2097</v>
      </c>
      <c r="T334" s="2" t="s">
        <v>46</v>
      </c>
      <c r="U334" s="2"/>
    </row>
    <row r="335" spans="1:21" x14ac:dyDescent="0.25">
      <c r="A335" s="18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4"/>
      <c r="M335" s="6"/>
      <c r="O335" s="2"/>
      <c r="P335" s="2" t="s">
        <v>662</v>
      </c>
      <c r="Q335" s="2" t="s">
        <v>663</v>
      </c>
      <c r="R335" s="2" t="s">
        <v>12</v>
      </c>
      <c r="S335" s="2" t="s">
        <v>664</v>
      </c>
      <c r="T335" s="2" t="s">
        <v>44</v>
      </c>
      <c r="U335" s="2"/>
    </row>
    <row r="336" spans="1:21" ht="15.75" thickBot="1" x14ac:dyDescent="0.3">
      <c r="A336" s="211"/>
      <c r="B336" s="212"/>
      <c r="C336" s="212"/>
      <c r="D336" s="212"/>
      <c r="E336" s="212"/>
      <c r="F336" s="212"/>
      <c r="G336" s="212"/>
      <c r="H336" s="212"/>
      <c r="I336" s="212"/>
      <c r="J336" s="212"/>
      <c r="K336" s="212"/>
      <c r="L336" s="109"/>
      <c r="M336" s="6"/>
      <c r="O336" s="2"/>
      <c r="P336" s="2" t="s">
        <v>665</v>
      </c>
      <c r="Q336" s="2" t="s">
        <v>666</v>
      </c>
      <c r="R336" s="2" t="s">
        <v>12</v>
      </c>
      <c r="S336" s="2" t="s">
        <v>667</v>
      </c>
      <c r="T336" s="2" t="s">
        <v>316</v>
      </c>
      <c r="U336" s="2"/>
    </row>
    <row r="337" spans="1:21" x14ac:dyDescent="0.25">
      <c r="A337" s="181"/>
      <c r="B337" s="2"/>
      <c r="C337" s="2"/>
      <c r="D337" s="2"/>
      <c r="E337" s="2"/>
      <c r="F337" s="2"/>
      <c r="G337" s="2"/>
      <c r="H337" s="161"/>
      <c r="I337" s="161"/>
      <c r="J337" s="161"/>
      <c r="K337" s="161"/>
      <c r="L337" s="97"/>
      <c r="M337" s="6"/>
      <c r="O337" s="2"/>
      <c r="P337" s="2" t="s">
        <v>1648</v>
      </c>
      <c r="Q337" s="2" t="s">
        <v>1649</v>
      </c>
      <c r="R337" s="2" t="s">
        <v>12</v>
      </c>
      <c r="S337" s="2" t="s">
        <v>1650</v>
      </c>
      <c r="T337" s="2" t="s">
        <v>46</v>
      </c>
      <c r="U337" s="2"/>
    </row>
    <row r="338" spans="1:21" x14ac:dyDescent="0.25">
      <c r="A338" s="18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4"/>
      <c r="M338" s="6"/>
      <c r="O338" s="2"/>
      <c r="P338" s="2" t="s">
        <v>1651</v>
      </c>
      <c r="Q338" s="2" t="s">
        <v>1652</v>
      </c>
      <c r="R338" s="2" t="s">
        <v>12</v>
      </c>
      <c r="S338" s="2" t="s">
        <v>1653</v>
      </c>
      <c r="T338" s="2" t="s">
        <v>46</v>
      </c>
      <c r="U338" s="2"/>
    </row>
    <row r="339" spans="1:21" x14ac:dyDescent="0.25">
      <c r="A339" s="181"/>
      <c r="B339" s="248"/>
      <c r="C339" s="248"/>
      <c r="D339" s="2"/>
      <c r="E339" s="248"/>
      <c r="F339" s="248"/>
      <c r="G339" s="2"/>
      <c r="H339" s="2"/>
      <c r="I339" s="2"/>
      <c r="J339" s="2"/>
      <c r="K339" s="2"/>
      <c r="L339" s="4"/>
      <c r="M339" s="6"/>
      <c r="O339" s="2"/>
      <c r="P339" s="2" t="s">
        <v>668</v>
      </c>
      <c r="Q339" s="2" t="s">
        <v>669</v>
      </c>
      <c r="R339" s="2" t="s">
        <v>12</v>
      </c>
      <c r="S339" s="2" t="s">
        <v>670</v>
      </c>
      <c r="T339" s="2" t="s">
        <v>43</v>
      </c>
      <c r="U339" s="2"/>
    </row>
    <row r="340" spans="1:21" x14ac:dyDescent="0.25">
      <c r="A340" s="18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4"/>
      <c r="M340" s="6"/>
      <c r="O340" s="2"/>
      <c r="P340" s="2" t="s">
        <v>1331</v>
      </c>
      <c r="Q340" s="2" t="s">
        <v>1332</v>
      </c>
      <c r="R340" s="2" t="s">
        <v>12</v>
      </c>
      <c r="S340" s="2" t="s">
        <v>50</v>
      </c>
      <c r="T340" s="2" t="s">
        <v>49</v>
      </c>
      <c r="U340" s="2"/>
    </row>
    <row r="341" spans="1:21" x14ac:dyDescent="0.25">
      <c r="A341" s="18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4"/>
      <c r="M341" s="6"/>
      <c r="O341" s="2"/>
      <c r="P341" s="2" t="s">
        <v>671</v>
      </c>
      <c r="Q341" s="2" t="s">
        <v>672</v>
      </c>
      <c r="R341" s="2" t="s">
        <v>12</v>
      </c>
      <c r="S341" s="2" t="s">
        <v>50</v>
      </c>
      <c r="T341" s="2" t="s">
        <v>316</v>
      </c>
      <c r="U341" s="2"/>
    </row>
    <row r="342" spans="1:21" x14ac:dyDescent="0.25">
      <c r="A342" s="18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4"/>
      <c r="M342" s="6"/>
      <c r="O342" s="2"/>
      <c r="P342" s="2" t="s">
        <v>673</v>
      </c>
      <c r="Q342" s="2" t="s">
        <v>674</v>
      </c>
      <c r="R342" s="2" t="s">
        <v>12</v>
      </c>
      <c r="S342" s="2" t="s">
        <v>675</v>
      </c>
      <c r="T342" s="2" t="s">
        <v>12</v>
      </c>
      <c r="U342" s="2"/>
    </row>
    <row r="343" spans="1:21" x14ac:dyDescent="0.25">
      <c r="A343" s="18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4"/>
      <c r="M343" s="6"/>
      <c r="O343" s="2"/>
      <c r="P343" s="2" t="s">
        <v>676</v>
      </c>
      <c r="Q343" s="2" t="s">
        <v>677</v>
      </c>
      <c r="R343" s="2" t="s">
        <v>12</v>
      </c>
      <c r="S343" s="2" t="s">
        <v>678</v>
      </c>
      <c r="T343" s="2" t="s">
        <v>43</v>
      </c>
      <c r="U343" s="2"/>
    </row>
    <row r="344" spans="1:21" ht="15.75" thickBot="1" x14ac:dyDescent="0.3">
      <c r="A344" s="211"/>
      <c r="B344" s="212"/>
      <c r="C344" s="212"/>
      <c r="D344" s="212"/>
      <c r="E344" s="212"/>
      <c r="F344" s="212"/>
      <c r="G344" s="212"/>
      <c r="H344" s="212"/>
      <c r="I344" s="212"/>
      <c r="J344" s="212"/>
      <c r="K344" s="212"/>
      <c r="L344" s="109"/>
      <c r="M344" s="6"/>
      <c r="O344" s="2"/>
      <c r="P344" s="2" t="s">
        <v>1654</v>
      </c>
      <c r="Q344" s="2" t="s">
        <v>1655</v>
      </c>
      <c r="R344" s="2" t="s">
        <v>12</v>
      </c>
      <c r="S344" s="2" t="s">
        <v>1656</v>
      </c>
      <c r="T344" s="2" t="s">
        <v>48</v>
      </c>
      <c r="U344" s="2"/>
    </row>
    <row r="345" spans="1:21" x14ac:dyDescent="0.25">
      <c r="A345" s="181"/>
      <c r="B345" s="2"/>
      <c r="C345" s="2"/>
      <c r="D345" s="2"/>
      <c r="E345" s="2"/>
      <c r="F345" s="2"/>
      <c r="G345" s="2"/>
      <c r="H345" s="161"/>
      <c r="I345" s="161"/>
      <c r="J345" s="161"/>
      <c r="K345" s="161"/>
      <c r="L345" s="97"/>
      <c r="M345" s="6"/>
      <c r="O345" s="2"/>
      <c r="P345" s="2" t="s">
        <v>1657</v>
      </c>
      <c r="Q345" s="2" t="s">
        <v>1658</v>
      </c>
      <c r="R345" s="2" t="s">
        <v>12</v>
      </c>
      <c r="S345" s="2" t="s">
        <v>1659</v>
      </c>
      <c r="T345" s="2" t="s">
        <v>43</v>
      </c>
      <c r="U345" s="2"/>
    </row>
    <row r="346" spans="1:21" x14ac:dyDescent="0.25">
      <c r="A346" s="18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4"/>
      <c r="M346" s="6"/>
      <c r="O346" s="2"/>
      <c r="P346" s="2" t="s">
        <v>679</v>
      </c>
      <c r="Q346" s="2" t="s">
        <v>680</v>
      </c>
      <c r="R346" s="2" t="s">
        <v>12</v>
      </c>
      <c r="S346" s="2" t="s">
        <v>681</v>
      </c>
      <c r="T346" s="2" t="s">
        <v>44</v>
      </c>
      <c r="U346" s="2"/>
    </row>
    <row r="347" spans="1:21" x14ac:dyDescent="0.25">
      <c r="A347" s="18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4"/>
      <c r="M347" s="6"/>
      <c r="O347" s="2"/>
      <c r="P347" s="2" t="s">
        <v>682</v>
      </c>
      <c r="Q347" s="2" t="s">
        <v>683</v>
      </c>
      <c r="R347" s="2" t="s">
        <v>12</v>
      </c>
      <c r="S347" s="2" t="s">
        <v>684</v>
      </c>
      <c r="T347" s="2" t="s">
        <v>44</v>
      </c>
      <c r="U347" s="2"/>
    </row>
    <row r="348" spans="1:21" x14ac:dyDescent="0.25">
      <c r="A348" s="18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4"/>
      <c r="M348" s="6"/>
      <c r="O348" s="2"/>
      <c r="P348" s="2" t="s">
        <v>685</v>
      </c>
      <c r="Q348" s="2" t="s">
        <v>686</v>
      </c>
      <c r="R348" s="2" t="s">
        <v>12</v>
      </c>
      <c r="S348" s="2" t="s">
        <v>687</v>
      </c>
      <c r="T348" s="2" t="s">
        <v>43</v>
      </c>
      <c r="U348" s="2"/>
    </row>
    <row r="349" spans="1:21" x14ac:dyDescent="0.25">
      <c r="A349" s="18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4"/>
      <c r="M349" s="6"/>
      <c r="O349" s="2"/>
      <c r="P349" s="2" t="s">
        <v>688</v>
      </c>
      <c r="Q349" s="2" t="s">
        <v>689</v>
      </c>
      <c r="R349" s="2" t="s">
        <v>12</v>
      </c>
      <c r="S349" s="2" t="s">
        <v>690</v>
      </c>
      <c r="T349" s="2" t="s">
        <v>44</v>
      </c>
      <c r="U349" s="2"/>
    </row>
    <row r="350" spans="1:21" x14ac:dyDescent="0.25">
      <c r="A350" s="18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4"/>
      <c r="M350" s="6"/>
      <c r="O350" s="2"/>
      <c r="P350" s="2" t="s">
        <v>691</v>
      </c>
      <c r="Q350" s="2" t="s">
        <v>692</v>
      </c>
      <c r="R350" s="2" t="s">
        <v>12</v>
      </c>
      <c r="S350" s="2" t="s">
        <v>693</v>
      </c>
      <c r="T350" s="2" t="s">
        <v>48</v>
      </c>
      <c r="U350" s="2"/>
    </row>
    <row r="351" spans="1:21" x14ac:dyDescent="0.25">
      <c r="A351" s="18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4"/>
      <c r="M351" s="6"/>
      <c r="O351" s="2"/>
      <c r="P351" s="2" t="s">
        <v>2541</v>
      </c>
      <c r="Q351" s="2" t="s">
        <v>2327</v>
      </c>
      <c r="R351" s="2" t="s">
        <v>12</v>
      </c>
      <c r="S351" s="2" t="s">
        <v>2542</v>
      </c>
      <c r="T351" s="2" t="s">
        <v>191</v>
      </c>
      <c r="U351" s="2"/>
    </row>
    <row r="352" spans="1:21" x14ac:dyDescent="0.25">
      <c r="A352" s="18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4"/>
      <c r="M352" s="6"/>
      <c r="O352" s="2"/>
      <c r="P352" s="2" t="s">
        <v>1660</v>
      </c>
      <c r="Q352" s="2" t="s">
        <v>1661</v>
      </c>
      <c r="R352" s="2" t="s">
        <v>12</v>
      </c>
      <c r="S352" s="2" t="s">
        <v>1662</v>
      </c>
      <c r="T352" s="2" t="s">
        <v>329</v>
      </c>
      <c r="U352" s="2"/>
    </row>
    <row r="353" spans="1:21" x14ac:dyDescent="0.25">
      <c r="A353" s="18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4"/>
      <c r="M353" s="6"/>
      <c r="O353" s="2"/>
      <c r="P353" s="2" t="s">
        <v>1663</v>
      </c>
      <c r="Q353" s="2" t="s">
        <v>1664</v>
      </c>
      <c r="R353" s="2" t="s">
        <v>12</v>
      </c>
      <c r="S353" s="2" t="s">
        <v>1665</v>
      </c>
      <c r="T353" s="2" t="s">
        <v>301</v>
      </c>
      <c r="U353" s="2"/>
    </row>
    <row r="354" spans="1:21" x14ac:dyDescent="0.25">
      <c r="A354" s="18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4"/>
      <c r="M354" s="6"/>
      <c r="O354" s="2"/>
      <c r="P354" s="2" t="s">
        <v>694</v>
      </c>
      <c r="Q354" s="2" t="s">
        <v>695</v>
      </c>
      <c r="R354" s="2" t="s">
        <v>12</v>
      </c>
      <c r="S354" s="2" t="s">
        <v>696</v>
      </c>
      <c r="T354" s="2" t="s">
        <v>43</v>
      </c>
      <c r="U354" s="2"/>
    </row>
    <row r="355" spans="1:21" x14ac:dyDescent="0.25">
      <c r="A355" s="18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4"/>
      <c r="M355" s="6"/>
      <c r="O355" s="2"/>
      <c r="P355" s="2" t="s">
        <v>2098</v>
      </c>
      <c r="Q355" s="2" t="s">
        <v>2099</v>
      </c>
      <c r="R355" s="2" t="s">
        <v>12</v>
      </c>
      <c r="S355" s="2" t="s">
        <v>2100</v>
      </c>
      <c r="T355" s="2" t="s">
        <v>125</v>
      </c>
      <c r="U355" s="2"/>
    </row>
    <row r="356" spans="1:21" x14ac:dyDescent="0.25">
      <c r="A356" s="18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4"/>
      <c r="M356" s="6"/>
      <c r="O356" s="2"/>
      <c r="P356" s="2" t="s">
        <v>697</v>
      </c>
      <c r="Q356" s="2" t="s">
        <v>698</v>
      </c>
      <c r="R356" s="2" t="s">
        <v>12</v>
      </c>
      <c r="S356" s="2" t="s">
        <v>699</v>
      </c>
      <c r="T356" s="2" t="s">
        <v>700</v>
      </c>
      <c r="U356" s="2"/>
    </row>
    <row r="357" spans="1:21" x14ac:dyDescent="0.25">
      <c r="A357" s="18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4"/>
      <c r="M357" s="6"/>
      <c r="O357" s="2"/>
      <c r="P357" s="2" t="s">
        <v>701</v>
      </c>
      <c r="Q357" s="2" t="s">
        <v>702</v>
      </c>
      <c r="R357" s="2" t="s">
        <v>12</v>
      </c>
      <c r="S357" s="2" t="s">
        <v>703</v>
      </c>
      <c r="T357" s="2" t="s">
        <v>652</v>
      </c>
      <c r="U357" s="2"/>
    </row>
    <row r="358" spans="1:21" x14ac:dyDescent="0.25">
      <c r="A358" s="18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4"/>
      <c r="M358" s="6"/>
      <c r="O358" s="2"/>
      <c r="P358" s="2" t="s">
        <v>1666</v>
      </c>
      <c r="Q358" s="2" t="s">
        <v>1667</v>
      </c>
      <c r="R358" s="2" t="s">
        <v>12</v>
      </c>
      <c r="S358" s="2" t="s">
        <v>1668</v>
      </c>
      <c r="T358" s="2" t="s">
        <v>125</v>
      </c>
      <c r="U358" s="2"/>
    </row>
    <row r="359" spans="1:21" x14ac:dyDescent="0.25">
      <c r="A359" s="18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4"/>
      <c r="M359" s="6"/>
      <c r="O359" s="2"/>
      <c r="P359" s="2" t="s">
        <v>704</v>
      </c>
      <c r="Q359" s="2" t="s">
        <v>705</v>
      </c>
      <c r="R359" s="2" t="s">
        <v>12</v>
      </c>
      <c r="S359" s="2" t="s">
        <v>706</v>
      </c>
      <c r="T359" s="2" t="s">
        <v>90</v>
      </c>
      <c r="U359" s="2"/>
    </row>
    <row r="360" spans="1:21" x14ac:dyDescent="0.25">
      <c r="A360" s="18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4"/>
      <c r="M360" s="6"/>
      <c r="O360" s="2"/>
      <c r="P360" s="2" t="s">
        <v>1669</v>
      </c>
      <c r="Q360" s="2" t="s">
        <v>1670</v>
      </c>
      <c r="R360" s="2" t="s">
        <v>12</v>
      </c>
      <c r="S360" s="2" t="s">
        <v>1671</v>
      </c>
      <c r="T360" s="2" t="s">
        <v>1504</v>
      </c>
      <c r="U360" s="2"/>
    </row>
    <row r="361" spans="1:21" ht="15.75" thickBot="1" x14ac:dyDescent="0.3">
      <c r="A361" s="211"/>
      <c r="B361" s="212"/>
      <c r="C361" s="212"/>
      <c r="D361" s="212"/>
      <c r="E361" s="212"/>
      <c r="F361" s="212"/>
      <c r="G361" s="212"/>
      <c r="H361" s="212"/>
      <c r="I361" s="212"/>
      <c r="J361" s="212"/>
      <c r="K361" s="212"/>
      <c r="L361" s="109"/>
      <c r="M361" s="6"/>
      <c r="O361" s="2"/>
      <c r="P361" s="2" t="s">
        <v>707</v>
      </c>
      <c r="Q361" s="2" t="s">
        <v>708</v>
      </c>
      <c r="R361" s="2" t="s">
        <v>12</v>
      </c>
      <c r="S361" s="2" t="s">
        <v>709</v>
      </c>
      <c r="T361" s="2" t="s">
        <v>46</v>
      </c>
      <c r="U361" s="2"/>
    </row>
    <row r="362" spans="1:21" x14ac:dyDescent="0.25">
      <c r="A362" s="181"/>
      <c r="B362" s="2"/>
      <c r="C362" s="2"/>
      <c r="D362" s="2"/>
      <c r="E362" s="2"/>
      <c r="F362" s="2"/>
      <c r="G362" s="2"/>
      <c r="H362" s="161"/>
      <c r="I362" s="161"/>
      <c r="J362" s="161"/>
      <c r="K362" s="161"/>
      <c r="L362" s="97"/>
      <c r="M362" s="6"/>
      <c r="O362" s="2"/>
      <c r="P362" s="2" t="s">
        <v>710</v>
      </c>
      <c r="Q362" s="2" t="s">
        <v>711</v>
      </c>
      <c r="R362" s="2" t="s">
        <v>12</v>
      </c>
      <c r="S362" s="2" t="s">
        <v>712</v>
      </c>
      <c r="T362" s="2" t="s">
        <v>125</v>
      </c>
      <c r="U362" s="2"/>
    </row>
    <row r="363" spans="1:21" x14ac:dyDescent="0.25">
      <c r="A363" s="18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4"/>
      <c r="M363" s="6"/>
      <c r="O363" s="2"/>
      <c r="P363" s="2" t="s">
        <v>1672</v>
      </c>
      <c r="Q363" s="2" t="s">
        <v>1673</v>
      </c>
      <c r="R363" s="2" t="s">
        <v>12</v>
      </c>
      <c r="S363" s="2" t="s">
        <v>1674</v>
      </c>
      <c r="T363" s="2" t="s">
        <v>49</v>
      </c>
      <c r="U363" s="2"/>
    </row>
    <row r="364" spans="1:21" x14ac:dyDescent="0.25">
      <c r="A364" s="18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4"/>
      <c r="M364" s="6"/>
      <c r="O364" s="2"/>
      <c r="P364" s="2" t="s">
        <v>1333</v>
      </c>
      <c r="Q364" s="2" t="s">
        <v>1334</v>
      </c>
      <c r="R364" s="2" t="s">
        <v>12</v>
      </c>
      <c r="S364" s="2" t="s">
        <v>1335</v>
      </c>
      <c r="T364" s="2" t="s">
        <v>48</v>
      </c>
      <c r="U364" s="2"/>
    </row>
    <row r="365" spans="1:21" x14ac:dyDescent="0.25">
      <c r="A365" s="18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4"/>
      <c r="M365" s="6"/>
      <c r="O365" s="2"/>
      <c r="P365" s="2" t="s">
        <v>715</v>
      </c>
      <c r="Q365" s="2" t="s">
        <v>716</v>
      </c>
      <c r="R365" s="2" t="s">
        <v>12</v>
      </c>
      <c r="S365" s="2" t="s">
        <v>717</v>
      </c>
      <c r="T365" s="2" t="s">
        <v>46</v>
      </c>
      <c r="U365" s="2"/>
    </row>
    <row r="366" spans="1:21" x14ac:dyDescent="0.25">
      <c r="A366" s="18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4"/>
      <c r="M366" s="6"/>
      <c r="O366" s="2"/>
      <c r="P366" s="2" t="s">
        <v>1675</v>
      </c>
      <c r="Q366" s="2" t="s">
        <v>1676</v>
      </c>
      <c r="R366" s="2" t="s">
        <v>12</v>
      </c>
      <c r="S366" s="2" t="s">
        <v>1677</v>
      </c>
      <c r="T366" s="2" t="s">
        <v>125</v>
      </c>
      <c r="U366" s="2"/>
    </row>
    <row r="367" spans="1:21" x14ac:dyDescent="0.25">
      <c r="A367" s="18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4"/>
      <c r="M367" s="6"/>
      <c r="O367" s="2"/>
      <c r="P367" s="2" t="s">
        <v>2101</v>
      </c>
      <c r="Q367" s="2" t="s">
        <v>2102</v>
      </c>
      <c r="R367" s="2" t="s">
        <v>12</v>
      </c>
      <c r="S367" s="2" t="s">
        <v>2103</v>
      </c>
      <c r="T367" s="2" t="s">
        <v>125</v>
      </c>
      <c r="U367" s="2"/>
    </row>
    <row r="368" spans="1:21" x14ac:dyDescent="0.25">
      <c r="A368" s="18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4"/>
      <c r="M368" s="6"/>
      <c r="O368" s="2"/>
      <c r="P368" s="2" t="s">
        <v>718</v>
      </c>
      <c r="Q368" s="2" t="s">
        <v>719</v>
      </c>
      <c r="R368" s="2" t="s">
        <v>12</v>
      </c>
      <c r="S368" s="2" t="s">
        <v>720</v>
      </c>
      <c r="T368" s="2" t="s">
        <v>44</v>
      </c>
      <c r="U368" s="2"/>
    </row>
    <row r="369" spans="1:21" x14ac:dyDescent="0.25">
      <c r="A369" s="18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4"/>
      <c r="M369" s="6"/>
      <c r="O369" s="2"/>
      <c r="P369" s="2" t="s">
        <v>721</v>
      </c>
      <c r="Q369" s="2" t="s">
        <v>1678</v>
      </c>
      <c r="R369" s="2" t="s">
        <v>12</v>
      </c>
      <c r="S369" s="2" t="s">
        <v>722</v>
      </c>
      <c r="T369" s="2" t="s">
        <v>49</v>
      </c>
      <c r="U369" s="2"/>
    </row>
    <row r="370" spans="1:21" x14ac:dyDescent="0.25">
      <c r="A370" s="18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4"/>
      <c r="M370" s="6"/>
      <c r="O370" s="2"/>
      <c r="P370" s="2" t="s">
        <v>2405</v>
      </c>
      <c r="Q370" s="2" t="s">
        <v>2406</v>
      </c>
      <c r="R370" s="2" t="s">
        <v>12</v>
      </c>
      <c r="S370" s="2" t="s">
        <v>2410</v>
      </c>
      <c r="T370" s="2" t="s">
        <v>125</v>
      </c>
      <c r="U370" s="2"/>
    </row>
    <row r="371" spans="1:21" x14ac:dyDescent="0.25">
      <c r="A371" s="18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4"/>
      <c r="M371" s="6"/>
      <c r="O371" s="2"/>
      <c r="P371" s="2"/>
      <c r="Q371" s="2"/>
      <c r="R371" s="2"/>
      <c r="S371" s="2"/>
      <c r="T371" s="2"/>
      <c r="U371" s="2"/>
    </row>
    <row r="372" spans="1:21" x14ac:dyDescent="0.25">
      <c r="A372" s="18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4"/>
      <c r="M372" s="6"/>
      <c r="O372" s="2"/>
      <c r="P372" s="2"/>
      <c r="Q372" s="2"/>
      <c r="R372" s="2"/>
      <c r="S372" s="2"/>
      <c r="T372" s="2"/>
      <c r="U372" s="2"/>
    </row>
    <row r="373" spans="1:21" x14ac:dyDescent="0.25">
      <c r="A373" s="18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4"/>
      <c r="M373" s="6"/>
      <c r="O373" s="2"/>
      <c r="P373" s="2"/>
      <c r="Q373" s="2"/>
      <c r="R373" s="2"/>
      <c r="S373" s="2"/>
      <c r="T373" s="2"/>
      <c r="U373" s="2"/>
    </row>
    <row r="374" spans="1:21" x14ac:dyDescent="0.25">
      <c r="A374" s="18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4"/>
      <c r="M374" s="6"/>
      <c r="O374" s="2"/>
      <c r="P374" s="2"/>
      <c r="Q374" s="2"/>
      <c r="R374" s="2"/>
      <c r="S374" s="2"/>
      <c r="T374" s="2"/>
      <c r="U374" s="2"/>
    </row>
    <row r="375" spans="1:21" x14ac:dyDescent="0.25">
      <c r="A375" s="18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4"/>
      <c r="M375" s="6"/>
      <c r="N375" s="6"/>
      <c r="O375" s="2"/>
      <c r="P375" s="2"/>
      <c r="Q375" s="2"/>
      <c r="R375" s="2"/>
      <c r="S375" s="2"/>
      <c r="T375" s="2"/>
      <c r="U375" s="2"/>
    </row>
    <row r="376" spans="1:21" x14ac:dyDescent="0.25">
      <c r="A376" s="18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4"/>
      <c r="M376" s="6"/>
      <c r="O376" s="2"/>
      <c r="P376" s="2"/>
      <c r="Q376" s="2"/>
      <c r="R376" s="2"/>
      <c r="S376" s="2"/>
      <c r="T376" s="2"/>
      <c r="U376" s="2"/>
    </row>
    <row r="377" spans="1:21" x14ac:dyDescent="0.25">
      <c r="A377" s="18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4"/>
      <c r="M377" s="6"/>
      <c r="O377" s="2"/>
      <c r="P377" s="2"/>
      <c r="Q377" s="2"/>
      <c r="R377" s="2"/>
      <c r="S377" s="2"/>
      <c r="T377" s="2"/>
      <c r="U377" s="2"/>
    </row>
    <row r="378" spans="1:21" x14ac:dyDescent="0.25">
      <c r="A378" s="18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4"/>
      <c r="M378" s="6"/>
      <c r="O378" s="2"/>
      <c r="P378" s="2"/>
      <c r="Q378" s="2"/>
      <c r="R378" s="2"/>
      <c r="S378" s="2"/>
      <c r="T378" s="2"/>
      <c r="U378" s="2"/>
    </row>
    <row r="379" spans="1:21" x14ac:dyDescent="0.25">
      <c r="A379" s="18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4"/>
      <c r="M379" s="6"/>
      <c r="O379" s="2"/>
      <c r="P379" s="2"/>
      <c r="Q379" s="2"/>
      <c r="R379" s="2"/>
      <c r="S379" s="2"/>
      <c r="T379" s="2"/>
      <c r="U379" s="2"/>
    </row>
    <row r="380" spans="1:21" x14ac:dyDescent="0.25">
      <c r="A380" s="18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4"/>
      <c r="M380" s="6"/>
      <c r="O380" s="2"/>
      <c r="P380" s="2" t="s">
        <v>725</v>
      </c>
      <c r="Q380" s="2" t="s">
        <v>726</v>
      </c>
      <c r="R380" s="2" t="s">
        <v>12</v>
      </c>
      <c r="S380" s="2" t="s">
        <v>727</v>
      </c>
      <c r="T380" s="2" t="s">
        <v>47</v>
      </c>
      <c r="U380" s="2"/>
    </row>
    <row r="381" spans="1:21" x14ac:dyDescent="0.25">
      <c r="A381" s="18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4"/>
      <c r="M381" s="6"/>
      <c r="O381" s="2"/>
      <c r="P381" s="2" t="s">
        <v>2104</v>
      </c>
      <c r="Q381" s="2" t="s">
        <v>2105</v>
      </c>
      <c r="R381" s="2" t="s">
        <v>12</v>
      </c>
      <c r="S381" s="2" t="s">
        <v>2106</v>
      </c>
      <c r="T381" s="2" t="s">
        <v>46</v>
      </c>
      <c r="U381" s="2"/>
    </row>
    <row r="382" spans="1:21" ht="15.75" thickBot="1" x14ac:dyDescent="0.3">
      <c r="A382" s="211"/>
      <c r="B382" s="212"/>
      <c r="C382" s="212"/>
      <c r="D382" s="212"/>
      <c r="E382" s="212"/>
      <c r="F382" s="212"/>
      <c r="G382" s="212"/>
      <c r="H382" s="212"/>
      <c r="I382" s="212"/>
      <c r="J382" s="212"/>
      <c r="K382" s="212"/>
      <c r="L382" s="109"/>
      <c r="M382" s="6"/>
      <c r="O382" s="2"/>
      <c r="P382" s="2" t="s">
        <v>728</v>
      </c>
      <c r="Q382" s="2" t="s">
        <v>729</v>
      </c>
      <c r="R382" s="2" t="s">
        <v>12</v>
      </c>
      <c r="S382" s="2" t="s">
        <v>730</v>
      </c>
      <c r="T382" s="2" t="s">
        <v>301</v>
      </c>
      <c r="U382" s="2"/>
    </row>
    <row r="383" spans="1:21" x14ac:dyDescent="0.25">
      <c r="A383" s="261"/>
      <c r="B383" s="2"/>
      <c r="C383" s="2"/>
      <c r="D383" s="2"/>
      <c r="E383" s="2"/>
      <c r="F383" s="2"/>
      <c r="G383" s="2"/>
      <c r="H383" s="161"/>
      <c r="I383" s="161"/>
      <c r="J383" s="161"/>
      <c r="K383" s="161"/>
      <c r="L383" s="97"/>
      <c r="M383" s="6"/>
      <c r="O383" s="2"/>
      <c r="P383" s="2" t="s">
        <v>1679</v>
      </c>
      <c r="Q383" s="2" t="s">
        <v>1680</v>
      </c>
      <c r="R383" s="2" t="s">
        <v>12</v>
      </c>
      <c r="S383" s="2" t="s">
        <v>1681</v>
      </c>
      <c r="T383" s="2" t="s">
        <v>43</v>
      </c>
      <c r="U383" s="2"/>
    </row>
    <row r="384" spans="1:21" x14ac:dyDescent="0.25">
      <c r="A384" s="26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4"/>
      <c r="M384" s="6"/>
      <c r="O384" s="2"/>
      <c r="P384" s="2" t="s">
        <v>1682</v>
      </c>
      <c r="Q384" s="2" t="s">
        <v>1683</v>
      </c>
      <c r="R384" s="2" t="s">
        <v>12</v>
      </c>
      <c r="S384" s="2" t="s">
        <v>1681</v>
      </c>
      <c r="T384" s="2" t="s">
        <v>43</v>
      </c>
      <c r="U384" s="2"/>
    </row>
    <row r="385" spans="1:21" x14ac:dyDescent="0.25">
      <c r="A385" s="26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4"/>
      <c r="M385" s="6"/>
      <c r="O385" s="2"/>
      <c r="P385" s="2" t="s">
        <v>731</v>
      </c>
      <c r="Q385" s="2" t="s">
        <v>732</v>
      </c>
      <c r="R385" s="2" t="s">
        <v>12</v>
      </c>
      <c r="S385" s="2" t="s">
        <v>733</v>
      </c>
      <c r="T385" s="2" t="s">
        <v>316</v>
      </c>
      <c r="U385" s="2"/>
    </row>
    <row r="386" spans="1:21" x14ac:dyDescent="0.25">
      <c r="A386" s="26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4"/>
      <c r="M386" s="6"/>
      <c r="O386" s="2"/>
      <c r="P386" s="2" t="s">
        <v>734</v>
      </c>
      <c r="Q386" s="2" t="s">
        <v>735</v>
      </c>
      <c r="R386" s="2" t="s">
        <v>12</v>
      </c>
      <c r="S386" s="2" t="s">
        <v>733</v>
      </c>
      <c r="T386" s="2" t="s">
        <v>316</v>
      </c>
      <c r="U386" s="2"/>
    </row>
    <row r="387" spans="1:21" x14ac:dyDescent="0.25">
      <c r="A387" s="26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4"/>
      <c r="M387" s="6"/>
      <c r="O387" s="2"/>
      <c r="P387" s="2" t="s">
        <v>736</v>
      </c>
      <c r="Q387" s="2" t="s">
        <v>737</v>
      </c>
      <c r="R387" s="2" t="s">
        <v>12</v>
      </c>
      <c r="S387" s="2" t="s">
        <v>738</v>
      </c>
      <c r="T387" s="2" t="s">
        <v>49</v>
      </c>
      <c r="U387" s="2"/>
    </row>
    <row r="388" spans="1:21" x14ac:dyDescent="0.25">
      <c r="A388" s="18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4"/>
      <c r="M388" s="6"/>
      <c r="O388" s="2"/>
      <c r="P388" s="2" t="s">
        <v>713</v>
      </c>
      <c r="Q388" s="2" t="s">
        <v>714</v>
      </c>
      <c r="R388" s="2" t="s">
        <v>12</v>
      </c>
      <c r="S388" s="2" t="s">
        <v>2107</v>
      </c>
      <c r="T388" s="2" t="s">
        <v>49</v>
      </c>
      <c r="U388" s="2"/>
    </row>
    <row r="389" spans="1:21" x14ac:dyDescent="0.25">
      <c r="A389" s="26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4"/>
      <c r="M389" s="6"/>
      <c r="O389" s="2"/>
      <c r="P389" s="2" t="s">
        <v>1684</v>
      </c>
      <c r="Q389" s="2" t="s">
        <v>1685</v>
      </c>
      <c r="R389" s="2" t="s">
        <v>12</v>
      </c>
      <c r="S389" s="2" t="s">
        <v>1336</v>
      </c>
      <c r="T389" s="2" t="s">
        <v>301</v>
      </c>
      <c r="U389" s="2"/>
    </row>
    <row r="390" spans="1:21" x14ac:dyDescent="0.25">
      <c r="A390" s="26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4"/>
      <c r="M390" s="6"/>
      <c r="O390" s="2"/>
      <c r="P390" s="2" t="s">
        <v>139</v>
      </c>
      <c r="Q390" s="2" t="s">
        <v>140</v>
      </c>
      <c r="R390" s="2" t="s">
        <v>12</v>
      </c>
      <c r="S390" s="2" t="s">
        <v>141</v>
      </c>
      <c r="T390" s="2" t="s">
        <v>142</v>
      </c>
      <c r="U390" s="2"/>
    </row>
    <row r="391" spans="1:21" ht="15.75" thickBot="1" x14ac:dyDescent="0.3">
      <c r="A391" s="262"/>
      <c r="B391" s="212"/>
      <c r="C391" s="212"/>
      <c r="D391" s="212"/>
      <c r="E391" s="212"/>
      <c r="F391" s="212"/>
      <c r="G391" s="212"/>
      <c r="H391" s="212"/>
      <c r="I391" s="212"/>
      <c r="J391" s="212"/>
      <c r="K391" s="212"/>
      <c r="L391" s="109"/>
      <c r="M391" s="6"/>
      <c r="O391" s="2"/>
      <c r="P391" s="2" t="s">
        <v>1686</v>
      </c>
      <c r="Q391" s="2" t="s">
        <v>1687</v>
      </c>
      <c r="R391" s="2" t="s">
        <v>12</v>
      </c>
      <c r="S391" s="2" t="s">
        <v>1688</v>
      </c>
      <c r="T391" s="2" t="s">
        <v>47</v>
      </c>
      <c r="U391" s="2"/>
    </row>
    <row r="392" spans="1:21" x14ac:dyDescent="0.25">
      <c r="A392" s="181"/>
      <c r="B392" s="2"/>
      <c r="C392" s="2"/>
      <c r="D392" s="2"/>
      <c r="E392" s="2"/>
      <c r="F392" s="2"/>
      <c r="G392" s="2"/>
      <c r="H392" s="161"/>
      <c r="I392" s="161"/>
      <c r="J392" s="161"/>
      <c r="K392" s="161"/>
      <c r="L392" s="97"/>
      <c r="M392" s="6"/>
      <c r="O392" s="2"/>
      <c r="P392" s="2" t="s">
        <v>2108</v>
      </c>
      <c r="Q392" s="2" t="s">
        <v>2109</v>
      </c>
      <c r="R392" s="2" t="s">
        <v>12</v>
      </c>
      <c r="S392" s="2" t="s">
        <v>2110</v>
      </c>
      <c r="T392" s="2" t="s">
        <v>329</v>
      </c>
      <c r="U392" s="2"/>
    </row>
    <row r="393" spans="1:21" x14ac:dyDescent="0.25">
      <c r="A393" s="18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4"/>
      <c r="M393" s="6"/>
      <c r="O393" s="2"/>
      <c r="P393" s="2" t="s">
        <v>1689</v>
      </c>
      <c r="Q393" s="2" t="s">
        <v>1690</v>
      </c>
      <c r="R393" s="2" t="s">
        <v>12</v>
      </c>
      <c r="S393" s="2" t="s">
        <v>1691</v>
      </c>
      <c r="T393" s="2" t="s">
        <v>1692</v>
      </c>
      <c r="U393" s="2"/>
    </row>
    <row r="394" spans="1:21" x14ac:dyDescent="0.25">
      <c r="A394" s="18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4"/>
      <c r="M394" s="6"/>
      <c r="O394" s="2"/>
      <c r="P394" s="2" t="s">
        <v>739</v>
      </c>
      <c r="Q394" s="2" t="s">
        <v>740</v>
      </c>
      <c r="R394" s="2" t="s">
        <v>12</v>
      </c>
      <c r="S394" s="2" t="s">
        <v>741</v>
      </c>
      <c r="T394" s="2" t="s">
        <v>12</v>
      </c>
      <c r="U394" s="2"/>
    </row>
    <row r="395" spans="1:21" x14ac:dyDescent="0.25">
      <c r="A395" s="18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4"/>
      <c r="M395" s="6"/>
      <c r="N395" s="6"/>
      <c r="O395" s="2"/>
      <c r="P395" s="2" t="s">
        <v>742</v>
      </c>
      <c r="Q395" s="2" t="s">
        <v>743</v>
      </c>
      <c r="R395" s="2" t="s">
        <v>12</v>
      </c>
      <c r="S395" s="2" t="s">
        <v>744</v>
      </c>
      <c r="T395" s="2" t="s">
        <v>316</v>
      </c>
      <c r="U395" s="2"/>
    </row>
    <row r="396" spans="1:21" x14ac:dyDescent="0.25">
      <c r="A396" s="18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4"/>
      <c r="M396" s="6"/>
      <c r="N396" s="6"/>
      <c r="O396" s="2"/>
      <c r="P396" s="2" t="s">
        <v>1693</v>
      </c>
      <c r="Q396" s="2" t="s">
        <v>1694</v>
      </c>
      <c r="R396" s="2" t="s">
        <v>12</v>
      </c>
      <c r="S396" s="2" t="s">
        <v>1695</v>
      </c>
      <c r="T396" s="2" t="s">
        <v>316</v>
      </c>
      <c r="U396" s="2"/>
    </row>
    <row r="397" spans="1:21" x14ac:dyDescent="0.25">
      <c r="A397" s="18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4"/>
      <c r="M397" s="6"/>
      <c r="N397" s="6"/>
      <c r="O397" s="2"/>
      <c r="P397" s="2" t="s">
        <v>1696</v>
      </c>
      <c r="Q397" s="2" t="s">
        <v>1697</v>
      </c>
      <c r="R397" s="2" t="s">
        <v>12</v>
      </c>
      <c r="S397" s="2" t="s">
        <v>1698</v>
      </c>
      <c r="T397" s="2" t="s">
        <v>46</v>
      </c>
      <c r="U397" s="2"/>
    </row>
    <row r="398" spans="1:21" x14ac:dyDescent="0.25">
      <c r="A398" s="18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4"/>
      <c r="M398" s="6"/>
      <c r="N398" s="6"/>
      <c r="O398" s="2"/>
      <c r="P398" s="2" t="s">
        <v>1699</v>
      </c>
      <c r="Q398" s="2" t="s">
        <v>1700</v>
      </c>
      <c r="R398" s="2" t="s">
        <v>12</v>
      </c>
      <c r="S398" s="2" t="s">
        <v>1701</v>
      </c>
      <c r="T398" s="2" t="s">
        <v>46</v>
      </c>
      <c r="U398" s="2"/>
    </row>
    <row r="399" spans="1:21" x14ac:dyDescent="0.25">
      <c r="A399" s="18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4"/>
      <c r="M399" s="6"/>
      <c r="N399" s="6"/>
      <c r="O399" s="2"/>
      <c r="P399" s="2" t="s">
        <v>2111</v>
      </c>
      <c r="Q399" s="2" t="s">
        <v>2112</v>
      </c>
      <c r="R399" s="2" t="s">
        <v>12</v>
      </c>
      <c r="S399" s="2" t="s">
        <v>2113</v>
      </c>
      <c r="T399" s="2" t="s">
        <v>47</v>
      </c>
      <c r="U399" s="2"/>
    </row>
    <row r="400" spans="1:21" x14ac:dyDescent="0.25">
      <c r="A400" s="18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4"/>
      <c r="M400" s="6"/>
      <c r="N400" s="6"/>
      <c r="O400" s="2"/>
      <c r="P400" s="2" t="s">
        <v>2114</v>
      </c>
      <c r="Q400" s="2" t="s">
        <v>2115</v>
      </c>
      <c r="R400" s="2" t="s">
        <v>12</v>
      </c>
      <c r="S400" s="2" t="s">
        <v>1379</v>
      </c>
      <c r="T400" s="2" t="s">
        <v>301</v>
      </c>
      <c r="U400" s="2"/>
    </row>
    <row r="401" spans="1:21" ht="15.75" thickBot="1" x14ac:dyDescent="0.3">
      <c r="A401" s="211"/>
      <c r="B401" s="212"/>
      <c r="C401" s="212"/>
      <c r="D401" s="212"/>
      <c r="E401" s="212"/>
      <c r="F401" s="212"/>
      <c r="G401" s="212"/>
      <c r="H401" s="212"/>
      <c r="I401" s="212"/>
      <c r="J401" s="212"/>
      <c r="K401" s="212"/>
      <c r="L401" s="109"/>
      <c r="M401" s="6"/>
      <c r="N401" s="6"/>
      <c r="O401" s="2"/>
      <c r="P401" s="2" t="s">
        <v>745</v>
      </c>
      <c r="Q401" s="2" t="s">
        <v>746</v>
      </c>
      <c r="R401" s="2" t="s">
        <v>12</v>
      </c>
      <c r="S401" s="2" t="s">
        <v>747</v>
      </c>
      <c r="T401" s="2" t="s">
        <v>46</v>
      </c>
      <c r="U401" s="2"/>
    </row>
    <row r="402" spans="1:21" x14ac:dyDescent="0.25">
      <c r="A402" s="181"/>
      <c r="B402" s="2"/>
      <c r="C402" s="2"/>
      <c r="D402" s="2"/>
      <c r="E402" s="2"/>
      <c r="F402" s="2"/>
      <c r="G402" s="2"/>
      <c r="H402" s="161"/>
      <c r="I402" s="161"/>
      <c r="J402" s="161"/>
      <c r="K402" s="161"/>
      <c r="L402" s="97"/>
      <c r="M402" s="6"/>
      <c r="N402" s="6"/>
      <c r="O402" s="2"/>
      <c r="P402" s="2" t="s">
        <v>748</v>
      </c>
      <c r="Q402" s="2" t="s">
        <v>749</v>
      </c>
      <c r="R402" s="2" t="s">
        <v>12</v>
      </c>
      <c r="S402" s="2" t="s">
        <v>750</v>
      </c>
      <c r="T402" s="2" t="s">
        <v>44</v>
      </c>
      <c r="U402" s="2"/>
    </row>
    <row r="403" spans="1:21" x14ac:dyDescent="0.25">
      <c r="A403" s="181"/>
      <c r="B403" s="2"/>
      <c r="C403" s="2"/>
      <c r="D403" s="2"/>
      <c r="E403" s="2"/>
      <c r="F403" s="2"/>
      <c r="G403" s="2"/>
      <c r="H403" s="161"/>
      <c r="I403" s="161"/>
      <c r="J403" s="161"/>
      <c r="K403" s="161"/>
      <c r="L403" s="97"/>
      <c r="M403" s="6"/>
      <c r="N403" s="6"/>
      <c r="O403" s="2"/>
      <c r="P403" s="2" t="s">
        <v>2116</v>
      </c>
      <c r="Q403" s="2" t="s">
        <v>2117</v>
      </c>
      <c r="R403" s="2" t="s">
        <v>12</v>
      </c>
      <c r="S403" s="2" t="s">
        <v>2118</v>
      </c>
      <c r="T403" s="2" t="s">
        <v>47</v>
      </c>
      <c r="U403" s="2"/>
    </row>
    <row r="404" spans="1:21" x14ac:dyDescent="0.25">
      <c r="A404" s="18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4"/>
      <c r="M404" s="6"/>
      <c r="N404" s="6"/>
      <c r="O404" s="2"/>
      <c r="P404" s="2" t="s">
        <v>751</v>
      </c>
      <c r="Q404" s="2" t="s">
        <v>752</v>
      </c>
      <c r="R404" s="2" t="s">
        <v>12</v>
      </c>
      <c r="S404" s="2" t="s">
        <v>753</v>
      </c>
      <c r="T404" s="2" t="s">
        <v>329</v>
      </c>
      <c r="U404" s="2"/>
    </row>
    <row r="405" spans="1:21" x14ac:dyDescent="0.25">
      <c r="A405" s="18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4"/>
      <c r="M405" s="6"/>
      <c r="N405" s="6"/>
      <c r="O405" s="2"/>
      <c r="P405" s="2" t="s">
        <v>1702</v>
      </c>
      <c r="Q405" s="2" t="s">
        <v>1703</v>
      </c>
      <c r="R405" s="2" t="s">
        <v>12</v>
      </c>
      <c r="S405" s="2" t="s">
        <v>1704</v>
      </c>
      <c r="T405" s="2" t="s">
        <v>329</v>
      </c>
      <c r="U405" s="2"/>
    </row>
    <row r="406" spans="1:21" x14ac:dyDescent="0.25">
      <c r="A406" s="18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4"/>
      <c r="M406" s="6"/>
      <c r="N406" s="6"/>
      <c r="O406" s="2"/>
      <c r="P406" s="2" t="s">
        <v>754</v>
      </c>
      <c r="Q406" s="2" t="s">
        <v>755</v>
      </c>
      <c r="R406" s="2" t="s">
        <v>12</v>
      </c>
      <c r="S406" s="2" t="s">
        <v>2335</v>
      </c>
      <c r="T406" s="2" t="s">
        <v>316</v>
      </c>
      <c r="U406" s="2"/>
    </row>
    <row r="407" spans="1:21" x14ac:dyDescent="0.25">
      <c r="A407" s="18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4"/>
      <c r="M407" s="6"/>
      <c r="N407" s="6"/>
      <c r="O407" s="2"/>
      <c r="P407" s="2" t="s">
        <v>2332</v>
      </c>
      <c r="Q407" s="2" t="s">
        <v>2333</v>
      </c>
      <c r="R407" s="2" t="s">
        <v>12</v>
      </c>
      <c r="S407" s="2" t="s">
        <v>2335</v>
      </c>
      <c r="T407" s="2" t="s">
        <v>1692</v>
      </c>
      <c r="U407" s="2"/>
    </row>
    <row r="408" spans="1:21" x14ac:dyDescent="0.25">
      <c r="A408" s="18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4"/>
      <c r="M408" s="6"/>
      <c r="N408" s="6"/>
      <c r="O408" s="2"/>
      <c r="P408" s="2" t="s">
        <v>1705</v>
      </c>
      <c r="Q408" s="2" t="s">
        <v>1706</v>
      </c>
      <c r="R408" s="2" t="s">
        <v>12</v>
      </c>
      <c r="S408" s="2" t="s">
        <v>1707</v>
      </c>
      <c r="T408" s="2" t="s">
        <v>48</v>
      </c>
      <c r="U408" s="2"/>
    </row>
    <row r="409" spans="1:21" x14ac:dyDescent="0.25">
      <c r="A409" s="18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4"/>
      <c r="M409" s="6"/>
      <c r="N409" s="6"/>
      <c r="O409" s="2"/>
      <c r="P409" s="2" t="s">
        <v>756</v>
      </c>
      <c r="Q409" s="2" t="s">
        <v>757</v>
      </c>
      <c r="R409" s="2" t="s">
        <v>12</v>
      </c>
      <c r="S409" s="2" t="s">
        <v>758</v>
      </c>
      <c r="T409" s="2" t="s">
        <v>125</v>
      </c>
      <c r="U409" s="2"/>
    </row>
    <row r="410" spans="1:21" x14ac:dyDescent="0.25">
      <c r="A410" s="18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4"/>
      <c r="M410" s="6"/>
      <c r="N410" s="6"/>
      <c r="O410" s="2"/>
      <c r="P410" s="2" t="s">
        <v>1708</v>
      </c>
      <c r="Q410" s="2" t="s">
        <v>1709</v>
      </c>
      <c r="R410" s="2" t="s">
        <v>12</v>
      </c>
      <c r="S410" s="2" t="s">
        <v>1710</v>
      </c>
      <c r="T410" s="2" t="s">
        <v>1692</v>
      </c>
      <c r="U410" s="2"/>
    </row>
    <row r="411" spans="1:21" x14ac:dyDescent="0.25">
      <c r="A411" s="18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4"/>
      <c r="M411" s="6"/>
      <c r="N411" s="6"/>
      <c r="O411" s="2"/>
      <c r="P411" s="2" t="s">
        <v>1711</v>
      </c>
      <c r="Q411" s="2" t="s">
        <v>1712</v>
      </c>
      <c r="R411" s="2" t="s">
        <v>12</v>
      </c>
      <c r="S411" s="2" t="s">
        <v>1713</v>
      </c>
      <c r="T411" s="2" t="s">
        <v>316</v>
      </c>
      <c r="U411" s="2"/>
    </row>
    <row r="412" spans="1:21" x14ac:dyDescent="0.25">
      <c r="A412" s="18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4"/>
      <c r="M412" s="6"/>
      <c r="N412" s="6"/>
      <c r="O412" s="2"/>
      <c r="P412" s="2" t="s">
        <v>759</v>
      </c>
      <c r="Q412" s="2" t="s">
        <v>760</v>
      </c>
      <c r="R412" s="2" t="s">
        <v>12</v>
      </c>
      <c r="S412" s="2" t="s">
        <v>761</v>
      </c>
      <c r="T412" s="2" t="s">
        <v>43</v>
      </c>
      <c r="U412" s="2"/>
    </row>
    <row r="413" spans="1:21" x14ac:dyDescent="0.25">
      <c r="A413" s="18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4"/>
      <c r="M413" s="6"/>
      <c r="N413" s="6"/>
      <c r="O413" s="2"/>
      <c r="P413" s="2" t="s">
        <v>762</v>
      </c>
      <c r="Q413" s="2" t="s">
        <v>763</v>
      </c>
      <c r="R413" s="2" t="s">
        <v>12</v>
      </c>
      <c r="S413" s="2" t="s">
        <v>764</v>
      </c>
      <c r="T413" s="2" t="s">
        <v>46</v>
      </c>
      <c r="U413" s="2"/>
    </row>
    <row r="414" spans="1:21" x14ac:dyDescent="0.25">
      <c r="A414" s="18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4"/>
      <c r="M414" s="6"/>
      <c r="N414" s="6"/>
      <c r="O414" s="2"/>
      <c r="P414" s="2" t="s">
        <v>1714</v>
      </c>
      <c r="Q414" s="2" t="s">
        <v>1715</v>
      </c>
      <c r="R414" s="2" t="s">
        <v>12</v>
      </c>
      <c r="S414" s="2" t="s">
        <v>1716</v>
      </c>
      <c r="T414" s="2" t="s">
        <v>43</v>
      </c>
      <c r="U414" s="2"/>
    </row>
    <row r="415" spans="1:21" x14ac:dyDescent="0.25">
      <c r="A415" s="18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4"/>
      <c r="M415" s="6"/>
      <c r="N415" s="6"/>
      <c r="O415" s="2"/>
      <c r="P415" s="2" t="s">
        <v>765</v>
      </c>
      <c r="Q415" s="2" t="s">
        <v>766</v>
      </c>
      <c r="R415" s="2" t="s">
        <v>12</v>
      </c>
      <c r="S415" s="2" t="s">
        <v>767</v>
      </c>
      <c r="T415" s="2" t="s">
        <v>46</v>
      </c>
      <c r="U415" s="2"/>
    </row>
    <row r="416" spans="1:21" ht="15.75" thickBot="1" x14ac:dyDescent="0.3">
      <c r="A416" s="211"/>
      <c r="B416" s="212"/>
      <c r="C416" s="212"/>
      <c r="D416" s="212"/>
      <c r="E416" s="212"/>
      <c r="F416" s="212"/>
      <c r="G416" s="212"/>
      <c r="H416" s="212"/>
      <c r="I416" s="212"/>
      <c r="J416" s="212"/>
      <c r="K416" s="212"/>
      <c r="L416" s="109"/>
      <c r="M416" s="6"/>
      <c r="N416" s="6"/>
      <c r="O416" s="2"/>
      <c r="P416" s="2" t="s">
        <v>1717</v>
      </c>
      <c r="Q416" s="2" t="s">
        <v>1718</v>
      </c>
      <c r="R416" s="2" t="s">
        <v>12</v>
      </c>
      <c r="S416" s="2" t="s">
        <v>1719</v>
      </c>
      <c r="T416" s="2" t="s">
        <v>45</v>
      </c>
      <c r="U416" s="2"/>
    </row>
    <row r="417" spans="1:21" x14ac:dyDescent="0.25">
      <c r="A417" s="263"/>
      <c r="B417" s="2"/>
      <c r="C417" s="2"/>
      <c r="D417" s="2"/>
      <c r="E417" s="2"/>
      <c r="F417" s="2"/>
      <c r="G417" s="2"/>
      <c r="H417" s="161"/>
      <c r="I417" s="161"/>
      <c r="J417" s="161"/>
      <c r="K417" s="161"/>
      <c r="L417" s="97"/>
      <c r="M417" s="6"/>
      <c r="N417" s="6"/>
      <c r="O417" s="2"/>
      <c r="P417" s="2" t="s">
        <v>2119</v>
      </c>
      <c r="Q417" s="2" t="s">
        <v>2120</v>
      </c>
      <c r="R417" s="2" t="s">
        <v>12</v>
      </c>
      <c r="S417" s="2" t="s">
        <v>2121</v>
      </c>
      <c r="T417" s="2" t="s">
        <v>2122</v>
      </c>
      <c r="U417" s="2"/>
    </row>
    <row r="418" spans="1:21" x14ac:dyDescent="0.25">
      <c r="A418" s="26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4"/>
      <c r="M418" s="6"/>
      <c r="N418" s="6"/>
      <c r="O418" s="2"/>
      <c r="P418" s="2" t="s">
        <v>2123</v>
      </c>
      <c r="Q418" s="2" t="s">
        <v>2124</v>
      </c>
      <c r="R418" s="2" t="s">
        <v>12</v>
      </c>
      <c r="S418" s="2" t="s">
        <v>2125</v>
      </c>
      <c r="T418" s="2" t="s">
        <v>191</v>
      </c>
      <c r="U418" s="2"/>
    </row>
    <row r="419" spans="1:21" x14ac:dyDescent="0.25">
      <c r="A419" s="26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4"/>
      <c r="M419" s="6"/>
      <c r="N419" s="6"/>
      <c r="O419" s="2"/>
      <c r="P419" s="2" t="s">
        <v>1720</v>
      </c>
      <c r="Q419" s="2" t="s">
        <v>1721</v>
      </c>
      <c r="R419" s="2" t="s">
        <v>12</v>
      </c>
      <c r="S419" s="2" t="s">
        <v>1722</v>
      </c>
      <c r="T419" s="2" t="s">
        <v>301</v>
      </c>
      <c r="U419" s="2"/>
    </row>
    <row r="420" spans="1:21" x14ac:dyDescent="0.25">
      <c r="A420" s="26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4"/>
      <c r="M420" s="6"/>
      <c r="O420" s="2"/>
      <c r="P420" s="2" t="s">
        <v>1723</v>
      </c>
      <c r="Q420" s="2" t="s">
        <v>1724</v>
      </c>
      <c r="R420" s="2" t="s">
        <v>12</v>
      </c>
      <c r="S420" s="2" t="s">
        <v>1725</v>
      </c>
      <c r="T420" s="2" t="s">
        <v>125</v>
      </c>
      <c r="U420" s="2"/>
    </row>
    <row r="421" spans="1:21" x14ac:dyDescent="0.25">
      <c r="A421" s="26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4"/>
      <c r="M421" s="6"/>
      <c r="O421" s="2"/>
      <c r="P421" s="2" t="s">
        <v>1726</v>
      </c>
      <c r="Q421" s="2" t="s">
        <v>1727</v>
      </c>
      <c r="R421" s="2" t="s">
        <v>12</v>
      </c>
      <c r="S421" s="2" t="s">
        <v>1728</v>
      </c>
      <c r="T421" s="2" t="s">
        <v>47</v>
      </c>
      <c r="U421" s="2"/>
    </row>
    <row r="422" spans="1:21" x14ac:dyDescent="0.25">
      <c r="A422" s="26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4"/>
      <c r="M422" s="6"/>
      <c r="O422" s="2"/>
      <c r="P422" s="2" t="s">
        <v>1729</v>
      </c>
      <c r="Q422" s="2" t="s">
        <v>1730</v>
      </c>
      <c r="R422" s="2" t="s">
        <v>12</v>
      </c>
      <c r="S422" s="2" t="s">
        <v>1731</v>
      </c>
      <c r="T422" s="2" t="s">
        <v>309</v>
      </c>
      <c r="U422" s="2"/>
    </row>
    <row r="423" spans="1:21" x14ac:dyDescent="0.25">
      <c r="A423" s="26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4"/>
      <c r="M423" s="6"/>
      <c r="O423" s="2"/>
      <c r="P423" s="2" t="s">
        <v>768</v>
      </c>
      <c r="Q423" s="2" t="s">
        <v>769</v>
      </c>
      <c r="R423" s="2" t="s">
        <v>12</v>
      </c>
      <c r="S423" s="2" t="s">
        <v>770</v>
      </c>
      <c r="T423" s="2" t="s">
        <v>44</v>
      </c>
      <c r="U423" s="2"/>
    </row>
    <row r="424" spans="1:21" x14ac:dyDescent="0.25">
      <c r="A424" s="26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4"/>
      <c r="M424" s="6"/>
      <c r="O424" s="2"/>
      <c r="P424" s="2" t="s">
        <v>1337</v>
      </c>
      <c r="Q424" s="2" t="s">
        <v>1338</v>
      </c>
      <c r="R424" s="2" t="s">
        <v>12</v>
      </c>
      <c r="S424" s="2" t="s">
        <v>1339</v>
      </c>
      <c r="T424" s="2" t="s">
        <v>44</v>
      </c>
      <c r="U424" s="2"/>
    </row>
    <row r="425" spans="1:21" x14ac:dyDescent="0.25">
      <c r="A425" s="26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4"/>
      <c r="M425" s="6"/>
      <c r="O425" s="2"/>
      <c r="P425" s="2" t="s">
        <v>2126</v>
      </c>
      <c r="Q425" s="2" t="s">
        <v>2127</v>
      </c>
      <c r="R425" s="2" t="s">
        <v>12</v>
      </c>
      <c r="S425" s="2" t="s">
        <v>2128</v>
      </c>
      <c r="T425" s="2" t="s">
        <v>316</v>
      </c>
      <c r="U425" s="2"/>
    </row>
    <row r="426" spans="1:21" x14ac:dyDescent="0.25">
      <c r="A426" s="26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4"/>
      <c r="M426" s="6"/>
      <c r="O426" s="2"/>
      <c r="P426" s="2" t="s">
        <v>1732</v>
      </c>
      <c r="Q426" s="2" t="s">
        <v>1733</v>
      </c>
      <c r="R426" s="2" t="s">
        <v>12</v>
      </c>
      <c r="S426" s="2" t="s">
        <v>1382</v>
      </c>
      <c r="T426" s="2" t="s">
        <v>125</v>
      </c>
      <c r="U426" s="2"/>
    </row>
    <row r="427" spans="1:21" x14ac:dyDescent="0.25">
      <c r="A427" s="26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4"/>
      <c r="M427" s="6"/>
      <c r="O427" s="2"/>
      <c r="P427" s="2" t="s">
        <v>1734</v>
      </c>
      <c r="Q427" s="2" t="s">
        <v>1735</v>
      </c>
      <c r="R427" s="2" t="s">
        <v>12</v>
      </c>
      <c r="S427" s="2" t="s">
        <v>1736</v>
      </c>
      <c r="T427" s="2" t="s">
        <v>43</v>
      </c>
      <c r="U427" s="2"/>
    </row>
    <row r="428" spans="1:21" x14ac:dyDescent="0.25">
      <c r="A428" s="26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4"/>
      <c r="M428" s="6"/>
      <c r="O428" s="2"/>
      <c r="P428" s="2" t="s">
        <v>1340</v>
      </c>
      <c r="Q428" s="2" t="s">
        <v>1341</v>
      </c>
      <c r="R428" s="2" t="s">
        <v>12</v>
      </c>
      <c r="S428" s="2" t="s">
        <v>1342</v>
      </c>
      <c r="T428" s="2" t="s">
        <v>43</v>
      </c>
      <c r="U428" s="2"/>
    </row>
    <row r="429" spans="1:21" x14ac:dyDescent="0.25">
      <c r="A429" s="26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4"/>
      <c r="M429" s="6"/>
      <c r="O429" s="2"/>
      <c r="P429" s="2" t="s">
        <v>771</v>
      </c>
      <c r="Q429" s="2" t="s">
        <v>772</v>
      </c>
      <c r="R429" s="2" t="s">
        <v>12</v>
      </c>
      <c r="S429" s="2" t="s">
        <v>773</v>
      </c>
      <c r="T429" s="2" t="s">
        <v>46</v>
      </c>
      <c r="U429" s="2"/>
    </row>
    <row r="430" spans="1:21" x14ac:dyDescent="0.25">
      <c r="A430" s="26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4"/>
      <c r="M430" s="6"/>
      <c r="O430" s="2"/>
      <c r="P430" s="2" t="s">
        <v>774</v>
      </c>
      <c r="Q430" s="2" t="s">
        <v>775</v>
      </c>
      <c r="R430" s="2" t="s">
        <v>12</v>
      </c>
      <c r="S430" s="2" t="s">
        <v>776</v>
      </c>
      <c r="T430" s="2" t="s">
        <v>316</v>
      </c>
      <c r="U430" s="2"/>
    </row>
    <row r="431" spans="1:21" x14ac:dyDescent="0.25">
      <c r="A431" s="26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4"/>
      <c r="M431" s="6"/>
      <c r="O431" s="2"/>
      <c r="P431" s="2" t="s">
        <v>777</v>
      </c>
      <c r="Q431" s="2" t="s">
        <v>778</v>
      </c>
      <c r="R431" s="2" t="s">
        <v>12</v>
      </c>
      <c r="S431" s="2" t="s">
        <v>779</v>
      </c>
      <c r="T431" s="2" t="s">
        <v>43</v>
      </c>
      <c r="U431" s="2"/>
    </row>
    <row r="432" spans="1:21" x14ac:dyDescent="0.25">
      <c r="A432" s="26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4"/>
      <c r="M432" s="6"/>
      <c r="O432" s="2"/>
      <c r="P432" s="2" t="s">
        <v>780</v>
      </c>
      <c r="Q432" s="2" t="s">
        <v>781</v>
      </c>
      <c r="R432" s="2" t="s">
        <v>12</v>
      </c>
      <c r="S432" s="2" t="s">
        <v>782</v>
      </c>
      <c r="T432" s="2" t="s">
        <v>49</v>
      </c>
      <c r="U432" s="2"/>
    </row>
    <row r="433" spans="1:21" x14ac:dyDescent="0.25">
      <c r="A433" s="26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4"/>
      <c r="M433" s="6"/>
      <c r="O433" s="2"/>
      <c r="P433" s="2" t="s">
        <v>783</v>
      </c>
      <c r="Q433" s="2" t="s">
        <v>784</v>
      </c>
      <c r="R433" s="2" t="s">
        <v>14</v>
      </c>
      <c r="S433" s="2" t="s">
        <v>785</v>
      </c>
      <c r="T433" s="2" t="s">
        <v>32</v>
      </c>
      <c r="U433" s="2"/>
    </row>
    <row r="434" spans="1:21" x14ac:dyDescent="0.25">
      <c r="A434" s="26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4"/>
      <c r="M434" s="6"/>
      <c r="O434" s="2"/>
      <c r="P434" s="2" t="s">
        <v>786</v>
      </c>
      <c r="Q434" s="2" t="s">
        <v>787</v>
      </c>
      <c r="R434" s="2" t="s">
        <v>14</v>
      </c>
      <c r="S434" s="2" t="s">
        <v>788</v>
      </c>
      <c r="T434" s="2" t="s">
        <v>32</v>
      </c>
      <c r="U434" s="2"/>
    </row>
    <row r="435" spans="1:21" x14ac:dyDescent="0.25">
      <c r="A435" s="26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4"/>
      <c r="M435" s="6"/>
      <c r="O435" s="2"/>
      <c r="P435" s="2" t="s">
        <v>789</v>
      </c>
      <c r="Q435" s="2" t="s">
        <v>790</v>
      </c>
      <c r="R435" s="2" t="s">
        <v>14</v>
      </c>
      <c r="S435" s="2" t="s">
        <v>788</v>
      </c>
      <c r="T435" s="2" t="s">
        <v>32</v>
      </c>
      <c r="U435" s="2"/>
    </row>
    <row r="436" spans="1:21" x14ac:dyDescent="0.25">
      <c r="A436" s="26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4"/>
      <c r="M436" s="6"/>
      <c r="O436" s="2"/>
      <c r="P436" s="2" t="s">
        <v>791</v>
      </c>
      <c r="Q436" s="2" t="s">
        <v>792</v>
      </c>
      <c r="R436" s="2" t="s">
        <v>14</v>
      </c>
      <c r="S436" s="2" t="s">
        <v>793</v>
      </c>
      <c r="T436" s="2" t="s">
        <v>32</v>
      </c>
      <c r="U436" s="2"/>
    </row>
    <row r="437" spans="1:21" x14ac:dyDescent="0.25">
      <c r="A437" s="26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4"/>
      <c r="M437" s="6"/>
      <c r="O437" s="2"/>
      <c r="P437" s="2" t="s">
        <v>1360</v>
      </c>
      <c r="Q437" s="2" t="s">
        <v>1361</v>
      </c>
      <c r="R437" s="2" t="s">
        <v>14</v>
      </c>
      <c r="S437" s="2" t="s">
        <v>2284</v>
      </c>
      <c r="T437" s="2" t="s">
        <v>32</v>
      </c>
      <c r="U437" s="2"/>
    </row>
    <row r="438" spans="1:21" x14ac:dyDescent="0.25">
      <c r="A438" s="26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4"/>
      <c r="M438" s="6"/>
      <c r="O438" s="2"/>
      <c r="P438" s="2" t="s">
        <v>1737</v>
      </c>
      <c r="Q438" s="2" t="s">
        <v>1738</v>
      </c>
      <c r="R438" s="2" t="s">
        <v>14</v>
      </c>
      <c r="S438" s="2" t="s">
        <v>1739</v>
      </c>
      <c r="T438" s="2" t="s">
        <v>32</v>
      </c>
      <c r="U438" s="2"/>
    </row>
    <row r="439" spans="1:21" ht="15.75" thickBot="1" x14ac:dyDescent="0.3">
      <c r="A439" s="211"/>
      <c r="B439" s="212"/>
      <c r="C439" s="212"/>
      <c r="D439" s="212"/>
      <c r="E439" s="212"/>
      <c r="F439" s="212"/>
      <c r="G439" s="212"/>
      <c r="H439" s="212"/>
      <c r="I439" s="212"/>
      <c r="J439" s="212"/>
      <c r="K439" s="212"/>
      <c r="L439" s="109"/>
      <c r="M439" s="6"/>
      <c r="O439" s="2"/>
      <c r="P439" s="2" t="s">
        <v>1740</v>
      </c>
      <c r="Q439" s="2" t="s">
        <v>1741</v>
      </c>
      <c r="R439" s="2" t="s">
        <v>14</v>
      </c>
      <c r="S439" s="2" t="s">
        <v>1742</v>
      </c>
      <c r="T439" s="2" t="s">
        <v>32</v>
      </c>
      <c r="U439" s="2"/>
    </row>
    <row r="440" spans="1:21" x14ac:dyDescent="0.25">
      <c r="A440" s="261"/>
      <c r="B440" s="2"/>
      <c r="C440" s="2"/>
      <c r="D440" s="2"/>
      <c r="E440" s="2"/>
      <c r="F440" s="2"/>
      <c r="G440" s="161"/>
      <c r="H440" s="161"/>
      <c r="I440" s="161"/>
      <c r="J440" s="161"/>
      <c r="K440" s="161"/>
      <c r="L440" s="97"/>
      <c r="M440" s="6"/>
      <c r="O440" s="2"/>
      <c r="U440" s="2"/>
    </row>
    <row r="441" spans="1:21" x14ac:dyDescent="0.25">
      <c r="A441" s="26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4"/>
      <c r="M441" s="6"/>
      <c r="O441" s="2"/>
      <c r="P441" s="2" t="s">
        <v>1747</v>
      </c>
      <c r="Q441" s="2" t="s">
        <v>1748</v>
      </c>
      <c r="R441" s="2" t="s">
        <v>14</v>
      </c>
      <c r="S441" s="2" t="s">
        <v>1749</v>
      </c>
      <c r="T441" s="2" t="s">
        <v>32</v>
      </c>
      <c r="U441" s="2"/>
    </row>
    <row r="442" spans="1:21" x14ac:dyDescent="0.25">
      <c r="A442" s="26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4"/>
      <c r="M442" s="6"/>
      <c r="O442" s="2"/>
      <c r="P442" s="2" t="s">
        <v>794</v>
      </c>
      <c r="Q442" s="2" t="s">
        <v>795</v>
      </c>
      <c r="R442" s="2" t="s">
        <v>14</v>
      </c>
      <c r="S442" s="2" t="s">
        <v>796</v>
      </c>
      <c r="T442" s="2" t="s">
        <v>32</v>
      </c>
      <c r="U442" s="2"/>
    </row>
    <row r="443" spans="1:21" x14ac:dyDescent="0.25">
      <c r="A443" s="26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4"/>
      <c r="M443" s="6"/>
      <c r="O443" s="2"/>
      <c r="P443" s="2" t="s">
        <v>797</v>
      </c>
      <c r="Q443" s="2" t="s">
        <v>798</v>
      </c>
      <c r="R443" s="2" t="s">
        <v>14</v>
      </c>
      <c r="S443" s="2" t="s">
        <v>799</v>
      </c>
      <c r="T443" s="2" t="s">
        <v>32</v>
      </c>
      <c r="U443" s="2"/>
    </row>
    <row r="444" spans="1:21" ht="15.75" customHeight="1" x14ac:dyDescent="0.25">
      <c r="A444" s="26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4"/>
      <c r="M444" s="6"/>
      <c r="O444" s="2"/>
      <c r="P444" s="2" t="s">
        <v>800</v>
      </c>
      <c r="Q444" s="2" t="s">
        <v>801</v>
      </c>
      <c r="R444" s="2" t="s">
        <v>14</v>
      </c>
      <c r="S444" s="2" t="s">
        <v>802</v>
      </c>
      <c r="T444" s="2" t="s">
        <v>32</v>
      </c>
      <c r="U444" s="2"/>
    </row>
    <row r="445" spans="1:21" x14ac:dyDescent="0.25">
      <c r="A445" s="26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4"/>
      <c r="M445" s="6"/>
      <c r="O445" s="2"/>
      <c r="P445" s="2" t="s">
        <v>803</v>
      </c>
      <c r="Q445" s="2" t="s">
        <v>804</v>
      </c>
      <c r="R445" s="2" t="s">
        <v>14</v>
      </c>
      <c r="S445" s="2" t="s">
        <v>805</v>
      </c>
      <c r="T445" s="2" t="s">
        <v>32</v>
      </c>
      <c r="U445" s="2"/>
    </row>
    <row r="446" spans="1:21" x14ac:dyDescent="0.25">
      <c r="A446" s="26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4"/>
      <c r="M446" s="6"/>
      <c r="O446" s="2"/>
      <c r="P446" s="2" t="s">
        <v>806</v>
      </c>
      <c r="Q446" s="2" t="s">
        <v>807</v>
      </c>
      <c r="R446" s="2" t="s">
        <v>14</v>
      </c>
      <c r="S446" s="2" t="s">
        <v>808</v>
      </c>
      <c r="T446" s="2" t="s">
        <v>32</v>
      </c>
      <c r="U446" s="2"/>
    </row>
    <row r="447" spans="1:21" x14ac:dyDescent="0.25">
      <c r="A447" s="26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4"/>
      <c r="M447" s="6"/>
      <c r="O447" s="2"/>
      <c r="P447" s="2" t="s">
        <v>809</v>
      </c>
      <c r="Q447" s="2" t="s">
        <v>810</v>
      </c>
      <c r="R447" s="2" t="s">
        <v>14</v>
      </c>
      <c r="S447" s="2" t="s">
        <v>811</v>
      </c>
      <c r="T447" s="2" t="s">
        <v>32</v>
      </c>
      <c r="U447" s="2"/>
    </row>
    <row r="448" spans="1:21" x14ac:dyDescent="0.25">
      <c r="A448" s="26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4"/>
      <c r="M448" s="6"/>
      <c r="O448" s="2"/>
      <c r="P448" s="2" t="s">
        <v>812</v>
      </c>
      <c r="Q448" s="2" t="s">
        <v>813</v>
      </c>
      <c r="R448" s="2" t="s">
        <v>14</v>
      </c>
      <c r="S448" s="2" t="s">
        <v>814</v>
      </c>
      <c r="T448" s="2" t="s">
        <v>32</v>
      </c>
      <c r="U448" s="2"/>
    </row>
    <row r="449" spans="1:21" x14ac:dyDescent="0.25">
      <c r="A449" s="18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4"/>
      <c r="M449" s="6"/>
      <c r="O449" s="2"/>
      <c r="P449" s="2" t="s">
        <v>815</v>
      </c>
      <c r="Q449" s="2" t="s">
        <v>816</v>
      </c>
      <c r="R449" s="2" t="s">
        <v>14</v>
      </c>
      <c r="S449" s="2" t="s">
        <v>817</v>
      </c>
      <c r="T449" s="2" t="s">
        <v>818</v>
      </c>
      <c r="U449" s="2"/>
    </row>
    <row r="450" spans="1:21" x14ac:dyDescent="0.25">
      <c r="A450" s="26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4"/>
      <c r="M450" s="6"/>
      <c r="O450" s="2"/>
      <c r="P450" s="2" t="s">
        <v>819</v>
      </c>
      <c r="Q450" s="2" t="s">
        <v>820</v>
      </c>
      <c r="R450" s="2" t="s">
        <v>14</v>
      </c>
      <c r="S450" s="2" t="s">
        <v>821</v>
      </c>
      <c r="T450" s="2" t="s">
        <v>32</v>
      </c>
      <c r="U450" s="2"/>
    </row>
    <row r="451" spans="1:21" x14ac:dyDescent="0.25">
      <c r="A451" s="26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4"/>
      <c r="M451" s="6"/>
      <c r="O451" s="2"/>
      <c r="P451" s="2" t="s">
        <v>822</v>
      </c>
      <c r="Q451" s="2" t="s">
        <v>823</v>
      </c>
      <c r="R451" s="2" t="s">
        <v>14</v>
      </c>
      <c r="S451" s="2" t="s">
        <v>824</v>
      </c>
      <c r="T451" s="2" t="s">
        <v>32</v>
      </c>
      <c r="U451" s="2"/>
    </row>
    <row r="452" spans="1:21" x14ac:dyDescent="0.25">
      <c r="A452" s="26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4"/>
      <c r="M452" s="6"/>
      <c r="O452" s="2"/>
      <c r="P452" s="2" t="s">
        <v>825</v>
      </c>
      <c r="Q452" s="2" t="s">
        <v>826</v>
      </c>
      <c r="R452" s="2" t="s">
        <v>14</v>
      </c>
      <c r="S452" s="2" t="s">
        <v>827</v>
      </c>
      <c r="T452" s="2" t="s">
        <v>32</v>
      </c>
      <c r="U452" s="2"/>
    </row>
    <row r="453" spans="1:21" x14ac:dyDescent="0.25">
      <c r="A453" s="26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4"/>
      <c r="M453" s="6"/>
      <c r="O453" s="2"/>
      <c r="P453" s="2" t="s">
        <v>828</v>
      </c>
      <c r="Q453" s="2" t="s">
        <v>829</v>
      </c>
      <c r="R453" s="2" t="s">
        <v>14</v>
      </c>
      <c r="S453" s="2" t="s">
        <v>830</v>
      </c>
      <c r="T453" s="2" t="s">
        <v>32</v>
      </c>
      <c r="U453" s="2"/>
    </row>
    <row r="454" spans="1:21" x14ac:dyDescent="0.25">
      <c r="A454" s="26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4"/>
      <c r="M454" s="6"/>
      <c r="O454" s="2"/>
      <c r="P454" s="2" t="s">
        <v>833</v>
      </c>
      <c r="Q454" s="2" t="s">
        <v>834</v>
      </c>
      <c r="R454" s="2" t="s">
        <v>14</v>
      </c>
      <c r="S454" s="2" t="s">
        <v>2336</v>
      </c>
      <c r="T454" s="2" t="s">
        <v>32</v>
      </c>
      <c r="U454" s="2"/>
    </row>
    <row r="455" spans="1:21" ht="15.75" thickBot="1" x14ac:dyDescent="0.3">
      <c r="A455" s="262"/>
      <c r="B455" s="212"/>
      <c r="C455" s="212"/>
      <c r="D455" s="212"/>
      <c r="E455" s="212"/>
      <c r="F455" s="212"/>
      <c r="G455" s="212"/>
      <c r="H455" s="212"/>
      <c r="I455" s="212"/>
      <c r="J455" s="212"/>
      <c r="K455" s="212"/>
      <c r="L455" s="109"/>
      <c r="M455" s="6"/>
      <c r="O455" s="2"/>
      <c r="P455" s="2" t="s">
        <v>108</v>
      </c>
      <c r="Q455" s="2" t="s">
        <v>109</v>
      </c>
      <c r="R455" s="2" t="s">
        <v>14</v>
      </c>
      <c r="S455" s="2" t="s">
        <v>110</v>
      </c>
      <c r="T455" s="2" t="s">
        <v>32</v>
      </c>
      <c r="U455" s="2"/>
    </row>
    <row r="456" spans="1:21" x14ac:dyDescent="0.25">
      <c r="A456" s="181"/>
      <c r="B456" s="2"/>
      <c r="C456" s="2"/>
      <c r="D456" s="2"/>
      <c r="E456" s="2"/>
      <c r="F456" s="2"/>
      <c r="G456" s="2"/>
      <c r="H456" s="161"/>
      <c r="I456" s="161"/>
      <c r="J456" s="161"/>
      <c r="K456" s="161"/>
      <c r="L456" s="97"/>
      <c r="M456" s="6"/>
      <c r="O456" s="2"/>
      <c r="P456" s="2" t="s">
        <v>831</v>
      </c>
      <c r="Q456" s="2" t="s">
        <v>832</v>
      </c>
      <c r="R456" s="2" t="s">
        <v>14</v>
      </c>
      <c r="S456" s="2" t="s">
        <v>556</v>
      </c>
      <c r="T456" s="2" t="s">
        <v>32</v>
      </c>
      <c r="U456" s="2"/>
    </row>
    <row r="457" spans="1:21" x14ac:dyDescent="0.25">
      <c r="A457" s="181"/>
      <c r="B457" s="2"/>
      <c r="C457" s="2"/>
      <c r="D457" s="2"/>
      <c r="E457" s="2"/>
      <c r="F457" s="2"/>
      <c r="G457" s="2"/>
      <c r="H457" s="161"/>
      <c r="I457" s="161"/>
      <c r="J457" s="161"/>
      <c r="K457" s="161"/>
      <c r="L457" s="97"/>
      <c r="M457" s="6"/>
      <c r="O457" s="2"/>
      <c r="P457" s="2" t="s">
        <v>1750</v>
      </c>
      <c r="Q457" s="2" t="s">
        <v>1751</v>
      </c>
      <c r="R457" s="2" t="s">
        <v>14</v>
      </c>
      <c r="S457" s="2" t="s">
        <v>1752</v>
      </c>
      <c r="T457" s="2" t="s">
        <v>32</v>
      </c>
      <c r="U457" s="2"/>
    </row>
    <row r="458" spans="1:21" x14ac:dyDescent="0.25">
      <c r="A458" s="18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4"/>
      <c r="M458" s="6"/>
      <c r="O458" s="2"/>
      <c r="P458" s="2" t="s">
        <v>1362</v>
      </c>
      <c r="Q458" s="2" t="s">
        <v>1363</v>
      </c>
      <c r="R458" s="2" t="s">
        <v>14</v>
      </c>
      <c r="S458" s="2" t="s">
        <v>1364</v>
      </c>
      <c r="T458" s="2" t="s">
        <v>32</v>
      </c>
      <c r="U458" s="2"/>
    </row>
    <row r="459" spans="1:21" x14ac:dyDescent="0.25">
      <c r="A459" s="18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4"/>
      <c r="M459" s="6"/>
      <c r="O459" s="2"/>
      <c r="P459" s="2" t="s">
        <v>1753</v>
      </c>
      <c r="Q459" s="2" t="s">
        <v>1754</v>
      </c>
      <c r="R459" s="2" t="s">
        <v>14</v>
      </c>
      <c r="S459" s="2" t="s">
        <v>1755</v>
      </c>
      <c r="T459" s="2" t="s">
        <v>32</v>
      </c>
      <c r="U459" s="2"/>
    </row>
    <row r="460" spans="1:21" x14ac:dyDescent="0.25">
      <c r="A460" s="18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4"/>
      <c r="M460" s="6"/>
      <c r="O460" s="2"/>
      <c r="P460" s="2" t="s">
        <v>1756</v>
      </c>
      <c r="Q460" s="2" t="s">
        <v>1757</v>
      </c>
      <c r="R460" s="2" t="s">
        <v>14</v>
      </c>
      <c r="S460" s="2" t="s">
        <v>1758</v>
      </c>
      <c r="T460" s="2" t="s">
        <v>14</v>
      </c>
      <c r="U460" s="2"/>
    </row>
    <row r="461" spans="1:21" x14ac:dyDescent="0.25">
      <c r="A461" s="18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4"/>
      <c r="M461" s="6"/>
      <c r="O461" s="2"/>
      <c r="P461" s="2" t="s">
        <v>835</v>
      </c>
      <c r="Q461" s="2" t="s">
        <v>836</v>
      </c>
      <c r="R461" s="2" t="s">
        <v>14</v>
      </c>
      <c r="S461" s="2" t="s">
        <v>837</v>
      </c>
      <c r="T461" s="2" t="s">
        <v>32</v>
      </c>
      <c r="U461" s="2"/>
    </row>
    <row r="462" spans="1:21" x14ac:dyDescent="0.25">
      <c r="A462" s="18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4"/>
      <c r="M462" s="6"/>
      <c r="O462" s="2"/>
      <c r="P462" s="2" t="s">
        <v>1759</v>
      </c>
      <c r="Q462" s="2" t="s">
        <v>1760</v>
      </c>
      <c r="R462" s="2" t="s">
        <v>14</v>
      </c>
      <c r="S462" s="2" t="s">
        <v>2371</v>
      </c>
      <c r="T462" s="2" t="s">
        <v>32</v>
      </c>
      <c r="U462" s="2"/>
    </row>
    <row r="463" spans="1:21" x14ac:dyDescent="0.25">
      <c r="A463" s="18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4"/>
      <c r="M463" s="6"/>
      <c r="O463" s="2"/>
      <c r="P463" s="2" t="s">
        <v>1761</v>
      </c>
      <c r="Q463" s="2" t="s">
        <v>1762</v>
      </c>
      <c r="R463" s="2" t="s">
        <v>14</v>
      </c>
      <c r="S463" s="2" t="s">
        <v>1763</v>
      </c>
      <c r="T463" s="2" t="s">
        <v>32</v>
      </c>
      <c r="U463" s="2"/>
    </row>
    <row r="464" spans="1:21" x14ac:dyDescent="0.25">
      <c r="A464" s="18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4"/>
      <c r="M464" s="6"/>
      <c r="O464" s="2"/>
      <c r="P464" s="2" t="s">
        <v>838</v>
      </c>
      <c r="Q464" s="2" t="s">
        <v>839</v>
      </c>
      <c r="R464" s="2" t="s">
        <v>14</v>
      </c>
      <c r="S464" s="2" t="s">
        <v>840</v>
      </c>
      <c r="T464" s="2" t="s">
        <v>32</v>
      </c>
      <c r="U464" s="2"/>
    </row>
    <row r="465" spans="1:21" x14ac:dyDescent="0.25">
      <c r="A465" s="18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4"/>
      <c r="M465" s="6"/>
      <c r="O465" s="2"/>
      <c r="P465" s="2" t="s">
        <v>2411</v>
      </c>
      <c r="Q465" s="2" t="s">
        <v>2412</v>
      </c>
      <c r="R465" s="2" t="s">
        <v>14</v>
      </c>
      <c r="S465" s="2" t="s">
        <v>2413</v>
      </c>
      <c r="T465" s="2" t="s">
        <v>32</v>
      </c>
      <c r="U465" s="2"/>
    </row>
    <row r="466" spans="1:21" x14ac:dyDescent="0.25">
      <c r="A466" s="18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4"/>
      <c r="M466" s="6"/>
      <c r="O466" s="2"/>
      <c r="P466" s="2" t="s">
        <v>2129</v>
      </c>
      <c r="Q466" s="2" t="s">
        <v>2130</v>
      </c>
      <c r="R466" s="2" t="s">
        <v>14</v>
      </c>
      <c r="S466" s="2" t="s">
        <v>2131</v>
      </c>
      <c r="T466" s="2" t="s">
        <v>1764</v>
      </c>
      <c r="U466" s="2"/>
    </row>
    <row r="467" spans="1:21" x14ac:dyDescent="0.25">
      <c r="A467" s="18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4"/>
      <c r="M467" s="6"/>
      <c r="O467" s="2"/>
      <c r="P467" s="2" t="s">
        <v>1765</v>
      </c>
      <c r="Q467" s="2" t="s">
        <v>1766</v>
      </c>
      <c r="R467" s="2" t="s">
        <v>14</v>
      </c>
      <c r="S467" s="2" t="s">
        <v>1767</v>
      </c>
      <c r="T467" s="2" t="s">
        <v>1764</v>
      </c>
      <c r="U467" s="2"/>
    </row>
    <row r="468" spans="1:21" x14ac:dyDescent="0.25">
      <c r="A468" s="181"/>
      <c r="B468" s="248"/>
      <c r="C468" s="248"/>
      <c r="D468" s="2"/>
      <c r="E468" s="248"/>
      <c r="F468" s="248"/>
      <c r="G468" s="2"/>
      <c r="H468" s="2"/>
      <c r="I468" s="2"/>
      <c r="J468" s="2"/>
      <c r="K468" s="2"/>
      <c r="L468" s="4"/>
      <c r="M468" s="6"/>
      <c r="O468" s="2"/>
      <c r="P468" s="2" t="s">
        <v>841</v>
      </c>
      <c r="Q468" s="2" t="s">
        <v>842</v>
      </c>
      <c r="R468" s="2" t="s">
        <v>14</v>
      </c>
      <c r="S468" s="2" t="s">
        <v>843</v>
      </c>
      <c r="T468" s="2" t="s">
        <v>32</v>
      </c>
      <c r="U468" s="2"/>
    </row>
    <row r="469" spans="1:21" ht="15.75" thickBot="1" x14ac:dyDescent="0.3">
      <c r="A469" s="211"/>
      <c r="B469" s="212"/>
      <c r="C469" s="212"/>
      <c r="D469" s="212"/>
      <c r="E469" s="212"/>
      <c r="F469" s="212"/>
      <c r="G469" s="212"/>
      <c r="H469" s="212"/>
      <c r="I469" s="212"/>
      <c r="J469" s="212"/>
      <c r="K469" s="212"/>
      <c r="L469" s="109"/>
      <c r="M469" s="6"/>
      <c r="O469" s="2"/>
      <c r="P469" s="2" t="s">
        <v>844</v>
      </c>
      <c r="Q469" s="2" t="s">
        <v>845</v>
      </c>
      <c r="R469" s="2" t="s">
        <v>14</v>
      </c>
      <c r="S469" s="2" t="s">
        <v>846</v>
      </c>
      <c r="T469" s="2" t="s">
        <v>32</v>
      </c>
      <c r="U469" s="2"/>
    </row>
    <row r="470" spans="1:21" x14ac:dyDescent="0.25">
      <c r="A470" s="2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97"/>
      <c r="M470" s="6"/>
      <c r="O470" s="2"/>
      <c r="P470" s="2" t="s">
        <v>1768</v>
      </c>
      <c r="Q470" s="2" t="s">
        <v>1769</v>
      </c>
      <c r="R470" s="2" t="s">
        <v>14</v>
      </c>
      <c r="S470" s="2" t="s">
        <v>1770</v>
      </c>
      <c r="T470" s="2" t="s">
        <v>32</v>
      </c>
      <c r="U470" s="2"/>
    </row>
    <row r="471" spans="1:21" x14ac:dyDescent="0.25">
      <c r="A471" s="18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4"/>
      <c r="M471" s="6"/>
      <c r="O471" s="2"/>
      <c r="P471" s="2" t="s">
        <v>847</v>
      </c>
      <c r="Q471" s="2" t="s">
        <v>848</v>
      </c>
      <c r="R471" s="2" t="s">
        <v>14</v>
      </c>
      <c r="S471" s="2" t="s">
        <v>849</v>
      </c>
      <c r="T471" s="2" t="s">
        <v>32</v>
      </c>
      <c r="U471" s="2"/>
    </row>
    <row r="472" spans="1:21" x14ac:dyDescent="0.25">
      <c r="A472" s="18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4"/>
      <c r="M472" s="6"/>
      <c r="O472" s="2"/>
      <c r="P472" s="2" t="s">
        <v>850</v>
      </c>
      <c r="Q472" s="2" t="s">
        <v>851</v>
      </c>
      <c r="R472" s="2" t="s">
        <v>0</v>
      </c>
      <c r="S472" s="2" t="s">
        <v>852</v>
      </c>
      <c r="T472" s="2" t="s">
        <v>39</v>
      </c>
      <c r="U472" s="2"/>
    </row>
    <row r="473" spans="1:21" x14ac:dyDescent="0.25">
      <c r="A473" s="18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4"/>
      <c r="M473" s="6"/>
      <c r="O473" s="2"/>
      <c r="P473" s="2" t="s">
        <v>853</v>
      </c>
      <c r="Q473" s="2" t="s">
        <v>854</v>
      </c>
      <c r="R473" s="2" t="s">
        <v>0</v>
      </c>
      <c r="S473" s="2" t="s">
        <v>855</v>
      </c>
      <c r="T473" s="2" t="s">
        <v>856</v>
      </c>
      <c r="U473" s="2"/>
    </row>
    <row r="474" spans="1:21" x14ac:dyDescent="0.25">
      <c r="A474" s="18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4"/>
      <c r="M474" s="6"/>
      <c r="O474" s="2"/>
      <c r="P474" s="2" t="s">
        <v>857</v>
      </c>
      <c r="Q474" s="2" t="s">
        <v>858</v>
      </c>
      <c r="R474" s="2" t="s">
        <v>0</v>
      </c>
      <c r="S474" s="2" t="s">
        <v>859</v>
      </c>
      <c r="T474" s="2" t="s">
        <v>860</v>
      </c>
      <c r="U474" s="2"/>
    </row>
    <row r="475" spans="1:21" x14ac:dyDescent="0.25">
      <c r="A475" s="18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4"/>
      <c r="M475" s="6"/>
      <c r="O475" s="2"/>
      <c r="P475" s="2" t="s">
        <v>2414</v>
      </c>
      <c r="Q475" s="2" t="s">
        <v>2415</v>
      </c>
      <c r="R475" s="2" t="s">
        <v>0</v>
      </c>
      <c r="S475" s="2" t="s">
        <v>2427</v>
      </c>
      <c r="T475" s="2" t="s">
        <v>2428</v>
      </c>
      <c r="U475" s="2"/>
    </row>
    <row r="476" spans="1:21" x14ac:dyDescent="0.25">
      <c r="A476" s="18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4"/>
      <c r="M476" s="6"/>
      <c r="O476" s="2"/>
      <c r="P476" s="2" t="s">
        <v>861</v>
      </c>
      <c r="Q476" s="2" t="s">
        <v>862</v>
      </c>
      <c r="R476" s="2" t="s">
        <v>0</v>
      </c>
      <c r="S476" s="2" t="s">
        <v>863</v>
      </c>
      <c r="T476" s="2" t="s">
        <v>864</v>
      </c>
      <c r="U476" s="2"/>
    </row>
    <row r="477" spans="1:21" x14ac:dyDescent="0.25">
      <c r="A477" s="18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4"/>
      <c r="M477" s="6"/>
      <c r="O477" s="2"/>
      <c r="P477" s="2" t="s">
        <v>2132</v>
      </c>
      <c r="Q477" s="2" t="s">
        <v>2133</v>
      </c>
      <c r="R477" s="2" t="s">
        <v>0</v>
      </c>
      <c r="S477" s="2" t="s">
        <v>2134</v>
      </c>
      <c r="T477" s="2" t="s">
        <v>0</v>
      </c>
      <c r="U477" s="2"/>
    </row>
    <row r="478" spans="1:21" x14ac:dyDescent="0.25">
      <c r="A478" s="18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4"/>
      <c r="M478" s="6"/>
      <c r="O478" s="2"/>
      <c r="P478" s="2" t="s">
        <v>1771</v>
      </c>
      <c r="Q478" s="2" t="s">
        <v>1772</v>
      </c>
      <c r="R478" s="2" t="s">
        <v>0</v>
      </c>
      <c r="S478" s="2" t="s">
        <v>1773</v>
      </c>
      <c r="T478" s="2" t="s">
        <v>33</v>
      </c>
      <c r="U478" s="2"/>
    </row>
    <row r="479" spans="1:21" x14ac:dyDescent="0.25">
      <c r="A479" s="18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4"/>
      <c r="M479" s="6"/>
      <c r="O479" s="2"/>
      <c r="P479" s="2" t="s">
        <v>1774</v>
      </c>
      <c r="Q479" s="2" t="s">
        <v>1775</v>
      </c>
      <c r="R479" s="2" t="s">
        <v>0</v>
      </c>
      <c r="S479" s="2" t="s">
        <v>1776</v>
      </c>
      <c r="T479" s="2" t="s">
        <v>34</v>
      </c>
      <c r="U479" s="2"/>
    </row>
    <row r="480" spans="1:21" x14ac:dyDescent="0.25">
      <c r="A480" s="18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4"/>
      <c r="M480" s="6"/>
      <c r="O480" s="2"/>
      <c r="P480" s="2" t="s">
        <v>868</v>
      </c>
      <c r="Q480" s="2" t="s">
        <v>869</v>
      </c>
      <c r="R480" s="2" t="s">
        <v>0</v>
      </c>
      <c r="S480" s="2" t="s">
        <v>870</v>
      </c>
      <c r="T480" s="2" t="s">
        <v>33</v>
      </c>
      <c r="U480" s="2"/>
    </row>
    <row r="481" spans="1:21" x14ac:dyDescent="0.25">
      <c r="A481" s="18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4"/>
      <c r="M481" s="6"/>
      <c r="O481" s="2"/>
      <c r="P481" s="2" t="s">
        <v>1777</v>
      </c>
      <c r="Q481" s="2" t="s">
        <v>1778</v>
      </c>
      <c r="R481" s="2" t="s">
        <v>0</v>
      </c>
      <c r="S481" s="2" t="s">
        <v>1779</v>
      </c>
      <c r="T481" s="2" t="s">
        <v>39</v>
      </c>
      <c r="U481" s="2"/>
    </row>
    <row r="482" spans="1:21" x14ac:dyDescent="0.25">
      <c r="A482" s="18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4"/>
      <c r="M482" s="6"/>
      <c r="O482" s="2"/>
      <c r="P482" s="2" t="s">
        <v>2135</v>
      </c>
      <c r="Q482" s="2" t="s">
        <v>2136</v>
      </c>
      <c r="R482" s="2" t="s">
        <v>0</v>
      </c>
      <c r="S482" s="2" t="s">
        <v>2137</v>
      </c>
      <c r="T482" s="2" t="s">
        <v>871</v>
      </c>
      <c r="U482" s="2"/>
    </row>
    <row r="483" spans="1:21" x14ac:dyDescent="0.25">
      <c r="A483" s="18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4"/>
      <c r="M483" s="6"/>
      <c r="O483" s="2"/>
      <c r="P483" s="2" t="s">
        <v>2372</v>
      </c>
      <c r="Q483" s="2" t="s">
        <v>2373</v>
      </c>
      <c r="R483" s="2" t="s">
        <v>0</v>
      </c>
      <c r="S483" s="2" t="s">
        <v>2380</v>
      </c>
      <c r="T483" s="2" t="s">
        <v>2348</v>
      </c>
      <c r="U483" s="2"/>
    </row>
    <row r="484" spans="1:21" x14ac:dyDescent="0.25">
      <c r="A484" s="18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4"/>
      <c r="M484" s="6"/>
      <c r="O484" s="2"/>
      <c r="P484" s="2" t="s">
        <v>1780</v>
      </c>
      <c r="Q484" s="2" t="s">
        <v>1781</v>
      </c>
      <c r="R484" s="2" t="s">
        <v>0</v>
      </c>
      <c r="S484" s="2" t="s">
        <v>1782</v>
      </c>
      <c r="T484" s="2" t="s">
        <v>39</v>
      </c>
      <c r="U484" s="2"/>
    </row>
    <row r="485" spans="1:21" x14ac:dyDescent="0.25">
      <c r="A485" s="18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4"/>
      <c r="M485" s="6"/>
      <c r="O485" s="2"/>
      <c r="P485" s="2" t="s">
        <v>1783</v>
      </c>
      <c r="Q485" s="2" t="s">
        <v>1784</v>
      </c>
      <c r="R485" s="2" t="s">
        <v>0</v>
      </c>
      <c r="S485" s="2" t="s">
        <v>1785</v>
      </c>
      <c r="T485" s="2" t="s">
        <v>34</v>
      </c>
      <c r="U485" s="2"/>
    </row>
    <row r="486" spans="1:21" x14ac:dyDescent="0.25">
      <c r="A486" s="18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4"/>
      <c r="M486" s="6"/>
      <c r="O486" s="2"/>
      <c r="P486" s="2" t="s">
        <v>872</v>
      </c>
      <c r="Q486" s="2" t="s">
        <v>873</v>
      </c>
      <c r="R486" s="2" t="s">
        <v>0</v>
      </c>
      <c r="S486" s="2" t="s">
        <v>874</v>
      </c>
      <c r="T486" s="2" t="s">
        <v>875</v>
      </c>
      <c r="U486" s="2"/>
    </row>
    <row r="487" spans="1:21" x14ac:dyDescent="0.25">
      <c r="A487" s="18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4"/>
      <c r="M487" s="6"/>
      <c r="O487" s="2"/>
      <c r="P487" s="2" t="s">
        <v>1786</v>
      </c>
      <c r="Q487" s="2" t="s">
        <v>1787</v>
      </c>
      <c r="R487" s="2" t="s">
        <v>0</v>
      </c>
      <c r="S487" s="2" t="s">
        <v>1788</v>
      </c>
      <c r="T487" s="2" t="s">
        <v>867</v>
      </c>
      <c r="U487" s="2"/>
    </row>
    <row r="488" spans="1:21" x14ac:dyDescent="0.25">
      <c r="A488" s="18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4"/>
      <c r="M488" s="6"/>
      <c r="O488" s="2"/>
      <c r="P488" s="2" t="s">
        <v>876</v>
      </c>
      <c r="Q488" s="2" t="s">
        <v>877</v>
      </c>
      <c r="R488" s="2" t="s">
        <v>0</v>
      </c>
      <c r="S488" s="2" t="s">
        <v>878</v>
      </c>
      <c r="T488" s="2" t="s">
        <v>879</v>
      </c>
      <c r="U488" s="2"/>
    </row>
    <row r="489" spans="1:21" x14ac:dyDescent="0.25">
      <c r="A489" s="18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4"/>
      <c r="M489" s="6"/>
      <c r="O489" s="2"/>
      <c r="P489" s="2" t="s">
        <v>880</v>
      </c>
      <c r="Q489" s="2" t="s">
        <v>881</v>
      </c>
      <c r="R489" s="2" t="s">
        <v>0</v>
      </c>
      <c r="S489" s="2" t="s">
        <v>882</v>
      </c>
      <c r="T489" s="2" t="s">
        <v>883</v>
      </c>
      <c r="U489" s="2"/>
    </row>
    <row r="490" spans="1:21" x14ac:dyDescent="0.25">
      <c r="A490" s="18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4"/>
      <c r="M490" s="6"/>
      <c r="O490" s="2"/>
      <c r="P490" s="2" t="s">
        <v>884</v>
      </c>
      <c r="Q490" s="2" t="s">
        <v>885</v>
      </c>
      <c r="R490" s="2" t="s">
        <v>0</v>
      </c>
      <c r="S490" s="2" t="s">
        <v>886</v>
      </c>
      <c r="T490" s="2" t="s">
        <v>887</v>
      </c>
      <c r="U490" s="2"/>
    </row>
    <row r="491" spans="1:21" x14ac:dyDescent="0.25">
      <c r="A491" s="18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4"/>
      <c r="M491" s="6"/>
      <c r="O491" s="2"/>
      <c r="P491" s="2" t="s">
        <v>2138</v>
      </c>
      <c r="Q491" s="2" t="s">
        <v>2139</v>
      </c>
      <c r="R491" s="2" t="s">
        <v>0</v>
      </c>
      <c r="S491" s="2" t="s">
        <v>2140</v>
      </c>
      <c r="T491" s="2" t="s">
        <v>33</v>
      </c>
      <c r="U491" s="2"/>
    </row>
    <row r="492" spans="1:21" x14ac:dyDescent="0.25">
      <c r="A492" s="18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4"/>
      <c r="M492" s="6"/>
      <c r="O492" s="2"/>
      <c r="P492" s="2" t="s">
        <v>888</v>
      </c>
      <c r="Q492" s="2" t="s">
        <v>889</v>
      </c>
      <c r="R492" s="2" t="s">
        <v>0</v>
      </c>
      <c r="S492" s="2" t="s">
        <v>890</v>
      </c>
      <c r="T492" s="2" t="s">
        <v>33</v>
      </c>
      <c r="U492" s="2"/>
    </row>
    <row r="493" spans="1:21" x14ac:dyDescent="0.25">
      <c r="A493" s="18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4"/>
      <c r="M493" s="6"/>
      <c r="O493" s="2"/>
      <c r="P493" s="2" t="s">
        <v>1789</v>
      </c>
      <c r="Q493" s="2" t="s">
        <v>2543</v>
      </c>
      <c r="R493" s="2" t="s">
        <v>0</v>
      </c>
      <c r="S493" s="2" t="s">
        <v>1790</v>
      </c>
      <c r="T493" s="2" t="s">
        <v>39</v>
      </c>
      <c r="U493" s="2"/>
    </row>
    <row r="494" spans="1:21" x14ac:dyDescent="0.25">
      <c r="A494" s="18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4"/>
      <c r="M494" s="6"/>
      <c r="O494" s="2"/>
      <c r="P494" s="2" t="s">
        <v>891</v>
      </c>
      <c r="Q494" s="2" t="s">
        <v>892</v>
      </c>
      <c r="R494" s="2" t="s">
        <v>0</v>
      </c>
      <c r="S494" s="2" t="s">
        <v>893</v>
      </c>
      <c r="T494" s="2" t="s">
        <v>39</v>
      </c>
      <c r="U494" s="2"/>
    </row>
    <row r="495" spans="1:21" x14ac:dyDescent="0.25">
      <c r="A495" s="18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4"/>
      <c r="M495" s="6"/>
      <c r="O495" s="2"/>
      <c r="P495" s="2" t="s">
        <v>2141</v>
      </c>
      <c r="Q495" s="2" t="s">
        <v>2142</v>
      </c>
      <c r="R495" s="2" t="s">
        <v>0</v>
      </c>
      <c r="S495" s="2" t="s">
        <v>2143</v>
      </c>
      <c r="T495" s="2" t="s">
        <v>894</v>
      </c>
      <c r="U495" s="2"/>
    </row>
    <row r="496" spans="1:21" x14ac:dyDescent="0.25">
      <c r="A496" s="18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4"/>
      <c r="M496" s="6"/>
      <c r="O496" s="2"/>
      <c r="P496" s="2" t="s">
        <v>895</v>
      </c>
      <c r="Q496" s="2" t="s">
        <v>896</v>
      </c>
      <c r="R496" s="2" t="s">
        <v>0</v>
      </c>
      <c r="S496" s="2" t="s">
        <v>897</v>
      </c>
      <c r="T496" s="2" t="s">
        <v>898</v>
      </c>
      <c r="U496" s="2"/>
    </row>
    <row r="497" spans="1:21" x14ac:dyDescent="0.25">
      <c r="A497" s="18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4"/>
      <c r="M497" s="6"/>
      <c r="O497" s="2"/>
      <c r="P497" s="2" t="s">
        <v>2416</v>
      </c>
      <c r="Q497" s="2" t="s">
        <v>2417</v>
      </c>
      <c r="R497" s="2" t="s">
        <v>0</v>
      </c>
      <c r="S497" s="2" t="s">
        <v>897</v>
      </c>
      <c r="T497" s="2" t="s">
        <v>2429</v>
      </c>
      <c r="U497" s="2"/>
    </row>
    <row r="498" spans="1:21" x14ac:dyDescent="0.25">
      <c r="A498" s="18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4"/>
      <c r="M498" s="6"/>
      <c r="O498" s="2"/>
      <c r="P498" s="2" t="s">
        <v>899</v>
      </c>
      <c r="Q498" s="2" t="s">
        <v>900</v>
      </c>
      <c r="R498" s="2" t="s">
        <v>0</v>
      </c>
      <c r="S498" s="2" t="s">
        <v>901</v>
      </c>
      <c r="T498" s="2" t="s">
        <v>879</v>
      </c>
      <c r="U498" s="2"/>
    </row>
    <row r="499" spans="1:21" x14ac:dyDescent="0.25">
      <c r="A499" s="18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4"/>
      <c r="M499" s="6"/>
      <c r="O499" s="2"/>
      <c r="P499" s="2" t="s">
        <v>1791</v>
      </c>
      <c r="Q499" s="2" t="s">
        <v>1792</v>
      </c>
      <c r="R499" s="2" t="s">
        <v>0</v>
      </c>
      <c r="S499" s="2" t="s">
        <v>1793</v>
      </c>
      <c r="T499" s="2" t="s">
        <v>1794</v>
      </c>
      <c r="U499" s="2"/>
    </row>
    <row r="500" spans="1:21" x14ac:dyDescent="0.25">
      <c r="A500" s="18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4"/>
      <c r="M500" s="6"/>
      <c r="O500" s="2"/>
      <c r="P500" s="2" t="s">
        <v>902</v>
      </c>
      <c r="Q500" s="2" t="s">
        <v>903</v>
      </c>
      <c r="R500" s="2" t="s">
        <v>0</v>
      </c>
      <c r="S500" s="2" t="s">
        <v>904</v>
      </c>
      <c r="T500" s="2" t="s">
        <v>39</v>
      </c>
      <c r="U500" s="2"/>
    </row>
    <row r="501" spans="1:21" x14ac:dyDescent="0.25">
      <c r="A501" s="18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4"/>
      <c r="M501" s="6"/>
      <c r="O501" s="2"/>
      <c r="P501" s="2" t="s">
        <v>2144</v>
      </c>
      <c r="Q501" s="2" t="s">
        <v>2145</v>
      </c>
      <c r="R501" s="2" t="s">
        <v>0</v>
      </c>
      <c r="S501" s="2" t="s">
        <v>2146</v>
      </c>
      <c r="T501" s="2" t="s">
        <v>33</v>
      </c>
      <c r="U501" s="2"/>
    </row>
    <row r="502" spans="1:21" x14ac:dyDescent="0.25">
      <c r="A502" s="18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4"/>
      <c r="M502" s="6"/>
      <c r="O502" s="2"/>
      <c r="P502" s="2" t="s">
        <v>905</v>
      </c>
      <c r="Q502" s="2" t="s">
        <v>906</v>
      </c>
      <c r="R502" s="2" t="s">
        <v>0</v>
      </c>
      <c r="S502" s="2" t="s">
        <v>907</v>
      </c>
      <c r="T502" s="2" t="s">
        <v>908</v>
      </c>
      <c r="U502" s="2"/>
    </row>
    <row r="503" spans="1:21" x14ac:dyDescent="0.25">
      <c r="A503" s="18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4"/>
      <c r="M503" s="6"/>
      <c r="O503" s="2"/>
      <c r="P503" s="2" t="s">
        <v>909</v>
      </c>
      <c r="Q503" s="2" t="s">
        <v>910</v>
      </c>
      <c r="R503" s="2" t="s">
        <v>0</v>
      </c>
      <c r="S503" s="2" t="s">
        <v>376</v>
      </c>
      <c r="T503" s="2" t="s">
        <v>39</v>
      </c>
      <c r="U503" s="2"/>
    </row>
    <row r="504" spans="1:21" x14ac:dyDescent="0.25">
      <c r="A504" s="18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4"/>
      <c r="M504" s="6"/>
      <c r="O504" s="2"/>
      <c r="P504" s="2" t="s">
        <v>2147</v>
      </c>
      <c r="Q504" s="2" t="s">
        <v>2148</v>
      </c>
      <c r="R504" s="2" t="s">
        <v>0</v>
      </c>
      <c r="S504" s="2" t="s">
        <v>2149</v>
      </c>
      <c r="T504" s="2" t="s">
        <v>83</v>
      </c>
      <c r="U504" s="2"/>
    </row>
    <row r="505" spans="1:21" x14ac:dyDescent="0.25">
      <c r="A505" s="18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4"/>
      <c r="M505" s="6"/>
      <c r="O505" s="2"/>
      <c r="P505" s="2" t="s">
        <v>1795</v>
      </c>
      <c r="Q505" s="2" t="s">
        <v>1796</v>
      </c>
      <c r="R505" s="2" t="s">
        <v>0</v>
      </c>
      <c r="S505" s="2" t="s">
        <v>1797</v>
      </c>
      <c r="T505" s="2" t="s">
        <v>83</v>
      </c>
      <c r="U505" s="2"/>
    </row>
    <row r="506" spans="1:21" x14ac:dyDescent="0.25">
      <c r="A506" s="18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4"/>
      <c r="M506" s="6"/>
      <c r="O506" s="2"/>
      <c r="P506" s="2" t="s">
        <v>911</v>
      </c>
      <c r="Q506" s="2" t="s">
        <v>912</v>
      </c>
      <c r="R506" s="2" t="s">
        <v>0</v>
      </c>
      <c r="S506" s="2" t="s">
        <v>913</v>
      </c>
      <c r="T506" s="2" t="s">
        <v>83</v>
      </c>
      <c r="U506" s="2"/>
    </row>
    <row r="507" spans="1:21" x14ac:dyDescent="0.25">
      <c r="A507" s="18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4"/>
      <c r="M507" s="6"/>
      <c r="O507" s="2"/>
      <c r="P507" s="2" t="s">
        <v>914</v>
      </c>
      <c r="Q507" s="2" t="s">
        <v>915</v>
      </c>
      <c r="R507" s="2" t="s">
        <v>0</v>
      </c>
      <c r="S507" s="2" t="s">
        <v>916</v>
      </c>
      <c r="T507" s="2" t="s">
        <v>83</v>
      </c>
      <c r="U507" s="2"/>
    </row>
    <row r="508" spans="1:21" x14ac:dyDescent="0.25">
      <c r="A508" s="18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4"/>
      <c r="M508" s="6"/>
      <c r="O508" s="2"/>
      <c r="P508" s="2" t="s">
        <v>1343</v>
      </c>
      <c r="Q508" s="2" t="s">
        <v>1344</v>
      </c>
      <c r="R508" s="2" t="s">
        <v>0</v>
      </c>
      <c r="S508" s="2" t="s">
        <v>1345</v>
      </c>
      <c r="T508" s="2" t="s">
        <v>1798</v>
      </c>
      <c r="U508" s="2"/>
    </row>
    <row r="509" spans="1:21" x14ac:dyDescent="0.25">
      <c r="A509" s="18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4"/>
      <c r="M509" s="6"/>
      <c r="O509" s="2"/>
      <c r="P509" s="2" t="s">
        <v>1799</v>
      </c>
      <c r="Q509" s="2" t="s">
        <v>1800</v>
      </c>
      <c r="R509" s="2" t="s">
        <v>0</v>
      </c>
      <c r="S509" s="2" t="s">
        <v>1801</v>
      </c>
      <c r="T509" s="2" t="s">
        <v>1802</v>
      </c>
      <c r="U509" s="2"/>
    </row>
    <row r="510" spans="1:21" x14ac:dyDescent="0.25">
      <c r="A510" s="18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4"/>
      <c r="M510" s="6"/>
      <c r="O510" s="2"/>
      <c r="P510" s="2" t="s">
        <v>917</v>
      </c>
      <c r="Q510" s="2" t="s">
        <v>918</v>
      </c>
      <c r="R510" s="2" t="s">
        <v>0</v>
      </c>
      <c r="S510" s="2" t="s">
        <v>919</v>
      </c>
      <c r="T510" s="2" t="s">
        <v>920</v>
      </c>
      <c r="U510" s="2"/>
    </row>
    <row r="511" spans="1:21" x14ac:dyDescent="0.25">
      <c r="A511" s="18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4"/>
      <c r="M511" s="6"/>
      <c r="O511" s="2"/>
      <c r="P511" s="2" t="s">
        <v>921</v>
      </c>
      <c r="Q511" s="2" t="s">
        <v>922</v>
      </c>
      <c r="R511" s="2" t="s">
        <v>0</v>
      </c>
      <c r="S511" s="2" t="s">
        <v>923</v>
      </c>
      <c r="T511" s="2" t="s">
        <v>924</v>
      </c>
      <c r="U511" s="2"/>
    </row>
    <row r="512" spans="1:21" x14ac:dyDescent="0.25">
      <c r="A512" s="18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4"/>
      <c r="M512" s="6"/>
      <c r="O512" s="2"/>
      <c r="P512" s="2" t="s">
        <v>1803</v>
      </c>
      <c r="Q512" s="2" t="s">
        <v>1804</v>
      </c>
      <c r="R512" s="2" t="s">
        <v>0</v>
      </c>
      <c r="S512" s="2" t="s">
        <v>1805</v>
      </c>
      <c r="T512" s="2" t="s">
        <v>34</v>
      </c>
      <c r="U512" s="2"/>
    </row>
    <row r="513" spans="1:21" x14ac:dyDescent="0.25">
      <c r="A513" s="18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4"/>
      <c r="M513" s="6"/>
      <c r="O513" s="2"/>
      <c r="P513" s="2" t="s">
        <v>925</v>
      </c>
      <c r="Q513" s="2" t="s">
        <v>926</v>
      </c>
      <c r="R513" s="2" t="s">
        <v>0</v>
      </c>
      <c r="S513" s="2" t="s">
        <v>927</v>
      </c>
      <c r="T513" s="2" t="s">
        <v>39</v>
      </c>
      <c r="U513" s="2"/>
    </row>
    <row r="514" spans="1:21" x14ac:dyDescent="0.25">
      <c r="A514" s="18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4"/>
      <c r="M514" s="6"/>
      <c r="O514" s="2"/>
      <c r="P514" s="2" t="s">
        <v>928</v>
      </c>
      <c r="Q514" s="2" t="s">
        <v>929</v>
      </c>
      <c r="R514" s="2" t="s">
        <v>0</v>
      </c>
      <c r="S514" s="2" t="s">
        <v>930</v>
      </c>
      <c r="T514" s="2" t="s">
        <v>931</v>
      </c>
      <c r="U514" s="2"/>
    </row>
    <row r="515" spans="1:21" x14ac:dyDescent="0.25">
      <c r="A515" s="18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4"/>
      <c r="M515" s="6"/>
      <c r="O515" s="2"/>
      <c r="P515" s="2" t="s">
        <v>932</v>
      </c>
      <c r="Q515" s="2" t="s">
        <v>933</v>
      </c>
      <c r="R515" s="2" t="s">
        <v>0</v>
      </c>
      <c r="S515" s="2" t="s">
        <v>934</v>
      </c>
      <c r="T515" s="2" t="s">
        <v>931</v>
      </c>
      <c r="U515" s="2"/>
    </row>
    <row r="516" spans="1:21" x14ac:dyDescent="0.25">
      <c r="A516" s="18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4"/>
      <c r="M516" s="6"/>
      <c r="O516" s="2"/>
      <c r="P516" s="2" t="s">
        <v>935</v>
      </c>
      <c r="Q516" s="2" t="s">
        <v>936</v>
      </c>
      <c r="R516" s="2" t="s">
        <v>0</v>
      </c>
      <c r="S516" s="2" t="s">
        <v>937</v>
      </c>
      <c r="T516" s="2" t="s">
        <v>938</v>
      </c>
      <c r="U516" s="2"/>
    </row>
    <row r="517" spans="1:21" x14ac:dyDescent="0.25">
      <c r="A517" s="18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4"/>
      <c r="M517" s="6"/>
      <c r="O517" s="2"/>
      <c r="P517" s="2" t="s">
        <v>2337</v>
      </c>
      <c r="Q517" s="2" t="s">
        <v>2338</v>
      </c>
      <c r="R517" s="2" t="s">
        <v>0</v>
      </c>
      <c r="S517" s="2" t="s">
        <v>2345</v>
      </c>
      <c r="T517" s="2" t="s">
        <v>977</v>
      </c>
      <c r="U517" s="2"/>
    </row>
    <row r="518" spans="1:21" x14ac:dyDescent="0.25">
      <c r="A518" s="18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4"/>
      <c r="M518" s="6"/>
      <c r="O518" s="2"/>
      <c r="P518" s="2" t="s">
        <v>1806</v>
      </c>
      <c r="Q518" s="2" t="s">
        <v>1807</v>
      </c>
      <c r="R518" s="2" t="s">
        <v>0</v>
      </c>
      <c r="S518" s="2" t="s">
        <v>1808</v>
      </c>
      <c r="T518" s="2" t="s">
        <v>931</v>
      </c>
      <c r="U518" s="2"/>
    </row>
    <row r="519" spans="1:21" x14ac:dyDescent="0.25">
      <c r="A519" s="18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4"/>
      <c r="M519" s="6"/>
      <c r="O519" s="2"/>
      <c r="P519" s="2" t="s">
        <v>939</v>
      </c>
      <c r="Q519" s="2" t="s">
        <v>940</v>
      </c>
      <c r="R519" s="2" t="s">
        <v>0</v>
      </c>
      <c r="S519" s="2" t="s">
        <v>941</v>
      </c>
      <c r="T519" s="2" t="s">
        <v>83</v>
      </c>
      <c r="U519" s="2"/>
    </row>
    <row r="520" spans="1:21" x14ac:dyDescent="0.25">
      <c r="A520" s="18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4"/>
      <c r="M520" s="6"/>
      <c r="O520" s="2"/>
      <c r="P520" s="2" t="s">
        <v>942</v>
      </c>
      <c r="Q520" s="2" t="s">
        <v>943</v>
      </c>
      <c r="R520" s="2" t="s">
        <v>0</v>
      </c>
      <c r="S520" s="2" t="s">
        <v>944</v>
      </c>
      <c r="T520" s="2" t="s">
        <v>39</v>
      </c>
      <c r="U520" s="2"/>
    </row>
    <row r="521" spans="1:21" x14ac:dyDescent="0.25">
      <c r="A521" s="18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4"/>
      <c r="M521" s="6"/>
      <c r="O521" s="2"/>
      <c r="P521" s="2" t="s">
        <v>2150</v>
      </c>
      <c r="Q521" s="2" t="s">
        <v>2151</v>
      </c>
      <c r="R521" s="2" t="s">
        <v>0</v>
      </c>
      <c r="S521" s="2" t="s">
        <v>2152</v>
      </c>
      <c r="T521" s="2" t="s">
        <v>34</v>
      </c>
      <c r="U521" s="2"/>
    </row>
    <row r="522" spans="1:21" x14ac:dyDescent="0.25">
      <c r="A522" s="18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4"/>
      <c r="M522" s="6"/>
      <c r="O522" s="2"/>
      <c r="P522" s="2" t="s">
        <v>1809</v>
      </c>
      <c r="Q522" s="2" t="s">
        <v>1810</v>
      </c>
      <c r="R522" s="2" t="s">
        <v>0</v>
      </c>
      <c r="S522" s="2" t="s">
        <v>1811</v>
      </c>
      <c r="T522" s="2" t="s">
        <v>1812</v>
      </c>
      <c r="U522" s="2"/>
    </row>
    <row r="523" spans="1:21" x14ac:dyDescent="0.25">
      <c r="A523" s="18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4"/>
      <c r="M523" s="6"/>
      <c r="O523" s="2"/>
      <c r="P523" s="2" t="s">
        <v>2153</v>
      </c>
      <c r="Q523" s="2" t="s">
        <v>2154</v>
      </c>
      <c r="R523" s="2" t="s">
        <v>0</v>
      </c>
      <c r="S523" s="2" t="s">
        <v>2155</v>
      </c>
      <c r="T523" s="2" t="s">
        <v>83</v>
      </c>
      <c r="U523" s="2"/>
    </row>
    <row r="524" spans="1:21" x14ac:dyDescent="0.25">
      <c r="A524" s="18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4"/>
      <c r="M524" s="6"/>
      <c r="O524" s="2"/>
      <c r="P524" s="2" t="s">
        <v>945</v>
      </c>
      <c r="Q524" s="2" t="s">
        <v>946</v>
      </c>
      <c r="R524" s="2" t="s">
        <v>0</v>
      </c>
      <c r="S524" s="2" t="s">
        <v>947</v>
      </c>
      <c r="T524" s="2" t="s">
        <v>34</v>
      </c>
      <c r="U524" s="2"/>
    </row>
    <row r="525" spans="1:21" x14ac:dyDescent="0.25">
      <c r="A525" s="18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4"/>
      <c r="M525" s="6"/>
      <c r="O525" s="2"/>
      <c r="P525" s="2" t="s">
        <v>2156</v>
      </c>
      <c r="Q525" s="2" t="s">
        <v>2157</v>
      </c>
      <c r="R525" s="2" t="s">
        <v>0</v>
      </c>
      <c r="S525" s="2" t="s">
        <v>2158</v>
      </c>
      <c r="T525" s="2" t="s">
        <v>0</v>
      </c>
      <c r="U525" s="2"/>
    </row>
    <row r="526" spans="1:21" x14ac:dyDescent="0.25">
      <c r="A526" s="18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4"/>
      <c r="M526" s="6"/>
      <c r="O526" s="2"/>
      <c r="P526" s="2" t="s">
        <v>2159</v>
      </c>
      <c r="Q526" s="2" t="s">
        <v>2160</v>
      </c>
      <c r="R526" s="2" t="s">
        <v>0</v>
      </c>
      <c r="S526" s="2" t="s">
        <v>2161</v>
      </c>
      <c r="T526" s="2" t="s">
        <v>38</v>
      </c>
      <c r="U526" s="2"/>
    </row>
    <row r="527" spans="1:21" x14ac:dyDescent="0.25">
      <c r="A527" s="18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4"/>
      <c r="M527" s="6"/>
      <c r="O527" s="2"/>
      <c r="P527" s="2" t="s">
        <v>2162</v>
      </c>
      <c r="Q527" s="2" t="s">
        <v>2163</v>
      </c>
      <c r="R527" s="2" t="s">
        <v>0</v>
      </c>
      <c r="S527" s="2" t="s">
        <v>2164</v>
      </c>
      <c r="T527" s="2" t="s">
        <v>38</v>
      </c>
      <c r="U527" s="2"/>
    </row>
    <row r="528" spans="1:21" x14ac:dyDescent="0.25">
      <c r="A528" s="18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4"/>
      <c r="M528" s="6"/>
      <c r="O528" s="2"/>
      <c r="P528" s="2" t="s">
        <v>948</v>
      </c>
      <c r="Q528" s="2" t="s">
        <v>949</v>
      </c>
      <c r="R528" s="2" t="s">
        <v>0</v>
      </c>
      <c r="S528" s="2" t="s">
        <v>950</v>
      </c>
      <c r="T528" s="2" t="s">
        <v>951</v>
      </c>
      <c r="U528" s="2"/>
    </row>
    <row r="529" spans="1:21" x14ac:dyDescent="0.25">
      <c r="A529" s="18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4"/>
      <c r="M529" s="6"/>
      <c r="O529" s="2"/>
      <c r="P529" s="2" t="s">
        <v>952</v>
      </c>
      <c r="Q529" s="2" t="s">
        <v>953</v>
      </c>
      <c r="R529" s="2" t="s">
        <v>0</v>
      </c>
      <c r="S529" s="2" t="s">
        <v>954</v>
      </c>
      <c r="T529" s="2" t="s">
        <v>39</v>
      </c>
      <c r="U529" s="2"/>
    </row>
    <row r="530" spans="1:21" x14ac:dyDescent="0.25">
      <c r="A530" s="18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4"/>
      <c r="M530" s="6"/>
      <c r="O530" s="2"/>
      <c r="P530" s="2" t="s">
        <v>955</v>
      </c>
      <c r="Q530" s="2" t="s">
        <v>956</v>
      </c>
      <c r="R530" s="2" t="s">
        <v>0</v>
      </c>
      <c r="S530" s="2" t="s">
        <v>957</v>
      </c>
      <c r="T530" s="2" t="s">
        <v>83</v>
      </c>
      <c r="U530" s="2"/>
    </row>
    <row r="531" spans="1:21" x14ac:dyDescent="0.25">
      <c r="A531" s="18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4"/>
      <c r="M531" s="6"/>
      <c r="O531" s="2"/>
      <c r="P531" s="2" t="s">
        <v>958</v>
      </c>
      <c r="Q531" s="2" t="s">
        <v>959</v>
      </c>
      <c r="R531" s="2" t="s">
        <v>0</v>
      </c>
      <c r="S531" s="2" t="s">
        <v>960</v>
      </c>
      <c r="T531" s="2" t="s">
        <v>961</v>
      </c>
      <c r="U531" s="2"/>
    </row>
    <row r="532" spans="1:21" x14ac:dyDescent="0.25">
      <c r="A532" s="18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4"/>
      <c r="M532" s="6"/>
      <c r="O532" s="2"/>
      <c r="P532" s="2" t="s">
        <v>962</v>
      </c>
      <c r="Q532" s="2" t="s">
        <v>963</v>
      </c>
      <c r="R532" s="2" t="s">
        <v>0</v>
      </c>
      <c r="S532" s="2" t="s">
        <v>964</v>
      </c>
      <c r="T532" s="2" t="s">
        <v>83</v>
      </c>
      <c r="U532" s="2"/>
    </row>
    <row r="533" spans="1:21" x14ac:dyDescent="0.25">
      <c r="A533" s="18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4"/>
      <c r="M533" s="6"/>
      <c r="O533" s="2"/>
      <c r="P533" s="2" t="s">
        <v>1813</v>
      </c>
      <c r="Q533" s="2" t="s">
        <v>1814</v>
      </c>
      <c r="R533" s="2" t="s">
        <v>0</v>
      </c>
      <c r="S533" s="2" t="s">
        <v>1815</v>
      </c>
      <c r="T533" s="2" t="s">
        <v>879</v>
      </c>
      <c r="U533" s="2"/>
    </row>
    <row r="534" spans="1:21" x14ac:dyDescent="0.25">
      <c r="A534" s="18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4"/>
      <c r="M534" s="6"/>
      <c r="O534" s="2"/>
      <c r="P534" s="2" t="s">
        <v>965</v>
      </c>
      <c r="Q534" s="2" t="s">
        <v>966</v>
      </c>
      <c r="R534" s="2" t="s">
        <v>0</v>
      </c>
      <c r="S534" s="2" t="s">
        <v>967</v>
      </c>
      <c r="T534" s="2" t="s">
        <v>83</v>
      </c>
      <c r="U534" s="2"/>
    </row>
    <row r="535" spans="1:21" x14ac:dyDescent="0.25">
      <c r="A535" s="18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4"/>
      <c r="M535" s="6"/>
      <c r="O535" s="2"/>
      <c r="P535" s="2" t="s">
        <v>2418</v>
      </c>
      <c r="Q535" s="2" t="s">
        <v>2419</v>
      </c>
      <c r="R535" s="2" t="s">
        <v>0</v>
      </c>
      <c r="S535" s="2" t="s">
        <v>2430</v>
      </c>
      <c r="T535" s="2" t="s">
        <v>2431</v>
      </c>
      <c r="U535" s="2"/>
    </row>
    <row r="536" spans="1:21" x14ac:dyDescent="0.25">
      <c r="A536" s="18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4"/>
      <c r="M536" s="6"/>
      <c r="O536" s="2"/>
      <c r="P536" s="2" t="s">
        <v>2165</v>
      </c>
      <c r="Q536" s="2" t="s">
        <v>2166</v>
      </c>
      <c r="R536" s="2" t="s">
        <v>0</v>
      </c>
      <c r="S536" s="2" t="s">
        <v>2167</v>
      </c>
      <c r="T536" s="2" t="s">
        <v>83</v>
      </c>
      <c r="U536" s="2"/>
    </row>
    <row r="537" spans="1:21" x14ac:dyDescent="0.25">
      <c r="A537" s="18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4"/>
      <c r="M537" s="6"/>
      <c r="O537" s="2"/>
      <c r="P537" s="2" t="s">
        <v>968</v>
      </c>
      <c r="Q537" s="2" t="s">
        <v>969</v>
      </c>
      <c r="R537" s="2" t="s">
        <v>0</v>
      </c>
      <c r="S537" s="2" t="s">
        <v>970</v>
      </c>
      <c r="T537" s="2" t="s">
        <v>83</v>
      </c>
      <c r="U537" s="2"/>
    </row>
    <row r="538" spans="1:21" x14ac:dyDescent="0.25">
      <c r="A538" s="18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4"/>
      <c r="M538" s="6"/>
      <c r="O538" s="2"/>
      <c r="P538" s="2" t="s">
        <v>1816</v>
      </c>
      <c r="Q538" s="2" t="s">
        <v>1817</v>
      </c>
      <c r="R538" s="2" t="s">
        <v>0</v>
      </c>
      <c r="S538" s="2" t="s">
        <v>1818</v>
      </c>
      <c r="T538" s="2" t="s">
        <v>1819</v>
      </c>
      <c r="U538" s="2"/>
    </row>
    <row r="539" spans="1:21" x14ac:dyDescent="0.25">
      <c r="A539" s="18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4"/>
      <c r="M539" s="6"/>
      <c r="O539" s="2"/>
      <c r="P539" s="2" t="s">
        <v>2168</v>
      </c>
      <c r="Q539" s="2" t="s">
        <v>2169</v>
      </c>
      <c r="R539" s="2" t="s">
        <v>0</v>
      </c>
      <c r="S539" s="2" t="s">
        <v>2170</v>
      </c>
      <c r="T539" s="2" t="s">
        <v>2171</v>
      </c>
      <c r="U539" s="2"/>
    </row>
    <row r="540" spans="1:21" x14ac:dyDescent="0.25">
      <c r="A540" s="18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4"/>
      <c r="M540" s="6"/>
      <c r="O540" s="2"/>
      <c r="P540" s="2" t="s">
        <v>971</v>
      </c>
      <c r="Q540" s="2" t="s">
        <v>972</v>
      </c>
      <c r="R540" s="2" t="s">
        <v>0</v>
      </c>
      <c r="S540" s="2" t="s">
        <v>973</v>
      </c>
      <c r="T540" s="2" t="s">
        <v>33</v>
      </c>
      <c r="U540" s="2"/>
    </row>
    <row r="541" spans="1:21" x14ac:dyDescent="0.25">
      <c r="A541" s="18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4"/>
      <c r="M541" s="6"/>
      <c r="O541" s="2"/>
      <c r="P541" s="2" t="s">
        <v>974</v>
      </c>
      <c r="Q541" s="2" t="s">
        <v>975</v>
      </c>
      <c r="R541" s="2" t="s">
        <v>0</v>
      </c>
      <c r="S541" s="2" t="s">
        <v>976</v>
      </c>
      <c r="T541" s="2" t="s">
        <v>977</v>
      </c>
      <c r="U541" s="2"/>
    </row>
    <row r="542" spans="1:21" x14ac:dyDescent="0.25">
      <c r="A542" s="18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4"/>
      <c r="M542" s="6"/>
      <c r="O542" s="2"/>
      <c r="P542" s="2" t="s">
        <v>978</v>
      </c>
      <c r="Q542" s="2" t="s">
        <v>979</v>
      </c>
      <c r="R542" s="2" t="s">
        <v>0</v>
      </c>
      <c r="S542" s="2" t="s">
        <v>980</v>
      </c>
      <c r="T542" s="2" t="s">
        <v>33</v>
      </c>
      <c r="U542" s="2"/>
    </row>
    <row r="543" spans="1:21" x14ac:dyDescent="0.25">
      <c r="A543" s="18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4"/>
      <c r="M543" s="6"/>
      <c r="O543" s="2"/>
      <c r="P543" s="2" t="s">
        <v>981</v>
      </c>
      <c r="Q543" s="2" t="s">
        <v>982</v>
      </c>
      <c r="R543" s="2" t="s">
        <v>0</v>
      </c>
      <c r="S543" s="2" t="s">
        <v>447</v>
      </c>
      <c r="T543" s="2" t="s">
        <v>39</v>
      </c>
      <c r="U543" s="2"/>
    </row>
    <row r="544" spans="1:21" x14ac:dyDescent="0.25">
      <c r="A544" s="18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4"/>
      <c r="M544" s="6"/>
      <c r="O544" s="2"/>
      <c r="P544" s="2" t="s">
        <v>1820</v>
      </c>
      <c r="Q544" s="2" t="s">
        <v>1821</v>
      </c>
      <c r="R544" s="2" t="s">
        <v>0</v>
      </c>
      <c r="S544" s="2" t="s">
        <v>1822</v>
      </c>
      <c r="T544" s="2" t="s">
        <v>39</v>
      </c>
      <c r="U544" s="2"/>
    </row>
    <row r="545" spans="1:21" x14ac:dyDescent="0.25">
      <c r="A545" s="18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4"/>
      <c r="M545" s="6"/>
      <c r="O545" s="2"/>
      <c r="P545" s="2" t="s">
        <v>1823</v>
      </c>
      <c r="Q545" s="2" t="s">
        <v>1824</v>
      </c>
      <c r="R545" s="2" t="s">
        <v>0</v>
      </c>
      <c r="S545" s="2" t="s">
        <v>1825</v>
      </c>
      <c r="T545" s="2" t="s">
        <v>977</v>
      </c>
      <c r="U545" s="2"/>
    </row>
    <row r="546" spans="1:21" x14ac:dyDescent="0.25">
      <c r="A546" s="18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4"/>
      <c r="M546" s="6"/>
      <c r="O546" s="2"/>
      <c r="P546" s="2" t="s">
        <v>983</v>
      </c>
      <c r="Q546" s="2" t="s">
        <v>984</v>
      </c>
      <c r="R546" s="2" t="s">
        <v>0</v>
      </c>
      <c r="S546" s="2" t="s">
        <v>985</v>
      </c>
      <c r="T546" s="2" t="s">
        <v>38</v>
      </c>
      <c r="U546" s="2"/>
    </row>
    <row r="547" spans="1:21" x14ac:dyDescent="0.25">
      <c r="A547" s="181"/>
      <c r="B547" s="2"/>
      <c r="C547" s="2"/>
      <c r="D547" s="2"/>
      <c r="E547" s="2"/>
      <c r="F547" s="2"/>
      <c r="G547" s="2"/>
      <c r="H547" s="161"/>
      <c r="I547" s="161"/>
      <c r="J547" s="161"/>
      <c r="K547" s="161"/>
      <c r="L547" s="97"/>
      <c r="M547" s="6"/>
      <c r="O547" s="2"/>
      <c r="P547" s="2" t="s">
        <v>2172</v>
      </c>
      <c r="Q547" s="2" t="s">
        <v>2173</v>
      </c>
      <c r="R547" s="2" t="s">
        <v>0</v>
      </c>
      <c r="S547" s="2" t="s">
        <v>2174</v>
      </c>
      <c r="T547" s="2" t="s">
        <v>83</v>
      </c>
      <c r="U547" s="2"/>
    </row>
    <row r="548" spans="1:21" x14ac:dyDescent="0.25">
      <c r="A548" s="181"/>
      <c r="B548" s="2"/>
      <c r="C548" s="2"/>
      <c r="D548" s="2"/>
      <c r="E548" s="2"/>
      <c r="F548" s="2"/>
      <c r="G548" s="2"/>
      <c r="H548" s="161"/>
      <c r="I548" s="161"/>
      <c r="J548" s="161"/>
      <c r="K548" s="161"/>
      <c r="L548" s="97"/>
      <c r="M548" s="6"/>
      <c r="O548" s="2"/>
      <c r="P548" s="2" t="s">
        <v>986</v>
      </c>
      <c r="Q548" s="2" t="s">
        <v>987</v>
      </c>
      <c r="R548" s="2" t="s">
        <v>0</v>
      </c>
      <c r="S548" s="2" t="s">
        <v>988</v>
      </c>
      <c r="T548" s="2" t="s">
        <v>83</v>
      </c>
      <c r="U548" s="2"/>
    </row>
    <row r="549" spans="1:21" x14ac:dyDescent="0.25">
      <c r="A549" s="181"/>
      <c r="B549" s="2"/>
      <c r="C549" s="2"/>
      <c r="D549" s="2"/>
      <c r="E549" s="2"/>
      <c r="F549" s="2"/>
      <c r="G549" s="2"/>
      <c r="H549" s="161"/>
      <c r="I549" s="161"/>
      <c r="J549" s="161"/>
      <c r="K549" s="161"/>
      <c r="L549" s="97"/>
      <c r="M549" s="6"/>
      <c r="O549" s="2"/>
      <c r="P549" s="2" t="s">
        <v>1826</v>
      </c>
      <c r="Q549" s="2" t="s">
        <v>1827</v>
      </c>
      <c r="R549" s="2" t="s">
        <v>0</v>
      </c>
      <c r="S549" s="2" t="s">
        <v>1828</v>
      </c>
      <c r="T549" s="2" t="s">
        <v>34</v>
      </c>
      <c r="U549" s="2"/>
    </row>
    <row r="550" spans="1:21" x14ac:dyDescent="0.25">
      <c r="A550" s="181"/>
      <c r="B550" s="2"/>
      <c r="C550" s="2"/>
      <c r="D550" s="2"/>
      <c r="E550" s="2"/>
      <c r="F550" s="2"/>
      <c r="G550" s="2"/>
      <c r="H550" s="161"/>
      <c r="I550" s="161"/>
      <c r="J550" s="161"/>
      <c r="K550" s="161"/>
      <c r="L550" s="97"/>
      <c r="M550" s="6"/>
      <c r="O550" s="2"/>
      <c r="P550" s="2" t="s">
        <v>989</v>
      </c>
      <c r="Q550" s="2" t="s">
        <v>990</v>
      </c>
      <c r="R550" s="2" t="s">
        <v>0</v>
      </c>
      <c r="S550" s="2" t="s">
        <v>991</v>
      </c>
      <c r="T550" s="2" t="s">
        <v>83</v>
      </c>
      <c r="U550" s="2"/>
    </row>
    <row r="551" spans="1:21" x14ac:dyDescent="0.25">
      <c r="A551" s="181"/>
      <c r="B551" s="2"/>
      <c r="C551" s="2"/>
      <c r="D551" s="2"/>
      <c r="E551" s="2"/>
      <c r="F551" s="2"/>
      <c r="G551" s="2"/>
      <c r="H551" s="161"/>
      <c r="I551" s="161"/>
      <c r="J551" s="161"/>
      <c r="K551" s="161"/>
      <c r="L551" s="97"/>
      <c r="M551" s="6"/>
      <c r="O551" s="2"/>
      <c r="P551" s="2" t="s">
        <v>1829</v>
      </c>
      <c r="Q551" s="2" t="s">
        <v>1830</v>
      </c>
      <c r="R551" s="2" t="s">
        <v>0</v>
      </c>
      <c r="S551" s="2" t="s">
        <v>1831</v>
      </c>
      <c r="T551" s="2" t="s">
        <v>894</v>
      </c>
      <c r="U551" s="2"/>
    </row>
    <row r="552" spans="1:21" x14ac:dyDescent="0.25">
      <c r="A552" s="181"/>
      <c r="B552" s="2"/>
      <c r="C552" s="2"/>
      <c r="D552" s="2"/>
      <c r="E552" s="2"/>
      <c r="F552" s="2"/>
      <c r="G552" s="2"/>
      <c r="H552" s="161"/>
      <c r="I552" s="161"/>
      <c r="J552" s="161"/>
      <c r="K552" s="161"/>
      <c r="L552" s="97"/>
      <c r="M552" s="6"/>
      <c r="O552" s="2"/>
      <c r="P552" s="2" t="s">
        <v>1832</v>
      </c>
      <c r="Q552" s="2" t="s">
        <v>1833</v>
      </c>
      <c r="R552" s="2" t="s">
        <v>0</v>
      </c>
      <c r="S552" s="2" t="s">
        <v>1834</v>
      </c>
      <c r="T552" s="2" t="s">
        <v>0</v>
      </c>
      <c r="U552" s="2"/>
    </row>
    <row r="553" spans="1:21" x14ac:dyDescent="0.25">
      <c r="A553" s="181"/>
      <c r="B553" s="2"/>
      <c r="C553" s="2"/>
      <c r="D553" s="2"/>
      <c r="E553" s="2"/>
      <c r="F553" s="2"/>
      <c r="G553" s="2"/>
      <c r="H553" s="161"/>
      <c r="I553" s="161"/>
      <c r="J553" s="161"/>
      <c r="K553" s="161"/>
      <c r="L553" s="97"/>
      <c r="M553" s="6"/>
      <c r="O553" s="2"/>
      <c r="P553" s="2" t="s">
        <v>992</v>
      </c>
      <c r="Q553" s="2" t="s">
        <v>993</v>
      </c>
      <c r="R553" s="2" t="s">
        <v>0</v>
      </c>
      <c r="S553" s="2" t="s">
        <v>994</v>
      </c>
      <c r="T553" s="2" t="s">
        <v>995</v>
      </c>
      <c r="U553" s="2"/>
    </row>
    <row r="554" spans="1:21" x14ac:dyDescent="0.25">
      <c r="A554" s="181"/>
      <c r="B554" s="2"/>
      <c r="C554" s="2"/>
      <c r="D554" s="2"/>
      <c r="E554" s="2"/>
      <c r="F554" s="2"/>
      <c r="G554" s="2"/>
      <c r="H554" s="161"/>
      <c r="I554" s="161"/>
      <c r="J554" s="161"/>
      <c r="K554" s="161"/>
      <c r="L554" s="97"/>
      <c r="M554" s="6"/>
      <c r="O554" s="2"/>
      <c r="P554" s="2" t="s">
        <v>996</v>
      </c>
      <c r="Q554" s="2" t="s">
        <v>997</v>
      </c>
      <c r="R554" s="2" t="s">
        <v>0</v>
      </c>
      <c r="S554" s="2" t="s">
        <v>998</v>
      </c>
      <c r="T554" s="2" t="s">
        <v>39</v>
      </c>
      <c r="U554" s="2"/>
    </row>
    <row r="555" spans="1:21" x14ac:dyDescent="0.25">
      <c r="A555" s="181"/>
      <c r="B555" s="2"/>
      <c r="C555" s="2"/>
      <c r="D555" s="2"/>
      <c r="E555" s="2"/>
      <c r="F555" s="2"/>
      <c r="G555" s="2"/>
      <c r="H555" s="161"/>
      <c r="I555" s="161"/>
      <c r="J555" s="161"/>
      <c r="K555" s="161"/>
      <c r="L555" s="97"/>
      <c r="M555" s="6"/>
      <c r="O555" s="2"/>
      <c r="P555" s="2" t="s">
        <v>42</v>
      </c>
      <c r="Q555" s="2" t="s">
        <v>41</v>
      </c>
      <c r="R555" s="2" t="s">
        <v>0</v>
      </c>
      <c r="S555" s="2" t="s">
        <v>40</v>
      </c>
      <c r="T555" s="2" t="s">
        <v>999</v>
      </c>
      <c r="U555" s="2"/>
    </row>
    <row r="556" spans="1:21" x14ac:dyDescent="0.25">
      <c r="A556" s="181"/>
      <c r="B556" s="2"/>
      <c r="C556" s="2"/>
      <c r="D556" s="2"/>
      <c r="E556" s="2"/>
      <c r="F556" s="2"/>
      <c r="G556" s="2"/>
      <c r="H556" s="161"/>
      <c r="I556" s="161"/>
      <c r="J556" s="161"/>
      <c r="K556" s="161"/>
      <c r="L556" s="97"/>
      <c r="M556" s="6"/>
      <c r="O556" s="2"/>
      <c r="P556" s="2" t="s">
        <v>2175</v>
      </c>
      <c r="Q556" s="2" t="s">
        <v>2176</v>
      </c>
      <c r="R556" s="2" t="s">
        <v>0</v>
      </c>
      <c r="S556" s="2" t="s">
        <v>456</v>
      </c>
      <c r="T556" s="2" t="s">
        <v>977</v>
      </c>
      <c r="U556" s="2"/>
    </row>
    <row r="557" spans="1:21" x14ac:dyDescent="0.25">
      <c r="A557" s="181"/>
      <c r="B557" s="2"/>
      <c r="C557" s="2"/>
      <c r="D557" s="2"/>
      <c r="E557" s="2"/>
      <c r="F557" s="2"/>
      <c r="G557" s="2"/>
      <c r="H557" s="161"/>
      <c r="I557" s="161"/>
      <c r="J557" s="161"/>
      <c r="K557" s="161"/>
      <c r="L557" s="97"/>
      <c r="M557" s="6"/>
      <c r="O557" s="2"/>
      <c r="P557" s="2" t="s">
        <v>2374</v>
      </c>
      <c r="Q557" s="2" t="s">
        <v>2375</v>
      </c>
      <c r="R557" s="2" t="s">
        <v>0</v>
      </c>
      <c r="S557" s="2" t="s">
        <v>456</v>
      </c>
      <c r="T557" s="2" t="s">
        <v>2348</v>
      </c>
      <c r="U557" s="2"/>
    </row>
    <row r="558" spans="1:21" x14ac:dyDescent="0.25">
      <c r="A558" s="181"/>
      <c r="B558" s="2"/>
      <c r="C558" s="2"/>
      <c r="D558" s="2"/>
      <c r="E558" s="2"/>
      <c r="F558" s="2"/>
      <c r="G558" s="2"/>
      <c r="H558" s="161"/>
      <c r="I558" s="161"/>
      <c r="J558" s="161"/>
      <c r="K558" s="161"/>
      <c r="L558" s="97"/>
      <c r="M558" s="6"/>
      <c r="O558" s="2"/>
      <c r="P558" s="2" t="s">
        <v>1835</v>
      </c>
      <c r="Q558" s="2" t="s">
        <v>1836</v>
      </c>
      <c r="R558" s="2" t="s">
        <v>0</v>
      </c>
      <c r="S558" s="2" t="s">
        <v>1837</v>
      </c>
      <c r="T558" s="2" t="s">
        <v>1000</v>
      </c>
      <c r="U558" s="2"/>
    </row>
    <row r="559" spans="1:21" x14ac:dyDescent="0.25">
      <c r="A559" s="181"/>
      <c r="B559" s="2"/>
      <c r="C559" s="2"/>
      <c r="D559" s="2"/>
      <c r="E559" s="2"/>
      <c r="F559" s="2"/>
      <c r="G559" s="2"/>
      <c r="H559" s="161"/>
      <c r="I559" s="161"/>
      <c r="J559" s="161"/>
      <c r="K559" s="161"/>
      <c r="L559" s="97"/>
      <c r="M559" s="6"/>
      <c r="O559" s="2"/>
      <c r="P559" s="2" t="s">
        <v>1838</v>
      </c>
      <c r="Q559" s="2" t="s">
        <v>1839</v>
      </c>
      <c r="R559" s="2" t="s">
        <v>0</v>
      </c>
      <c r="S559" s="2" t="s">
        <v>1840</v>
      </c>
      <c r="T559" s="2" t="s">
        <v>883</v>
      </c>
      <c r="U559" s="2"/>
    </row>
    <row r="560" spans="1:21" x14ac:dyDescent="0.25">
      <c r="A560" s="181"/>
      <c r="B560" s="2"/>
      <c r="C560" s="2"/>
      <c r="D560" s="2"/>
      <c r="E560" s="2"/>
      <c r="F560" s="2"/>
      <c r="G560" s="2"/>
      <c r="H560" s="161"/>
      <c r="I560" s="161"/>
      <c r="J560" s="161"/>
      <c r="K560" s="161"/>
      <c r="L560" s="97"/>
      <c r="M560" s="6"/>
      <c r="O560" s="2"/>
      <c r="P560" s="2" t="s">
        <v>1001</v>
      </c>
      <c r="Q560" s="2" t="s">
        <v>1002</v>
      </c>
      <c r="R560" s="2" t="s">
        <v>0</v>
      </c>
      <c r="S560" s="2" t="s">
        <v>1003</v>
      </c>
      <c r="T560" s="2" t="s">
        <v>33</v>
      </c>
      <c r="U560" s="2"/>
    </row>
    <row r="561" spans="1:21" x14ac:dyDescent="0.25">
      <c r="A561" s="181"/>
      <c r="B561" s="2"/>
      <c r="C561" s="2"/>
      <c r="D561" s="2"/>
      <c r="E561" s="2"/>
      <c r="F561" s="2"/>
      <c r="G561" s="2"/>
      <c r="H561" s="161"/>
      <c r="I561" s="161"/>
      <c r="J561" s="161"/>
      <c r="K561" s="161"/>
      <c r="L561" s="97"/>
      <c r="M561" s="6"/>
      <c r="O561" s="2"/>
      <c r="P561" s="2" t="s">
        <v>1283</v>
      </c>
      <c r="Q561" s="2" t="s">
        <v>1284</v>
      </c>
      <c r="R561" s="2" t="s">
        <v>0</v>
      </c>
      <c r="S561" s="2" t="s">
        <v>2285</v>
      </c>
      <c r="T561" s="2" t="s">
        <v>1285</v>
      </c>
      <c r="U561" s="2"/>
    </row>
    <row r="562" spans="1:21" x14ac:dyDescent="0.25">
      <c r="A562" s="181"/>
      <c r="B562" s="2"/>
      <c r="C562" s="2"/>
      <c r="D562" s="2"/>
      <c r="E562" s="2"/>
      <c r="F562" s="2"/>
      <c r="G562" s="2"/>
      <c r="H562" s="161"/>
      <c r="I562" s="161"/>
      <c r="J562" s="161"/>
      <c r="K562" s="161"/>
      <c r="L562" s="97"/>
      <c r="M562" s="6"/>
      <c r="O562" s="2"/>
      <c r="P562" s="2" t="s">
        <v>1004</v>
      </c>
      <c r="Q562" s="2" t="s">
        <v>1005</v>
      </c>
      <c r="R562" s="2" t="s">
        <v>0</v>
      </c>
      <c r="S562" s="2" t="s">
        <v>1006</v>
      </c>
      <c r="T562" s="2" t="s">
        <v>87</v>
      </c>
      <c r="U562" s="2"/>
    </row>
    <row r="563" spans="1:21" x14ac:dyDescent="0.25">
      <c r="A563" s="181"/>
      <c r="B563" s="2"/>
      <c r="C563" s="2"/>
      <c r="D563" s="2"/>
      <c r="E563" s="2"/>
      <c r="F563" s="2"/>
      <c r="G563" s="2"/>
      <c r="H563" s="161"/>
      <c r="I563" s="161"/>
      <c r="J563" s="161"/>
      <c r="K563" s="161"/>
      <c r="L563" s="97"/>
      <c r="M563" s="6"/>
      <c r="O563" s="2"/>
      <c r="P563" s="2" t="s">
        <v>1841</v>
      </c>
      <c r="Q563" s="2" t="s">
        <v>1842</v>
      </c>
      <c r="R563" s="2" t="s">
        <v>0</v>
      </c>
      <c r="S563" s="2" t="s">
        <v>1843</v>
      </c>
      <c r="T563" s="2" t="s">
        <v>39</v>
      </c>
      <c r="U563" s="2"/>
    </row>
    <row r="564" spans="1:21" x14ac:dyDescent="0.25">
      <c r="A564" s="181"/>
      <c r="B564" s="2"/>
      <c r="C564" s="2"/>
      <c r="D564" s="2"/>
      <c r="E564" s="2"/>
      <c r="F564" s="2"/>
      <c r="G564" s="2"/>
      <c r="H564" s="161"/>
      <c r="I564" s="161"/>
      <c r="J564" s="161"/>
      <c r="K564" s="161"/>
      <c r="L564" s="97"/>
      <c r="M564" s="6"/>
      <c r="O564" s="2"/>
      <c r="P564" s="2" t="s">
        <v>1346</v>
      </c>
      <c r="Q564" s="2" t="s">
        <v>1347</v>
      </c>
      <c r="R564" s="2" t="s">
        <v>0</v>
      </c>
      <c r="S564" s="2" t="s">
        <v>1348</v>
      </c>
      <c r="T564" s="2" t="s">
        <v>1349</v>
      </c>
      <c r="U564" s="2"/>
    </row>
    <row r="565" spans="1:21" x14ac:dyDescent="0.25">
      <c r="A565" s="181"/>
      <c r="B565" s="2"/>
      <c r="C565" s="2"/>
      <c r="D565" s="2"/>
      <c r="E565" s="2"/>
      <c r="F565" s="2"/>
      <c r="G565" s="2"/>
      <c r="H565" s="161"/>
      <c r="I565" s="161"/>
      <c r="J565" s="161"/>
      <c r="K565" s="161"/>
      <c r="L565" s="97"/>
      <c r="M565" s="6"/>
      <c r="O565" s="2"/>
      <c r="P565" s="2" t="s">
        <v>2177</v>
      </c>
      <c r="Q565" s="2" t="s">
        <v>2178</v>
      </c>
      <c r="R565" s="2" t="s">
        <v>0</v>
      </c>
      <c r="S565" s="2" t="s">
        <v>2179</v>
      </c>
      <c r="T565" s="2" t="s">
        <v>999</v>
      </c>
      <c r="U565" s="2"/>
    </row>
    <row r="566" spans="1:21" x14ac:dyDescent="0.25">
      <c r="A566" s="181"/>
      <c r="B566" s="2"/>
      <c r="C566" s="2"/>
      <c r="D566" s="2"/>
      <c r="E566" s="2"/>
      <c r="F566" s="2"/>
      <c r="G566" s="2"/>
      <c r="H566" s="161"/>
      <c r="I566" s="161"/>
      <c r="J566" s="161"/>
      <c r="K566" s="161"/>
      <c r="L566" s="97"/>
      <c r="M566" s="6"/>
      <c r="O566" s="2"/>
      <c r="P566" s="2" t="s">
        <v>1844</v>
      </c>
      <c r="Q566" s="2" t="s">
        <v>1845</v>
      </c>
      <c r="R566" s="2" t="s">
        <v>0</v>
      </c>
      <c r="S566" s="2" t="s">
        <v>476</v>
      </c>
      <c r="T566" s="2" t="s">
        <v>38</v>
      </c>
      <c r="U566" s="2"/>
    </row>
    <row r="567" spans="1:21" x14ac:dyDescent="0.25">
      <c r="A567" s="181"/>
      <c r="B567" s="2"/>
      <c r="C567" s="2"/>
      <c r="D567" s="2"/>
      <c r="E567" s="2"/>
      <c r="F567" s="2"/>
      <c r="G567" s="2"/>
      <c r="H567" s="161"/>
      <c r="I567" s="161"/>
      <c r="J567" s="161"/>
      <c r="K567" s="161"/>
      <c r="L567" s="97"/>
      <c r="M567" s="6"/>
      <c r="O567" s="2"/>
      <c r="P567" s="2" t="s">
        <v>1007</v>
      </c>
      <c r="Q567" s="2" t="s">
        <v>1008</v>
      </c>
      <c r="R567" s="2" t="s">
        <v>0</v>
      </c>
      <c r="S567" s="2" t="s">
        <v>1009</v>
      </c>
      <c r="T567" s="2" t="s">
        <v>1010</v>
      </c>
      <c r="U567" s="2"/>
    </row>
    <row r="568" spans="1:21" x14ac:dyDescent="0.25">
      <c r="A568" s="18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4"/>
      <c r="M568" s="6"/>
      <c r="O568" s="2"/>
      <c r="P568" s="2" t="s">
        <v>1846</v>
      </c>
      <c r="Q568" s="2" t="s">
        <v>1847</v>
      </c>
      <c r="R568" s="2" t="s">
        <v>0</v>
      </c>
      <c r="S568" s="2" t="s">
        <v>1848</v>
      </c>
      <c r="T568" s="2" t="s">
        <v>920</v>
      </c>
      <c r="U568" s="2"/>
    </row>
    <row r="569" spans="1:21" x14ac:dyDescent="0.25">
      <c r="A569" s="18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4"/>
      <c r="M569" s="6"/>
      <c r="O569" s="2"/>
      <c r="P569" s="2" t="s">
        <v>1011</v>
      </c>
      <c r="Q569" s="2" t="s">
        <v>1012</v>
      </c>
      <c r="R569" s="2" t="s">
        <v>0</v>
      </c>
      <c r="S569" s="2" t="s">
        <v>1013</v>
      </c>
      <c r="T569" s="2" t="s">
        <v>0</v>
      </c>
      <c r="U569" s="2"/>
    </row>
    <row r="570" spans="1:21" x14ac:dyDescent="0.25">
      <c r="A570" s="18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4"/>
      <c r="M570" s="6"/>
      <c r="O570" s="2"/>
      <c r="P570" s="2" t="s">
        <v>1014</v>
      </c>
      <c r="Q570" s="2" t="s">
        <v>1015</v>
      </c>
      <c r="R570" s="2" t="s">
        <v>0</v>
      </c>
      <c r="S570" s="2" t="s">
        <v>1016</v>
      </c>
      <c r="T570" s="2" t="s">
        <v>1017</v>
      </c>
      <c r="U570" s="2"/>
    </row>
    <row r="571" spans="1:21" x14ac:dyDescent="0.25">
      <c r="A571" s="18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4"/>
      <c r="M571" s="6"/>
      <c r="O571" s="2"/>
      <c r="P571" s="2" t="s">
        <v>1849</v>
      </c>
      <c r="Q571" s="2" t="s">
        <v>1850</v>
      </c>
      <c r="R571" s="2" t="s">
        <v>0</v>
      </c>
      <c r="S571" s="2" t="s">
        <v>1851</v>
      </c>
      <c r="T571" s="2" t="s">
        <v>879</v>
      </c>
      <c r="U571" s="2"/>
    </row>
    <row r="572" spans="1:21" x14ac:dyDescent="0.25">
      <c r="A572" s="18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4"/>
      <c r="M572" s="6"/>
      <c r="O572" s="2"/>
      <c r="P572" s="2" t="s">
        <v>2180</v>
      </c>
      <c r="Q572" s="2" t="s">
        <v>2181</v>
      </c>
      <c r="R572" s="2" t="s">
        <v>0</v>
      </c>
      <c r="S572" s="2" t="s">
        <v>1852</v>
      </c>
      <c r="T572" s="2" t="s">
        <v>977</v>
      </c>
      <c r="U572" s="2"/>
    </row>
    <row r="573" spans="1:21" x14ac:dyDescent="0.25">
      <c r="A573" s="18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4"/>
      <c r="M573" s="6"/>
      <c r="O573" s="2"/>
      <c r="P573" s="2" t="s">
        <v>1853</v>
      </c>
      <c r="Q573" s="2" t="s">
        <v>1854</v>
      </c>
      <c r="R573" s="2" t="s">
        <v>0</v>
      </c>
      <c r="S573" s="2" t="s">
        <v>1852</v>
      </c>
      <c r="T573" s="2" t="s">
        <v>39</v>
      </c>
      <c r="U573" s="2"/>
    </row>
    <row r="574" spans="1:21" x14ac:dyDescent="0.25">
      <c r="A574" s="18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4"/>
      <c r="M574" s="6"/>
      <c r="O574" s="2"/>
      <c r="P574" s="2" t="s">
        <v>1855</v>
      </c>
      <c r="Q574" s="2" t="s">
        <v>1856</v>
      </c>
      <c r="R574" s="2" t="s">
        <v>0</v>
      </c>
      <c r="S574" s="2" t="s">
        <v>1857</v>
      </c>
      <c r="T574" s="2" t="s">
        <v>1858</v>
      </c>
      <c r="U574" s="2"/>
    </row>
    <row r="575" spans="1:21" x14ac:dyDescent="0.25">
      <c r="A575" s="18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4"/>
      <c r="M575" s="6"/>
      <c r="O575" s="2"/>
      <c r="P575" s="2" t="s">
        <v>2376</v>
      </c>
      <c r="Q575" s="2" t="s">
        <v>2377</v>
      </c>
      <c r="R575" s="2" t="s">
        <v>0</v>
      </c>
      <c r="S575" s="2" t="s">
        <v>2381</v>
      </c>
      <c r="T575" s="2" t="s">
        <v>1285</v>
      </c>
      <c r="U575" s="2"/>
    </row>
    <row r="576" spans="1:21" x14ac:dyDescent="0.25">
      <c r="A576" s="18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4"/>
      <c r="M576" s="6"/>
      <c r="O576" s="2"/>
      <c r="P576" s="2" t="s">
        <v>2339</v>
      </c>
      <c r="Q576" s="2" t="s">
        <v>2340</v>
      </c>
      <c r="R576" s="2" t="s">
        <v>0</v>
      </c>
      <c r="S576" s="2" t="s">
        <v>2346</v>
      </c>
      <c r="T576" s="2" t="s">
        <v>1094</v>
      </c>
      <c r="U576" s="2"/>
    </row>
    <row r="577" spans="1:21" x14ac:dyDescent="0.25">
      <c r="A577" s="18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4"/>
      <c r="M577" s="6"/>
      <c r="O577" s="2"/>
      <c r="P577" s="2" t="s">
        <v>2182</v>
      </c>
      <c r="Q577" s="2" t="s">
        <v>2183</v>
      </c>
      <c r="R577" s="2" t="s">
        <v>0</v>
      </c>
      <c r="S577" s="2" t="s">
        <v>2184</v>
      </c>
      <c r="T577" s="2" t="s">
        <v>34</v>
      </c>
      <c r="U577" s="2"/>
    </row>
    <row r="578" spans="1:21" x14ac:dyDescent="0.25">
      <c r="A578" s="18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4"/>
      <c r="M578" s="6"/>
      <c r="O578" s="2"/>
      <c r="P578" s="2" t="s">
        <v>2185</v>
      </c>
      <c r="Q578" s="2" t="s">
        <v>2186</v>
      </c>
      <c r="R578" s="2" t="s">
        <v>0</v>
      </c>
      <c r="S578" s="2" t="s">
        <v>2184</v>
      </c>
      <c r="T578" s="2" t="s">
        <v>879</v>
      </c>
      <c r="U578" s="2"/>
    </row>
    <row r="579" spans="1:21" x14ac:dyDescent="0.25">
      <c r="A579" s="18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4"/>
      <c r="M579" s="6"/>
      <c r="O579" s="2"/>
      <c r="P579" s="2" t="s">
        <v>1018</v>
      </c>
      <c r="Q579" s="2" t="s">
        <v>1019</v>
      </c>
      <c r="R579" s="2" t="s">
        <v>0</v>
      </c>
      <c r="S579" s="2" t="s">
        <v>1020</v>
      </c>
      <c r="T579" s="2" t="s">
        <v>977</v>
      </c>
      <c r="U579" s="2"/>
    </row>
    <row r="580" spans="1:21" x14ac:dyDescent="0.25">
      <c r="A580" s="18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4"/>
      <c r="M580" s="6"/>
      <c r="O580" s="2"/>
      <c r="P580" s="2" t="s">
        <v>1021</v>
      </c>
      <c r="Q580" s="2" t="s">
        <v>1022</v>
      </c>
      <c r="R580" s="2" t="s">
        <v>0</v>
      </c>
      <c r="S580" s="2" t="s">
        <v>1023</v>
      </c>
      <c r="T580" s="2" t="s">
        <v>38</v>
      </c>
      <c r="U580" s="2"/>
    </row>
    <row r="581" spans="1:21" x14ac:dyDescent="0.25">
      <c r="A581" s="18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4"/>
      <c r="M581" s="6"/>
      <c r="O581" s="2"/>
      <c r="P581" s="2" t="s">
        <v>1024</v>
      </c>
      <c r="Q581" s="2" t="s">
        <v>1025</v>
      </c>
      <c r="R581" s="2" t="s">
        <v>0</v>
      </c>
      <c r="S581" s="2" t="s">
        <v>1026</v>
      </c>
      <c r="T581" s="2" t="s">
        <v>39</v>
      </c>
      <c r="U581" s="2"/>
    </row>
    <row r="582" spans="1:21" x14ac:dyDescent="0.25">
      <c r="A582" s="18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4"/>
      <c r="M582" s="6"/>
      <c r="O582" s="2"/>
      <c r="P582" s="2" t="s">
        <v>1859</v>
      </c>
      <c r="Q582" s="2" t="s">
        <v>1860</v>
      </c>
      <c r="R582" s="2" t="s">
        <v>0</v>
      </c>
      <c r="S582" s="2" t="s">
        <v>1861</v>
      </c>
      <c r="T582" s="2" t="s">
        <v>894</v>
      </c>
      <c r="U582" s="2"/>
    </row>
    <row r="583" spans="1:21" x14ac:dyDescent="0.25">
      <c r="A583" s="18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4"/>
      <c r="M583" s="6"/>
      <c r="O583" s="2"/>
      <c r="P583" s="2" t="s">
        <v>2187</v>
      </c>
      <c r="Q583" s="2" t="s">
        <v>2188</v>
      </c>
      <c r="R583" s="2" t="s">
        <v>0</v>
      </c>
      <c r="S583" s="2" t="s">
        <v>2189</v>
      </c>
      <c r="T583" s="2" t="s">
        <v>83</v>
      </c>
      <c r="U583" s="2"/>
    </row>
    <row r="584" spans="1:21" x14ac:dyDescent="0.25">
      <c r="A584" s="18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4"/>
      <c r="M584" s="6"/>
      <c r="O584" s="2"/>
      <c r="P584" s="2" t="s">
        <v>1862</v>
      </c>
      <c r="Q584" s="2" t="s">
        <v>2275</v>
      </c>
      <c r="R584" s="2" t="s">
        <v>0</v>
      </c>
      <c r="S584" s="2" t="s">
        <v>1539</v>
      </c>
      <c r="T584" s="2" t="s">
        <v>33</v>
      </c>
      <c r="U584" s="2"/>
    </row>
    <row r="585" spans="1:21" x14ac:dyDescent="0.25">
      <c r="A585" s="18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4"/>
      <c r="M585" s="6"/>
      <c r="O585" s="2"/>
      <c r="P585" s="2" t="s">
        <v>143</v>
      </c>
      <c r="Q585" s="2" t="s">
        <v>144</v>
      </c>
      <c r="R585" s="2" t="s">
        <v>0</v>
      </c>
      <c r="S585" s="2" t="s">
        <v>145</v>
      </c>
      <c r="T585" s="2" t="s">
        <v>33</v>
      </c>
      <c r="U585" s="2"/>
    </row>
    <row r="586" spans="1:21" x14ac:dyDescent="0.25">
      <c r="A586" s="18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4"/>
      <c r="M586" s="6"/>
      <c r="O586" s="2"/>
      <c r="P586" s="2" t="s">
        <v>1027</v>
      </c>
      <c r="Q586" s="2" t="s">
        <v>1028</v>
      </c>
      <c r="R586" s="2" t="s">
        <v>0</v>
      </c>
      <c r="S586" s="2" t="s">
        <v>1029</v>
      </c>
      <c r="T586" s="2" t="s">
        <v>1030</v>
      </c>
      <c r="U586" s="2"/>
    </row>
    <row r="587" spans="1:21" x14ac:dyDescent="0.25">
      <c r="A587" s="18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4"/>
      <c r="M587" s="6"/>
      <c r="O587" s="2"/>
      <c r="P587" s="2" t="s">
        <v>1031</v>
      </c>
      <c r="Q587" s="2" t="s">
        <v>1032</v>
      </c>
      <c r="R587" s="2" t="s">
        <v>0</v>
      </c>
      <c r="S587" s="2" t="s">
        <v>1033</v>
      </c>
      <c r="T587" s="2" t="s">
        <v>33</v>
      </c>
      <c r="U587" s="2"/>
    </row>
    <row r="588" spans="1:21" x14ac:dyDescent="0.25">
      <c r="A588" s="18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4"/>
      <c r="M588" s="6"/>
      <c r="O588" s="2"/>
      <c r="P588" s="2" t="s">
        <v>2190</v>
      </c>
      <c r="Q588" s="2" t="s">
        <v>2191</v>
      </c>
      <c r="R588" s="2" t="s">
        <v>0</v>
      </c>
      <c r="S588" s="2" t="s">
        <v>2192</v>
      </c>
      <c r="T588" s="2" t="s">
        <v>39</v>
      </c>
      <c r="U588" s="2"/>
    </row>
    <row r="589" spans="1:21" x14ac:dyDescent="0.25">
      <c r="A589" s="18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4"/>
      <c r="M589" s="6"/>
      <c r="O589" s="2"/>
      <c r="P589" s="2" t="s">
        <v>1034</v>
      </c>
      <c r="Q589" s="2" t="s">
        <v>1035</v>
      </c>
      <c r="R589" s="2" t="s">
        <v>0</v>
      </c>
      <c r="S589" s="2" t="s">
        <v>541</v>
      </c>
      <c r="T589" s="2" t="s">
        <v>1036</v>
      </c>
      <c r="U589" s="2"/>
    </row>
    <row r="590" spans="1:21" x14ac:dyDescent="0.25">
      <c r="A590" s="18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4"/>
      <c r="M590" s="6"/>
      <c r="O590" s="2"/>
      <c r="P590" s="2" t="s">
        <v>1037</v>
      </c>
      <c r="Q590" s="2" t="s">
        <v>1038</v>
      </c>
      <c r="R590" s="2" t="s">
        <v>0</v>
      </c>
      <c r="S590" s="2" t="s">
        <v>1039</v>
      </c>
      <c r="T590" s="2" t="s">
        <v>39</v>
      </c>
      <c r="U590" s="2"/>
    </row>
    <row r="591" spans="1:21" x14ac:dyDescent="0.25">
      <c r="A591" s="18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4"/>
      <c r="M591" s="6"/>
      <c r="O591" s="2"/>
      <c r="P591" s="2" t="s">
        <v>1863</v>
      </c>
      <c r="Q591" s="2" t="s">
        <v>1864</v>
      </c>
      <c r="R591" s="2" t="s">
        <v>0</v>
      </c>
      <c r="S591" s="2" t="s">
        <v>1865</v>
      </c>
      <c r="T591" s="2" t="s">
        <v>33</v>
      </c>
      <c r="U591" s="2"/>
    </row>
    <row r="592" spans="1:21" x14ac:dyDescent="0.25">
      <c r="A592" s="18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4"/>
      <c r="M592" s="6"/>
      <c r="O592" s="2"/>
      <c r="P592" s="2" t="s">
        <v>1040</v>
      </c>
      <c r="Q592" s="2" t="s">
        <v>2286</v>
      </c>
      <c r="R592" s="2" t="s">
        <v>0</v>
      </c>
      <c r="S592" s="2" t="s">
        <v>1041</v>
      </c>
      <c r="T592" s="2" t="s">
        <v>87</v>
      </c>
      <c r="U592" s="2"/>
    </row>
    <row r="593" spans="1:21" x14ac:dyDescent="0.25">
      <c r="A593" s="18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4"/>
      <c r="M593" s="6"/>
      <c r="O593" s="2"/>
      <c r="P593" s="2" t="s">
        <v>2193</v>
      </c>
      <c r="Q593" s="2" t="s">
        <v>2194</v>
      </c>
      <c r="R593" s="2" t="s">
        <v>0</v>
      </c>
      <c r="S593" s="2" t="s">
        <v>2195</v>
      </c>
      <c r="T593" s="2" t="s">
        <v>1798</v>
      </c>
      <c r="U593" s="2"/>
    </row>
    <row r="594" spans="1:21" x14ac:dyDescent="0.25">
      <c r="A594" s="18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4"/>
      <c r="M594" s="6"/>
      <c r="O594" s="2"/>
      <c r="P594" s="2" t="s">
        <v>2196</v>
      </c>
      <c r="Q594" s="2" t="s">
        <v>2197</v>
      </c>
      <c r="R594" s="2" t="s">
        <v>0</v>
      </c>
      <c r="S594" s="2" t="s">
        <v>2198</v>
      </c>
      <c r="T594" s="2" t="s">
        <v>1866</v>
      </c>
      <c r="U594" s="2"/>
    </row>
    <row r="595" spans="1:21" x14ac:dyDescent="0.25">
      <c r="A595" s="18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4"/>
      <c r="M595" s="6"/>
      <c r="O595" s="2"/>
      <c r="P595" s="2" t="s">
        <v>1867</v>
      </c>
      <c r="Q595" s="2" t="s">
        <v>1868</v>
      </c>
      <c r="R595" s="2" t="s">
        <v>0</v>
      </c>
      <c r="S595" s="2" t="s">
        <v>1869</v>
      </c>
      <c r="T595" s="2" t="s">
        <v>39</v>
      </c>
      <c r="U595" s="2"/>
    </row>
    <row r="596" spans="1:21" x14ac:dyDescent="0.25">
      <c r="A596" s="18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4"/>
      <c r="M596" s="6"/>
      <c r="O596" s="2"/>
      <c r="P596" s="2" t="s">
        <v>1870</v>
      </c>
      <c r="Q596" s="2" t="s">
        <v>1871</v>
      </c>
      <c r="R596" s="2" t="s">
        <v>0</v>
      </c>
      <c r="S596" s="2" t="s">
        <v>1872</v>
      </c>
      <c r="T596" s="2" t="s">
        <v>39</v>
      </c>
      <c r="U596" s="2"/>
    </row>
    <row r="597" spans="1:21" x14ac:dyDescent="0.25">
      <c r="A597" s="18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4"/>
      <c r="M597" s="6"/>
      <c r="O597" s="2"/>
      <c r="P597" s="2" t="s">
        <v>101</v>
      </c>
      <c r="Q597" s="2" t="s">
        <v>102</v>
      </c>
      <c r="R597" s="2" t="s">
        <v>0</v>
      </c>
      <c r="S597" s="2" t="s">
        <v>103</v>
      </c>
      <c r="T597" s="2" t="s">
        <v>39</v>
      </c>
      <c r="U597" s="2"/>
    </row>
    <row r="598" spans="1:21" x14ac:dyDescent="0.25">
      <c r="A598" s="18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4"/>
      <c r="M598" s="6"/>
      <c r="O598" s="2"/>
      <c r="P598" s="2" t="s">
        <v>2199</v>
      </c>
      <c r="Q598" s="2" t="s">
        <v>2200</v>
      </c>
      <c r="R598" s="2" t="s">
        <v>0</v>
      </c>
      <c r="S598" s="2" t="s">
        <v>2201</v>
      </c>
      <c r="T598" s="2" t="s">
        <v>1798</v>
      </c>
      <c r="U598" s="2"/>
    </row>
    <row r="599" spans="1:21" x14ac:dyDescent="0.25">
      <c r="A599" s="18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4"/>
      <c r="M599" s="6"/>
      <c r="O599" s="2"/>
      <c r="P599" s="2" t="s">
        <v>1873</v>
      </c>
      <c r="Q599" s="2" t="s">
        <v>1874</v>
      </c>
      <c r="R599" s="2" t="s">
        <v>0</v>
      </c>
      <c r="S599" s="2" t="s">
        <v>1875</v>
      </c>
      <c r="T599" s="2" t="s">
        <v>34</v>
      </c>
      <c r="U599" s="2"/>
    </row>
    <row r="600" spans="1:21" x14ac:dyDescent="0.25">
      <c r="A600" s="18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4"/>
      <c r="M600" s="6"/>
      <c r="O600" s="2"/>
      <c r="P600" s="2" t="s">
        <v>1876</v>
      </c>
      <c r="Q600" s="2" t="s">
        <v>1877</v>
      </c>
      <c r="R600" s="2" t="s">
        <v>0</v>
      </c>
      <c r="S600" s="2" t="s">
        <v>1875</v>
      </c>
      <c r="T600" s="2" t="s">
        <v>34</v>
      </c>
      <c r="U600" s="2"/>
    </row>
    <row r="601" spans="1:21" x14ac:dyDescent="0.25">
      <c r="A601" s="18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4"/>
      <c r="M601" s="6"/>
      <c r="O601" s="2"/>
      <c r="P601" s="2" t="s">
        <v>1042</v>
      </c>
      <c r="Q601" s="2" t="s">
        <v>1043</v>
      </c>
      <c r="R601" s="2" t="s">
        <v>0</v>
      </c>
      <c r="S601" s="2" t="s">
        <v>1044</v>
      </c>
      <c r="T601" s="2" t="s">
        <v>33</v>
      </c>
      <c r="U601" s="2"/>
    </row>
    <row r="602" spans="1:21" x14ac:dyDescent="0.25">
      <c r="A602" s="18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4"/>
      <c r="M602" s="6"/>
      <c r="O602" s="2"/>
      <c r="P602" s="2" t="s">
        <v>1878</v>
      </c>
      <c r="Q602" s="2" t="s">
        <v>1879</v>
      </c>
      <c r="R602" s="2" t="s">
        <v>0</v>
      </c>
      <c r="S602" s="2" t="s">
        <v>1880</v>
      </c>
      <c r="T602" s="2" t="s">
        <v>883</v>
      </c>
      <c r="U602" s="2"/>
    </row>
    <row r="603" spans="1:21" x14ac:dyDescent="0.25">
      <c r="A603" s="18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4"/>
      <c r="M603" s="6"/>
      <c r="O603" s="2"/>
      <c r="P603" s="2" t="s">
        <v>1881</v>
      </c>
      <c r="Q603" s="2" t="s">
        <v>1882</v>
      </c>
      <c r="R603" s="2" t="s">
        <v>0</v>
      </c>
      <c r="S603" s="2" t="s">
        <v>1883</v>
      </c>
      <c r="T603" s="2" t="s">
        <v>1884</v>
      </c>
      <c r="U603" s="2"/>
    </row>
    <row r="604" spans="1:21" x14ac:dyDescent="0.25">
      <c r="A604" s="18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4"/>
      <c r="M604" s="6"/>
      <c r="O604" s="2"/>
      <c r="P604" s="2" t="s">
        <v>1045</v>
      </c>
      <c r="Q604" s="2" t="s">
        <v>1046</v>
      </c>
      <c r="R604" s="2" t="s">
        <v>0</v>
      </c>
      <c r="S604" s="2" t="s">
        <v>1047</v>
      </c>
      <c r="T604" s="2" t="s">
        <v>1048</v>
      </c>
      <c r="U604" s="2"/>
    </row>
    <row r="605" spans="1:21" x14ac:dyDescent="0.25">
      <c r="A605" s="18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4"/>
      <c r="M605" s="6"/>
      <c r="O605" s="2"/>
      <c r="P605" s="2" t="s">
        <v>1049</v>
      </c>
      <c r="Q605" s="2" t="s">
        <v>1050</v>
      </c>
      <c r="R605" s="2" t="s">
        <v>0</v>
      </c>
      <c r="S605" s="2" t="s">
        <v>1051</v>
      </c>
      <c r="T605" s="2" t="s">
        <v>977</v>
      </c>
      <c r="U605" s="2"/>
    </row>
    <row r="606" spans="1:21" x14ac:dyDescent="0.25">
      <c r="A606" s="18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4"/>
      <c r="M606" s="6"/>
      <c r="O606" s="2"/>
      <c r="P606" s="2" t="s">
        <v>1885</v>
      </c>
      <c r="Q606" s="2" t="s">
        <v>1886</v>
      </c>
      <c r="R606" s="2" t="s">
        <v>0</v>
      </c>
      <c r="S606" s="2" t="s">
        <v>1887</v>
      </c>
      <c r="T606" s="2" t="s">
        <v>1888</v>
      </c>
      <c r="U606" s="2"/>
    </row>
    <row r="607" spans="1:21" x14ac:dyDescent="0.25">
      <c r="A607" s="18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4"/>
      <c r="M607" s="6"/>
      <c r="O607" s="2"/>
      <c r="P607" s="2" t="s">
        <v>1052</v>
      </c>
      <c r="Q607" s="2" t="s">
        <v>1053</v>
      </c>
      <c r="R607" s="2" t="s">
        <v>0</v>
      </c>
      <c r="S607" s="2" t="s">
        <v>1054</v>
      </c>
      <c r="T607" s="2" t="s">
        <v>1055</v>
      </c>
      <c r="U607" s="2"/>
    </row>
    <row r="608" spans="1:21" x14ac:dyDescent="0.25">
      <c r="A608" s="18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4"/>
      <c r="M608" s="6"/>
      <c r="O608" s="2"/>
      <c r="P608" s="2" t="s">
        <v>1056</v>
      </c>
      <c r="Q608" s="2" t="s">
        <v>1057</v>
      </c>
      <c r="R608" s="2" t="s">
        <v>0</v>
      </c>
      <c r="S608" s="2" t="s">
        <v>1058</v>
      </c>
      <c r="T608" s="2" t="s">
        <v>39</v>
      </c>
      <c r="U608" s="2"/>
    </row>
    <row r="609" spans="1:21" x14ac:dyDescent="0.25">
      <c r="A609" s="18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4"/>
      <c r="M609" s="6"/>
      <c r="O609" s="2"/>
      <c r="P609" s="2" t="s">
        <v>2202</v>
      </c>
      <c r="Q609" s="2" t="s">
        <v>2203</v>
      </c>
      <c r="R609" s="2" t="s">
        <v>0</v>
      </c>
      <c r="S609" s="2" t="s">
        <v>2204</v>
      </c>
      <c r="T609" s="2" t="s">
        <v>83</v>
      </c>
      <c r="U609" s="2"/>
    </row>
    <row r="610" spans="1:21" x14ac:dyDescent="0.25">
      <c r="A610" s="18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4"/>
      <c r="M610" s="6"/>
      <c r="O610" s="2"/>
      <c r="P610" s="2" t="s">
        <v>2205</v>
      </c>
      <c r="Q610" s="2" t="s">
        <v>2206</v>
      </c>
      <c r="R610" s="2" t="s">
        <v>0</v>
      </c>
      <c r="S610" s="2" t="s">
        <v>2204</v>
      </c>
      <c r="T610" s="2" t="s">
        <v>2207</v>
      </c>
      <c r="U610" s="2"/>
    </row>
    <row r="611" spans="1:21" x14ac:dyDescent="0.25">
      <c r="A611" s="18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4"/>
      <c r="M611" s="6"/>
      <c r="O611" s="2"/>
      <c r="P611" s="2" t="s">
        <v>1889</v>
      </c>
      <c r="Q611" s="2" t="s">
        <v>1890</v>
      </c>
      <c r="R611" s="2" t="s">
        <v>0</v>
      </c>
      <c r="S611" s="2" t="s">
        <v>1891</v>
      </c>
      <c r="T611" s="2" t="s">
        <v>0</v>
      </c>
      <c r="U611" s="2"/>
    </row>
    <row r="612" spans="1:21" x14ac:dyDescent="0.25">
      <c r="A612" s="18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4"/>
      <c r="M612" s="6"/>
      <c r="O612" s="2"/>
      <c r="P612" s="2" t="s">
        <v>1059</v>
      </c>
      <c r="Q612" s="2" t="s">
        <v>1060</v>
      </c>
      <c r="R612" s="2" t="s">
        <v>0</v>
      </c>
      <c r="S612" s="2" t="s">
        <v>1061</v>
      </c>
      <c r="T612" s="2" t="s">
        <v>33</v>
      </c>
      <c r="U612" s="2"/>
    </row>
    <row r="613" spans="1:21" x14ac:dyDescent="0.25">
      <c r="A613" s="18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4"/>
      <c r="M613" s="6"/>
      <c r="O613" s="2"/>
      <c r="P613" s="2" t="s">
        <v>1062</v>
      </c>
      <c r="Q613" s="2" t="s">
        <v>1063</v>
      </c>
      <c r="R613" s="2" t="s">
        <v>0</v>
      </c>
      <c r="S613" s="2" t="s">
        <v>1064</v>
      </c>
      <c r="T613" s="2" t="s">
        <v>883</v>
      </c>
      <c r="U613" s="2"/>
    </row>
    <row r="614" spans="1:21" x14ac:dyDescent="0.25">
      <c r="A614" s="18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4"/>
      <c r="M614" s="6"/>
      <c r="O614" s="2"/>
      <c r="P614" s="2" t="s">
        <v>1065</v>
      </c>
      <c r="Q614" s="2" t="s">
        <v>1066</v>
      </c>
      <c r="R614" s="2" t="s">
        <v>0</v>
      </c>
      <c r="S614" s="2" t="s">
        <v>1067</v>
      </c>
      <c r="T614" s="2" t="s">
        <v>871</v>
      </c>
      <c r="U614" s="2"/>
    </row>
    <row r="615" spans="1:21" x14ac:dyDescent="0.25">
      <c r="A615" s="18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4"/>
      <c r="M615" s="6"/>
      <c r="O615" s="2"/>
      <c r="P615" s="2" t="s">
        <v>1068</v>
      </c>
      <c r="Q615" s="2" t="s">
        <v>1069</v>
      </c>
      <c r="R615" s="2" t="s">
        <v>0</v>
      </c>
      <c r="S615" s="2" t="s">
        <v>1070</v>
      </c>
      <c r="T615" s="2" t="s">
        <v>39</v>
      </c>
      <c r="U615" s="2"/>
    </row>
    <row r="616" spans="1:21" x14ac:dyDescent="0.25">
      <c r="A616" s="18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4"/>
      <c r="M616" s="6"/>
      <c r="O616" s="2"/>
      <c r="P616" s="2" t="s">
        <v>1071</v>
      </c>
      <c r="Q616" s="2" t="s">
        <v>1072</v>
      </c>
      <c r="R616" s="2" t="s">
        <v>0</v>
      </c>
      <c r="S616" s="2" t="s">
        <v>1073</v>
      </c>
      <c r="T616" s="2" t="s">
        <v>883</v>
      </c>
      <c r="U616" s="2"/>
    </row>
    <row r="617" spans="1:21" x14ac:dyDescent="0.25">
      <c r="A617" s="18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4"/>
      <c r="M617" s="6"/>
      <c r="O617" s="2"/>
      <c r="P617" s="2" t="s">
        <v>1074</v>
      </c>
      <c r="Q617" s="2" t="s">
        <v>1075</v>
      </c>
      <c r="R617" s="2" t="s">
        <v>0</v>
      </c>
      <c r="S617" s="2" t="s">
        <v>1076</v>
      </c>
      <c r="T617" s="2" t="s">
        <v>977</v>
      </c>
      <c r="U617" s="2"/>
    </row>
    <row r="618" spans="1:21" x14ac:dyDescent="0.25">
      <c r="A618" s="18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4"/>
      <c r="M618" s="6"/>
      <c r="O618" s="2"/>
      <c r="P618" s="2" t="s">
        <v>1077</v>
      </c>
      <c r="Q618" s="2" t="s">
        <v>1078</v>
      </c>
      <c r="R618" s="2" t="s">
        <v>0</v>
      </c>
      <c r="S618" s="2" t="s">
        <v>1079</v>
      </c>
      <c r="T618" s="2" t="s">
        <v>39</v>
      </c>
      <c r="U618" s="2"/>
    </row>
    <row r="619" spans="1:21" x14ac:dyDescent="0.25">
      <c r="A619" s="18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4"/>
      <c r="M619" s="6"/>
      <c r="O619" s="2"/>
      <c r="P619" s="2" t="s">
        <v>1892</v>
      </c>
      <c r="Q619" s="2" t="s">
        <v>1893</v>
      </c>
      <c r="R619" s="2" t="s">
        <v>0</v>
      </c>
      <c r="S619" s="2" t="s">
        <v>1894</v>
      </c>
      <c r="T619" s="2" t="s">
        <v>875</v>
      </c>
      <c r="U619" s="2"/>
    </row>
    <row r="620" spans="1:21" x14ac:dyDescent="0.25">
      <c r="A620" s="18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4"/>
      <c r="M620" s="6"/>
      <c r="O620" s="2"/>
      <c r="P620" s="2" t="s">
        <v>2208</v>
      </c>
      <c r="Q620" s="2" t="s">
        <v>2209</v>
      </c>
      <c r="R620" s="2" t="s">
        <v>0</v>
      </c>
      <c r="S620" s="2" t="s">
        <v>2210</v>
      </c>
      <c r="T620" s="2" t="s">
        <v>83</v>
      </c>
      <c r="U620" s="2"/>
    </row>
    <row r="621" spans="1:21" x14ac:dyDescent="0.25">
      <c r="A621" s="18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4"/>
      <c r="M621" s="6"/>
      <c r="O621" s="2"/>
      <c r="P621" s="2" t="s">
        <v>2544</v>
      </c>
      <c r="Q621" s="2" t="s">
        <v>2545</v>
      </c>
      <c r="R621" s="2" t="s">
        <v>0</v>
      </c>
      <c r="S621" s="2" t="s">
        <v>2546</v>
      </c>
      <c r="T621" s="2" t="s">
        <v>2428</v>
      </c>
      <c r="U621" s="2"/>
    </row>
    <row r="622" spans="1:21" x14ac:dyDescent="0.25">
      <c r="A622" s="18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4"/>
      <c r="M622" s="6"/>
      <c r="O622" s="2"/>
      <c r="P622" s="2" t="s">
        <v>2276</v>
      </c>
      <c r="Q622" s="2" t="s">
        <v>2277</v>
      </c>
      <c r="R622" s="2" t="s">
        <v>0</v>
      </c>
      <c r="S622" s="2" t="s">
        <v>2278</v>
      </c>
      <c r="T622" s="2" t="s">
        <v>2279</v>
      </c>
      <c r="U622" s="2"/>
    </row>
    <row r="623" spans="1:21" x14ac:dyDescent="0.25">
      <c r="A623" s="18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4"/>
      <c r="M623" s="6"/>
      <c r="O623" s="2"/>
      <c r="P623" s="2" t="s">
        <v>1895</v>
      </c>
      <c r="Q623" s="2" t="s">
        <v>1896</v>
      </c>
      <c r="R623" s="2" t="s">
        <v>0</v>
      </c>
      <c r="S623" s="2" t="s">
        <v>1897</v>
      </c>
      <c r="T623" s="2" t="s">
        <v>999</v>
      </c>
      <c r="U623" s="2"/>
    </row>
    <row r="624" spans="1:21" x14ac:dyDescent="0.25">
      <c r="A624" s="18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4"/>
      <c r="M624" s="6"/>
      <c r="O624" s="2"/>
      <c r="P624" s="2" t="s">
        <v>1080</v>
      </c>
      <c r="Q624" s="2" t="s">
        <v>2211</v>
      </c>
      <c r="R624" s="2" t="s">
        <v>0</v>
      </c>
      <c r="S624" s="2" t="s">
        <v>1081</v>
      </c>
      <c r="T624" s="2" t="s">
        <v>887</v>
      </c>
      <c r="U624" s="2"/>
    </row>
    <row r="625" spans="1:21" x14ac:dyDescent="0.25">
      <c r="A625" s="18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4"/>
      <c r="M625" s="6"/>
      <c r="O625" s="2"/>
      <c r="P625" s="2" t="s">
        <v>2378</v>
      </c>
      <c r="Q625" s="2" t="s">
        <v>2379</v>
      </c>
      <c r="R625" s="2" t="s">
        <v>0</v>
      </c>
      <c r="S625" s="2" t="s">
        <v>2382</v>
      </c>
      <c r="T625" s="2" t="s">
        <v>883</v>
      </c>
      <c r="U625" s="2"/>
    </row>
    <row r="626" spans="1:21" x14ac:dyDescent="0.25">
      <c r="A626" s="18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4"/>
      <c r="M626" s="6"/>
      <c r="O626" s="2"/>
      <c r="P626" s="2" t="s">
        <v>1082</v>
      </c>
      <c r="Q626" s="2" t="s">
        <v>1083</v>
      </c>
      <c r="R626" s="2" t="s">
        <v>0</v>
      </c>
      <c r="S626" s="2" t="s">
        <v>1084</v>
      </c>
      <c r="T626" s="2" t="s">
        <v>0</v>
      </c>
      <c r="U626" s="2"/>
    </row>
    <row r="627" spans="1:21" x14ac:dyDescent="0.25">
      <c r="A627" s="18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4"/>
      <c r="M627" s="6"/>
      <c r="O627" s="2"/>
      <c r="P627" s="2" t="s">
        <v>1898</v>
      </c>
      <c r="Q627" s="2" t="s">
        <v>1899</v>
      </c>
      <c r="R627" s="2" t="s">
        <v>0</v>
      </c>
      <c r="S627" s="2" t="s">
        <v>1900</v>
      </c>
      <c r="T627" s="2" t="s">
        <v>33</v>
      </c>
      <c r="U627" s="2"/>
    </row>
    <row r="628" spans="1:21" x14ac:dyDescent="0.25">
      <c r="A628" s="18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4"/>
      <c r="M628" s="6"/>
      <c r="O628" s="2"/>
      <c r="P628" s="2" t="s">
        <v>1085</v>
      </c>
      <c r="Q628" s="2" t="s">
        <v>1086</v>
      </c>
      <c r="R628" s="2" t="s">
        <v>0</v>
      </c>
      <c r="S628" s="2" t="s">
        <v>1087</v>
      </c>
      <c r="T628" s="2" t="s">
        <v>83</v>
      </c>
      <c r="U628" s="2"/>
    </row>
    <row r="629" spans="1:21" x14ac:dyDescent="0.25">
      <c r="A629" s="18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4"/>
      <c r="M629" s="6"/>
      <c r="O629" s="2"/>
      <c r="P629" s="2" t="s">
        <v>1088</v>
      </c>
      <c r="Q629" s="2" t="s">
        <v>1089</v>
      </c>
      <c r="R629" s="2" t="s">
        <v>0</v>
      </c>
      <c r="S629" s="2" t="s">
        <v>1090</v>
      </c>
      <c r="T629" s="2" t="s">
        <v>875</v>
      </c>
      <c r="U629" s="2"/>
    </row>
    <row r="630" spans="1:21" x14ac:dyDescent="0.25">
      <c r="A630" s="18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4"/>
      <c r="M630" s="6"/>
      <c r="O630" s="2"/>
      <c r="P630" s="2" t="s">
        <v>1091</v>
      </c>
      <c r="Q630" s="2" t="s">
        <v>1092</v>
      </c>
      <c r="R630" s="2" t="s">
        <v>0</v>
      </c>
      <c r="S630" s="2" t="s">
        <v>1093</v>
      </c>
      <c r="T630" s="2" t="s">
        <v>1094</v>
      </c>
      <c r="U630" s="2"/>
    </row>
    <row r="631" spans="1:21" x14ac:dyDescent="0.25">
      <c r="A631" s="18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4"/>
      <c r="M631" s="6"/>
      <c r="O631" s="2"/>
      <c r="P631" s="2" t="s">
        <v>1095</v>
      </c>
      <c r="Q631" s="2" t="s">
        <v>1096</v>
      </c>
      <c r="R631" s="2" t="s">
        <v>0</v>
      </c>
      <c r="S631" s="2" t="s">
        <v>1097</v>
      </c>
      <c r="T631" s="2" t="s">
        <v>39</v>
      </c>
      <c r="U631" s="2"/>
    </row>
    <row r="632" spans="1:21" x14ac:dyDescent="0.25">
      <c r="A632" s="18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4"/>
      <c r="M632" s="6"/>
      <c r="O632" s="2"/>
      <c r="P632" s="2" t="s">
        <v>1098</v>
      </c>
      <c r="Q632" s="2" t="s">
        <v>1099</v>
      </c>
      <c r="R632" s="2" t="s">
        <v>0</v>
      </c>
      <c r="S632" s="2" t="s">
        <v>1100</v>
      </c>
      <c r="T632" s="2" t="s">
        <v>0</v>
      </c>
      <c r="U632" s="2"/>
    </row>
    <row r="633" spans="1:21" x14ac:dyDescent="0.25">
      <c r="A633" s="18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4"/>
      <c r="M633" s="6"/>
      <c r="O633" s="2"/>
      <c r="P633" s="2" t="s">
        <v>1101</v>
      </c>
      <c r="Q633" s="2" t="s">
        <v>1102</v>
      </c>
      <c r="R633" s="2" t="s">
        <v>0</v>
      </c>
      <c r="S633" s="2" t="s">
        <v>1103</v>
      </c>
      <c r="T633" s="2" t="s">
        <v>38</v>
      </c>
      <c r="U633" s="2"/>
    </row>
    <row r="634" spans="1:21" x14ac:dyDescent="0.25">
      <c r="A634" s="18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4"/>
      <c r="M634" s="6"/>
      <c r="O634" s="2"/>
      <c r="P634" s="2" t="s">
        <v>1104</v>
      </c>
      <c r="Q634" s="2" t="s">
        <v>1105</v>
      </c>
      <c r="R634" s="2" t="s">
        <v>0</v>
      </c>
      <c r="S634" s="2" t="s">
        <v>134</v>
      </c>
      <c r="T634" s="2" t="s">
        <v>1106</v>
      </c>
      <c r="U634" s="2"/>
    </row>
    <row r="635" spans="1:21" x14ac:dyDescent="0.25">
      <c r="A635" s="18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4"/>
      <c r="M635" s="6"/>
      <c r="O635" s="2"/>
      <c r="P635" s="2" t="s">
        <v>132</v>
      </c>
      <c r="Q635" s="2" t="s">
        <v>133</v>
      </c>
      <c r="R635" s="2" t="s">
        <v>0</v>
      </c>
      <c r="S635" s="2" t="s">
        <v>134</v>
      </c>
      <c r="T635" s="2" t="s">
        <v>39</v>
      </c>
      <c r="U635" s="2"/>
    </row>
    <row r="636" spans="1:21" x14ac:dyDescent="0.25">
      <c r="A636" s="18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4"/>
      <c r="M636" s="6"/>
      <c r="O636" s="2"/>
      <c r="P636" s="2" t="s">
        <v>1901</v>
      </c>
      <c r="Q636" s="2" t="s">
        <v>1902</v>
      </c>
      <c r="R636" s="2" t="s">
        <v>0</v>
      </c>
      <c r="S636" s="2" t="s">
        <v>1903</v>
      </c>
      <c r="T636" s="2" t="s">
        <v>83</v>
      </c>
      <c r="U636" s="2"/>
    </row>
    <row r="637" spans="1:21" x14ac:dyDescent="0.25">
      <c r="A637" s="18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4"/>
      <c r="M637" s="6"/>
      <c r="O637" s="2"/>
      <c r="P637" s="2" t="s">
        <v>1107</v>
      </c>
      <c r="Q637" s="2" t="s">
        <v>1108</v>
      </c>
      <c r="R637" s="2" t="s">
        <v>0</v>
      </c>
      <c r="S637" s="2" t="s">
        <v>2212</v>
      </c>
      <c r="T637" s="2" t="s">
        <v>35</v>
      </c>
      <c r="U637" s="2"/>
    </row>
    <row r="638" spans="1:21" x14ac:dyDescent="0.25">
      <c r="A638" s="18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4"/>
      <c r="M638" s="6"/>
      <c r="O638" s="2"/>
      <c r="P638" s="2" t="s">
        <v>1904</v>
      </c>
      <c r="Q638" s="2" t="s">
        <v>1905</v>
      </c>
      <c r="R638" s="2" t="s">
        <v>0</v>
      </c>
      <c r="S638" s="2" t="s">
        <v>1906</v>
      </c>
      <c r="T638" s="2" t="s">
        <v>39</v>
      </c>
      <c r="U638" s="2"/>
    </row>
    <row r="639" spans="1:21" x14ac:dyDescent="0.25">
      <c r="A639" s="18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4"/>
      <c r="M639" s="6"/>
      <c r="O639" s="2"/>
      <c r="P639" s="2" t="s">
        <v>1109</v>
      </c>
      <c r="Q639" s="2" t="s">
        <v>1110</v>
      </c>
      <c r="R639" s="2" t="s">
        <v>0</v>
      </c>
      <c r="S639" s="2" t="s">
        <v>1111</v>
      </c>
      <c r="T639" s="2" t="s">
        <v>883</v>
      </c>
      <c r="U639" s="2"/>
    </row>
    <row r="640" spans="1:21" x14ac:dyDescent="0.25">
      <c r="A640" s="18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4"/>
      <c r="M640" s="6"/>
      <c r="O640" s="2"/>
      <c r="P640" s="2" t="s">
        <v>1907</v>
      </c>
      <c r="Q640" s="2" t="s">
        <v>1908</v>
      </c>
      <c r="R640" s="2" t="s">
        <v>0</v>
      </c>
      <c r="S640" s="2" t="s">
        <v>1909</v>
      </c>
      <c r="T640" s="2" t="s">
        <v>39</v>
      </c>
      <c r="U640" s="2"/>
    </row>
    <row r="641" spans="1:21" x14ac:dyDescent="0.25">
      <c r="A641" s="18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4"/>
      <c r="M641" s="6"/>
      <c r="O641" s="2"/>
      <c r="P641" s="2" t="s">
        <v>1112</v>
      </c>
      <c r="Q641" s="2" t="s">
        <v>1113</v>
      </c>
      <c r="R641" s="2" t="s">
        <v>0</v>
      </c>
      <c r="S641" s="2" t="s">
        <v>1114</v>
      </c>
      <c r="T641" s="2" t="s">
        <v>39</v>
      </c>
      <c r="U641" s="2"/>
    </row>
    <row r="642" spans="1:21" x14ac:dyDescent="0.25">
      <c r="A642" s="18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4"/>
      <c r="M642" s="6"/>
      <c r="O642" s="2"/>
      <c r="P642" s="2" t="s">
        <v>1115</v>
      </c>
      <c r="Q642" s="2" t="s">
        <v>1116</v>
      </c>
      <c r="R642" s="2" t="s">
        <v>0</v>
      </c>
      <c r="S642" s="2" t="s">
        <v>1117</v>
      </c>
      <c r="T642" s="2" t="s">
        <v>887</v>
      </c>
      <c r="U642" s="2"/>
    </row>
    <row r="643" spans="1:21" x14ac:dyDescent="0.25">
      <c r="A643" s="18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4"/>
      <c r="M643" s="6"/>
      <c r="O643" s="2"/>
      <c r="P643" s="2" t="s">
        <v>126</v>
      </c>
      <c r="Q643" s="2" t="s">
        <v>127</v>
      </c>
      <c r="R643" s="2" t="s">
        <v>0</v>
      </c>
      <c r="S643" s="2" t="s">
        <v>128</v>
      </c>
      <c r="T643" s="2" t="s">
        <v>33</v>
      </c>
      <c r="U643" s="2"/>
    </row>
    <row r="644" spans="1:21" x14ac:dyDescent="0.25">
      <c r="A644" s="18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4"/>
      <c r="M644" s="6"/>
      <c r="O644" s="2"/>
      <c r="P644" s="2" t="s">
        <v>2213</v>
      </c>
      <c r="Q644" s="2" t="s">
        <v>2214</v>
      </c>
      <c r="R644" s="2" t="s">
        <v>0</v>
      </c>
      <c r="S644" s="2" t="s">
        <v>2215</v>
      </c>
      <c r="T644" s="2" t="s">
        <v>39</v>
      </c>
      <c r="U644" s="2"/>
    </row>
    <row r="645" spans="1:21" x14ac:dyDescent="0.25">
      <c r="A645" s="18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4"/>
      <c r="M645" s="6"/>
      <c r="O645" s="2"/>
      <c r="P645" s="2" t="s">
        <v>2216</v>
      </c>
      <c r="Q645" s="2" t="s">
        <v>2217</v>
      </c>
      <c r="R645" s="2" t="s">
        <v>0</v>
      </c>
      <c r="S645" s="2" t="s">
        <v>2218</v>
      </c>
      <c r="T645" s="2" t="s">
        <v>39</v>
      </c>
      <c r="U645" s="2"/>
    </row>
    <row r="646" spans="1:21" x14ac:dyDescent="0.25">
      <c r="A646" s="18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4"/>
      <c r="M646" s="6"/>
      <c r="O646" s="2"/>
      <c r="P646" s="2" t="s">
        <v>129</v>
      </c>
      <c r="Q646" s="2" t="s">
        <v>130</v>
      </c>
      <c r="R646" s="2" t="s">
        <v>0</v>
      </c>
      <c r="S646" s="2" t="s">
        <v>131</v>
      </c>
      <c r="T646" s="2" t="s">
        <v>33</v>
      </c>
      <c r="U646" s="2"/>
    </row>
    <row r="647" spans="1:21" x14ac:dyDescent="0.25">
      <c r="A647" s="18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4"/>
      <c r="M647" s="6"/>
      <c r="O647" s="2"/>
      <c r="P647" s="2" t="s">
        <v>1910</v>
      </c>
      <c r="Q647" s="2" t="s">
        <v>1911</v>
      </c>
      <c r="R647" s="2" t="s">
        <v>0</v>
      </c>
      <c r="S647" s="2" t="s">
        <v>1912</v>
      </c>
      <c r="T647" s="2" t="s">
        <v>39</v>
      </c>
      <c r="U647" s="2"/>
    </row>
    <row r="648" spans="1:21" x14ac:dyDescent="0.25">
      <c r="A648" s="18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4"/>
      <c r="M648" s="6"/>
      <c r="O648" s="2"/>
      <c r="P648" s="2" t="s">
        <v>1118</v>
      </c>
      <c r="Q648" s="2" t="s">
        <v>1119</v>
      </c>
      <c r="R648" s="2" t="s">
        <v>0</v>
      </c>
      <c r="S648" s="2" t="s">
        <v>1120</v>
      </c>
      <c r="T648" s="2" t="s">
        <v>33</v>
      </c>
      <c r="U648" s="2"/>
    </row>
    <row r="649" spans="1:21" x14ac:dyDescent="0.25">
      <c r="A649" s="18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4"/>
      <c r="M649" s="6"/>
      <c r="O649" s="2"/>
      <c r="P649" s="2" t="s">
        <v>2219</v>
      </c>
      <c r="Q649" s="2" t="s">
        <v>2220</v>
      </c>
      <c r="R649" s="2" t="s">
        <v>0</v>
      </c>
      <c r="S649" s="2" t="s">
        <v>2221</v>
      </c>
      <c r="T649" s="2" t="s">
        <v>83</v>
      </c>
      <c r="U649" s="2"/>
    </row>
    <row r="650" spans="1:21" x14ac:dyDescent="0.25">
      <c r="A650" s="18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4"/>
      <c r="M650" s="6"/>
      <c r="O650" s="2"/>
      <c r="P650" s="2" t="s">
        <v>1121</v>
      </c>
      <c r="Q650" s="2" t="s">
        <v>1122</v>
      </c>
      <c r="R650" s="2" t="s">
        <v>0</v>
      </c>
      <c r="S650" s="2" t="s">
        <v>1123</v>
      </c>
      <c r="T650" s="2" t="s">
        <v>33</v>
      </c>
      <c r="U650" s="2"/>
    </row>
    <row r="651" spans="1:21" x14ac:dyDescent="0.25">
      <c r="A651" s="18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4"/>
      <c r="M651" s="6"/>
      <c r="O651" s="2"/>
      <c r="P651" s="2" t="s">
        <v>1124</v>
      </c>
      <c r="Q651" s="2" t="s">
        <v>1125</v>
      </c>
      <c r="R651" s="2" t="s">
        <v>0</v>
      </c>
      <c r="S651" s="2" t="s">
        <v>1126</v>
      </c>
      <c r="T651" s="2" t="s">
        <v>34</v>
      </c>
      <c r="U651" s="2"/>
    </row>
    <row r="652" spans="1:21" x14ac:dyDescent="0.25">
      <c r="A652" s="18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4"/>
      <c r="M652" s="6"/>
      <c r="O652" s="2"/>
      <c r="P652" s="2" t="s">
        <v>104</v>
      </c>
      <c r="Q652" s="2" t="s">
        <v>105</v>
      </c>
      <c r="R652" s="2" t="s">
        <v>0</v>
      </c>
      <c r="S652" s="2" t="s">
        <v>106</v>
      </c>
      <c r="T652" s="2" t="s">
        <v>107</v>
      </c>
      <c r="U652" s="2"/>
    </row>
    <row r="653" spans="1:21" x14ac:dyDescent="0.25">
      <c r="A653" s="18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4"/>
      <c r="M653" s="6"/>
      <c r="O653" s="2"/>
      <c r="P653" s="2" t="s">
        <v>2341</v>
      </c>
      <c r="Q653" s="2" t="s">
        <v>2342</v>
      </c>
      <c r="R653" s="2" t="s">
        <v>0</v>
      </c>
      <c r="S653" s="2" t="s">
        <v>2347</v>
      </c>
      <c r="T653" s="2" t="s">
        <v>1285</v>
      </c>
      <c r="U653" s="2"/>
    </row>
    <row r="654" spans="1:21" x14ac:dyDescent="0.25">
      <c r="A654" s="18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4"/>
      <c r="M654" s="6"/>
      <c r="O654" s="2"/>
      <c r="P654" s="2" t="s">
        <v>1127</v>
      </c>
      <c r="Q654" s="2" t="s">
        <v>1128</v>
      </c>
      <c r="R654" s="2" t="s">
        <v>0</v>
      </c>
      <c r="S654" s="2" t="s">
        <v>1129</v>
      </c>
      <c r="T654" s="2" t="s">
        <v>83</v>
      </c>
      <c r="U654" s="2"/>
    </row>
    <row r="655" spans="1:21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4"/>
      <c r="M655" s="6"/>
      <c r="O655" s="2"/>
      <c r="P655" s="2" t="s">
        <v>135</v>
      </c>
      <c r="Q655" s="2" t="s">
        <v>136</v>
      </c>
      <c r="R655" s="2" t="s">
        <v>0</v>
      </c>
      <c r="S655" s="2" t="s">
        <v>137</v>
      </c>
      <c r="T655" s="2" t="s">
        <v>33</v>
      </c>
      <c r="U655" s="2"/>
    </row>
    <row r="656" spans="1:21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4"/>
      <c r="M656" s="6"/>
      <c r="O656" s="2"/>
      <c r="P656" s="2" t="s">
        <v>1913</v>
      </c>
      <c r="Q656" s="2" t="s">
        <v>1914</v>
      </c>
      <c r="R656" s="2" t="s">
        <v>0</v>
      </c>
      <c r="S656" s="2" t="s">
        <v>1915</v>
      </c>
      <c r="T656" s="2" t="s">
        <v>39</v>
      </c>
      <c r="U656" s="2"/>
    </row>
    <row r="657" spans="1:21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4"/>
      <c r="M657" s="6"/>
      <c r="O657" s="2"/>
      <c r="P657" s="2" t="s">
        <v>2390</v>
      </c>
      <c r="Q657" s="2" t="s">
        <v>2391</v>
      </c>
      <c r="R657" s="2" t="s">
        <v>0</v>
      </c>
      <c r="S657" s="2" t="s">
        <v>2394</v>
      </c>
      <c r="T657" s="2" t="s">
        <v>2395</v>
      </c>
      <c r="U657" s="2"/>
    </row>
    <row r="658" spans="1:21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4"/>
      <c r="M658" s="6"/>
      <c r="O658" s="2"/>
      <c r="P658" s="2" t="s">
        <v>1130</v>
      </c>
      <c r="Q658" s="2" t="s">
        <v>1131</v>
      </c>
      <c r="R658" s="2" t="s">
        <v>0</v>
      </c>
      <c r="S658" s="2" t="s">
        <v>1132</v>
      </c>
      <c r="T658" s="2" t="s">
        <v>83</v>
      </c>
      <c r="U658" s="2"/>
    </row>
    <row r="659" spans="1:21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4"/>
      <c r="M659" s="6"/>
      <c r="O659" s="2"/>
      <c r="P659" s="2" t="s">
        <v>2420</v>
      </c>
      <c r="Q659" s="2" t="s">
        <v>2421</v>
      </c>
      <c r="R659" s="2" t="s">
        <v>0</v>
      </c>
      <c r="S659" s="2" t="s">
        <v>2432</v>
      </c>
      <c r="T659" s="2" t="s">
        <v>2429</v>
      </c>
      <c r="U659" s="2"/>
    </row>
    <row r="660" spans="1:21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4"/>
      <c r="M660" s="6"/>
      <c r="O660" s="2"/>
      <c r="P660" s="2" t="s">
        <v>1133</v>
      </c>
      <c r="Q660" s="2" t="s">
        <v>1134</v>
      </c>
      <c r="R660" s="2" t="s">
        <v>0</v>
      </c>
      <c r="S660" s="2" t="s">
        <v>1135</v>
      </c>
      <c r="T660" s="2" t="s">
        <v>38</v>
      </c>
      <c r="U660" s="2"/>
    </row>
    <row r="661" spans="1:21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4"/>
      <c r="M661" s="6"/>
      <c r="O661" s="2"/>
      <c r="P661" s="2">
        <v>791</v>
      </c>
      <c r="Q661" s="2" t="s">
        <v>2422</v>
      </c>
      <c r="R661" s="2" t="s">
        <v>0</v>
      </c>
      <c r="S661" s="2" t="s">
        <v>2433</v>
      </c>
      <c r="T661" s="2" t="s">
        <v>2428</v>
      </c>
      <c r="U661" s="2"/>
    </row>
    <row r="662" spans="1:21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4"/>
      <c r="M662" s="6"/>
      <c r="O662" s="2"/>
      <c r="P662" s="2" t="s">
        <v>1136</v>
      </c>
      <c r="Q662" s="2" t="s">
        <v>1137</v>
      </c>
      <c r="R662" s="2" t="s">
        <v>0</v>
      </c>
      <c r="S662" s="2" t="s">
        <v>1138</v>
      </c>
      <c r="T662" s="2" t="s">
        <v>33</v>
      </c>
      <c r="U662" s="2"/>
    </row>
    <row r="663" spans="1:21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4"/>
      <c r="M663" s="6"/>
      <c r="O663" s="2"/>
      <c r="P663" s="2" t="s">
        <v>1139</v>
      </c>
      <c r="Q663" s="2" t="s">
        <v>1140</v>
      </c>
      <c r="R663" s="2" t="s">
        <v>0</v>
      </c>
      <c r="S663" s="2" t="s">
        <v>1141</v>
      </c>
      <c r="T663" s="2" t="s">
        <v>1142</v>
      </c>
      <c r="U663" s="2"/>
    </row>
    <row r="664" spans="1:21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4"/>
      <c r="M664" s="6"/>
      <c r="O664" s="2"/>
      <c r="P664" s="2" t="s">
        <v>1916</v>
      </c>
      <c r="Q664" s="2" t="s">
        <v>1917</v>
      </c>
      <c r="R664" s="2" t="s">
        <v>0</v>
      </c>
      <c r="S664" s="2" t="s">
        <v>1918</v>
      </c>
      <c r="T664" s="2" t="s">
        <v>33</v>
      </c>
      <c r="U664" s="2"/>
    </row>
    <row r="665" spans="1:21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4"/>
      <c r="M665" s="6"/>
      <c r="O665" s="2"/>
      <c r="P665" s="2" t="s">
        <v>1143</v>
      </c>
      <c r="Q665" s="2" t="s">
        <v>1144</v>
      </c>
      <c r="R665" s="2" t="s">
        <v>0</v>
      </c>
      <c r="S665" s="2" t="s">
        <v>1145</v>
      </c>
      <c r="T665" s="2" t="s">
        <v>894</v>
      </c>
      <c r="U665" s="2"/>
    </row>
    <row r="666" spans="1:21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4"/>
      <c r="M666" s="6"/>
      <c r="O666" s="2"/>
      <c r="P666" s="2" t="s">
        <v>2222</v>
      </c>
      <c r="Q666" s="2" t="s">
        <v>2223</v>
      </c>
      <c r="R666" s="2" t="s">
        <v>0</v>
      </c>
      <c r="S666" s="2" t="s">
        <v>2224</v>
      </c>
      <c r="T666" s="2" t="s">
        <v>0</v>
      </c>
      <c r="U666" s="2"/>
    </row>
    <row r="667" spans="1:21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4"/>
      <c r="M667" s="6"/>
      <c r="O667" s="2"/>
      <c r="P667" s="2" t="s">
        <v>2294</v>
      </c>
      <c r="Q667" s="2" t="s">
        <v>2295</v>
      </c>
      <c r="R667" s="2" t="s">
        <v>0</v>
      </c>
      <c r="S667" s="2" t="s">
        <v>2296</v>
      </c>
      <c r="T667" s="2" t="s">
        <v>2297</v>
      </c>
      <c r="U667" s="2"/>
    </row>
    <row r="668" spans="1:21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4"/>
      <c r="M668" s="6"/>
      <c r="O668" s="2"/>
      <c r="P668" s="2" t="s">
        <v>1146</v>
      </c>
      <c r="Q668" s="2" t="s">
        <v>1147</v>
      </c>
      <c r="R668" s="2" t="s">
        <v>0</v>
      </c>
      <c r="S668" s="2" t="s">
        <v>1148</v>
      </c>
      <c r="T668" s="2" t="s">
        <v>83</v>
      </c>
      <c r="U668" s="2"/>
    </row>
    <row r="669" spans="1:21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4"/>
      <c r="M669" s="6"/>
      <c r="O669" s="2"/>
      <c r="P669" s="2" t="s">
        <v>1149</v>
      </c>
      <c r="Q669" s="2" t="s">
        <v>1150</v>
      </c>
      <c r="R669" s="2" t="s">
        <v>0</v>
      </c>
      <c r="S669" s="2" t="s">
        <v>1151</v>
      </c>
      <c r="T669" s="2" t="s">
        <v>951</v>
      </c>
      <c r="U669" s="2"/>
    </row>
    <row r="670" spans="1:21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4"/>
      <c r="M670" s="6"/>
      <c r="O670" s="2"/>
      <c r="P670" s="2" t="s">
        <v>114</v>
      </c>
      <c r="Q670" s="2" t="s">
        <v>115</v>
      </c>
      <c r="R670" s="2" t="s">
        <v>0</v>
      </c>
      <c r="S670" s="2" t="s">
        <v>116</v>
      </c>
      <c r="T670" s="2" t="s">
        <v>83</v>
      </c>
      <c r="U670" s="2"/>
    </row>
    <row r="671" spans="1:21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4"/>
      <c r="M671" s="6"/>
      <c r="O671" s="2"/>
      <c r="P671" s="2" t="s">
        <v>1919</v>
      </c>
      <c r="Q671" s="2" t="s">
        <v>1920</v>
      </c>
      <c r="R671" s="2" t="s">
        <v>0</v>
      </c>
      <c r="S671" s="2" t="s">
        <v>1921</v>
      </c>
      <c r="T671" s="2" t="s">
        <v>1922</v>
      </c>
      <c r="U671" s="2"/>
    </row>
    <row r="672" spans="1:21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4"/>
      <c r="M672" s="6"/>
      <c r="O672" s="2"/>
      <c r="P672" s="2" t="s">
        <v>1152</v>
      </c>
      <c r="Q672" s="2" t="s">
        <v>1153</v>
      </c>
      <c r="R672" s="2" t="s">
        <v>0</v>
      </c>
      <c r="S672" s="2" t="s">
        <v>1154</v>
      </c>
      <c r="T672" s="2" t="s">
        <v>83</v>
      </c>
      <c r="U672" s="2"/>
    </row>
    <row r="673" spans="1:21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4"/>
      <c r="M673" s="6"/>
      <c r="O673" s="2"/>
      <c r="P673" s="2" t="s">
        <v>1155</v>
      </c>
      <c r="Q673" s="2" t="s">
        <v>1156</v>
      </c>
      <c r="R673" s="2" t="s">
        <v>0</v>
      </c>
      <c r="S673" s="2" t="s">
        <v>1157</v>
      </c>
      <c r="T673" s="2" t="s">
        <v>83</v>
      </c>
      <c r="U673" s="2"/>
    </row>
    <row r="674" spans="1:21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4"/>
      <c r="M674" s="6"/>
      <c r="O674" s="2"/>
      <c r="P674" s="2" t="s">
        <v>1351</v>
      </c>
      <c r="Q674" s="2" t="s">
        <v>1352</v>
      </c>
      <c r="R674" s="2" t="s">
        <v>0</v>
      </c>
      <c r="S674" s="2" t="s">
        <v>1353</v>
      </c>
      <c r="T674" s="2" t="s">
        <v>33</v>
      </c>
      <c r="U674" s="2"/>
    </row>
    <row r="675" spans="1:21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4"/>
      <c r="M675" s="6"/>
      <c r="O675" s="2"/>
      <c r="P675" s="2" t="s">
        <v>1923</v>
      </c>
      <c r="Q675" s="2" t="s">
        <v>1924</v>
      </c>
      <c r="R675" s="2" t="s">
        <v>0</v>
      </c>
      <c r="S675" s="2" t="s">
        <v>1925</v>
      </c>
      <c r="T675" s="2" t="s">
        <v>33</v>
      </c>
      <c r="U675" s="2"/>
    </row>
    <row r="676" spans="1:21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4"/>
      <c r="M676" s="6"/>
      <c r="O676" s="2"/>
      <c r="P676" s="2" t="s">
        <v>1158</v>
      </c>
      <c r="Q676" s="2" t="s">
        <v>1159</v>
      </c>
      <c r="R676" s="2" t="s">
        <v>0</v>
      </c>
      <c r="S676" s="2" t="s">
        <v>1160</v>
      </c>
      <c r="T676" s="2" t="s">
        <v>1000</v>
      </c>
      <c r="U676" s="2"/>
    </row>
    <row r="677" spans="1:21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4"/>
      <c r="M677" s="6"/>
      <c r="O677" s="2"/>
      <c r="P677" s="2" t="s">
        <v>1161</v>
      </c>
      <c r="Q677" s="2" t="s">
        <v>1162</v>
      </c>
      <c r="R677" s="2" t="s">
        <v>0</v>
      </c>
      <c r="S677" s="2" t="s">
        <v>1163</v>
      </c>
      <c r="T677" s="2" t="s">
        <v>83</v>
      </c>
      <c r="U677" s="2"/>
    </row>
    <row r="678" spans="1:21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4"/>
      <c r="M678" s="6"/>
      <c r="O678" s="2"/>
      <c r="P678" s="2" t="s">
        <v>1164</v>
      </c>
      <c r="Q678" s="2" t="s">
        <v>1165</v>
      </c>
      <c r="R678" s="2" t="s">
        <v>0</v>
      </c>
      <c r="S678" s="2" t="s">
        <v>1166</v>
      </c>
      <c r="T678" s="2" t="s">
        <v>34</v>
      </c>
      <c r="U678" s="2"/>
    </row>
    <row r="679" spans="1:21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4"/>
      <c r="M679" s="6"/>
      <c r="O679" s="2"/>
      <c r="P679" s="2" t="s">
        <v>1167</v>
      </c>
      <c r="Q679" s="2" t="s">
        <v>1168</v>
      </c>
      <c r="R679" s="2" t="s">
        <v>0</v>
      </c>
      <c r="S679" s="2" t="s">
        <v>1166</v>
      </c>
      <c r="T679" s="2" t="s">
        <v>860</v>
      </c>
      <c r="U679" s="2"/>
    </row>
    <row r="680" spans="1:21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4"/>
      <c r="M680" s="6"/>
      <c r="O680" s="2"/>
      <c r="P680" s="2" t="s">
        <v>1169</v>
      </c>
      <c r="Q680" s="2" t="s">
        <v>1170</v>
      </c>
      <c r="R680" s="2" t="s">
        <v>0</v>
      </c>
      <c r="S680" s="2" t="s">
        <v>1171</v>
      </c>
      <c r="T680" s="2" t="s">
        <v>995</v>
      </c>
      <c r="U680" s="2"/>
    </row>
    <row r="681" spans="1:21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4"/>
      <c r="M681" s="6"/>
      <c r="O681" s="2"/>
      <c r="P681" s="2" t="s">
        <v>1172</v>
      </c>
      <c r="Q681" s="2" t="s">
        <v>1173</v>
      </c>
      <c r="R681" s="2" t="s">
        <v>0</v>
      </c>
      <c r="S681" s="2" t="s">
        <v>1174</v>
      </c>
      <c r="T681" s="2" t="s">
        <v>995</v>
      </c>
      <c r="U681" s="2"/>
    </row>
    <row r="682" spans="1:21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4"/>
      <c r="M682" s="6"/>
      <c r="O682" s="2"/>
      <c r="P682" s="2" t="s">
        <v>1175</v>
      </c>
      <c r="Q682" s="2" t="s">
        <v>1176</v>
      </c>
      <c r="R682" s="2" t="s">
        <v>0</v>
      </c>
      <c r="S682" s="2" t="s">
        <v>1177</v>
      </c>
      <c r="T682" s="2" t="s">
        <v>83</v>
      </c>
      <c r="U682" s="2"/>
    </row>
    <row r="683" spans="1:21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4"/>
      <c r="M683" s="6"/>
      <c r="O683" s="2"/>
      <c r="P683" s="2" t="s">
        <v>1178</v>
      </c>
      <c r="Q683" s="2" t="s">
        <v>1179</v>
      </c>
      <c r="R683" s="2" t="s">
        <v>0</v>
      </c>
      <c r="S683" s="2" t="s">
        <v>1180</v>
      </c>
      <c r="T683" s="2" t="s">
        <v>860</v>
      </c>
      <c r="U683" s="2"/>
    </row>
    <row r="684" spans="1:21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4"/>
      <c r="M684" s="6"/>
      <c r="O684" s="2"/>
      <c r="P684" s="2" t="s">
        <v>1926</v>
      </c>
      <c r="Q684" s="2" t="s">
        <v>1927</v>
      </c>
      <c r="R684" s="2" t="s">
        <v>0</v>
      </c>
      <c r="S684" s="2" t="s">
        <v>1928</v>
      </c>
      <c r="T684" s="2" t="s">
        <v>39</v>
      </c>
      <c r="U684" s="2"/>
    </row>
    <row r="685" spans="1:21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4"/>
      <c r="M685" s="6"/>
      <c r="O685" s="2"/>
      <c r="P685" s="2" t="s">
        <v>1181</v>
      </c>
      <c r="Q685" s="2" t="s">
        <v>1182</v>
      </c>
      <c r="R685" s="2" t="s">
        <v>0</v>
      </c>
      <c r="S685" s="2" t="s">
        <v>1183</v>
      </c>
      <c r="T685" s="2" t="s">
        <v>83</v>
      </c>
      <c r="U685" s="2"/>
    </row>
    <row r="686" spans="1:21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4"/>
      <c r="M686" s="6"/>
      <c r="O686" s="2"/>
      <c r="P686" s="2" t="s">
        <v>1184</v>
      </c>
      <c r="Q686" s="2" t="s">
        <v>1185</v>
      </c>
      <c r="R686" s="2" t="s">
        <v>0</v>
      </c>
      <c r="S686" s="2" t="s">
        <v>1186</v>
      </c>
      <c r="T686" s="2" t="s">
        <v>83</v>
      </c>
      <c r="U686" s="2"/>
    </row>
    <row r="687" spans="1:21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4"/>
      <c r="M687" s="6"/>
      <c r="O687" s="2"/>
      <c r="P687" s="2" t="s">
        <v>1187</v>
      </c>
      <c r="Q687" s="2" t="s">
        <v>1188</v>
      </c>
      <c r="R687" s="2" t="s">
        <v>0</v>
      </c>
      <c r="S687" s="2" t="s">
        <v>1189</v>
      </c>
      <c r="T687" s="2" t="s">
        <v>887</v>
      </c>
      <c r="U687" s="2"/>
    </row>
    <row r="688" spans="1:21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4"/>
      <c r="M688" s="6"/>
      <c r="O688" s="2"/>
      <c r="P688" s="2" t="s">
        <v>1190</v>
      </c>
      <c r="Q688" s="2" t="s">
        <v>1191</v>
      </c>
      <c r="R688" s="2" t="s">
        <v>0</v>
      </c>
      <c r="S688" s="2" t="s">
        <v>1192</v>
      </c>
      <c r="T688" s="2" t="s">
        <v>883</v>
      </c>
      <c r="U688" s="2"/>
    </row>
    <row r="689" spans="1:21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4"/>
      <c r="M689" s="6"/>
      <c r="O689" s="2"/>
      <c r="P689" s="2" t="s">
        <v>2225</v>
      </c>
      <c r="Q689" s="2" t="s">
        <v>2226</v>
      </c>
      <c r="R689" s="2" t="s">
        <v>0</v>
      </c>
      <c r="S689" s="2" t="s">
        <v>2227</v>
      </c>
      <c r="T689" s="2" t="s">
        <v>83</v>
      </c>
      <c r="U689" s="2"/>
    </row>
    <row r="690" spans="1:21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4"/>
      <c r="M690" s="6"/>
      <c r="O690" s="2"/>
      <c r="P690" s="2" t="s">
        <v>1929</v>
      </c>
      <c r="Q690" s="2" t="s">
        <v>1930</v>
      </c>
      <c r="R690" s="2" t="s">
        <v>0</v>
      </c>
      <c r="S690" s="2" t="s">
        <v>1931</v>
      </c>
      <c r="T690" s="2" t="s">
        <v>83</v>
      </c>
      <c r="U690" s="2"/>
    </row>
    <row r="691" spans="1:21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4"/>
      <c r="M691" s="6"/>
      <c r="O691" s="2"/>
      <c r="P691" s="2" t="s">
        <v>1193</v>
      </c>
      <c r="Q691" s="2" t="s">
        <v>1194</v>
      </c>
      <c r="R691" s="2" t="s">
        <v>0</v>
      </c>
      <c r="S691" s="2" t="s">
        <v>1195</v>
      </c>
      <c r="T691" s="2" t="s">
        <v>38</v>
      </c>
      <c r="U691" s="2"/>
    </row>
    <row r="692" spans="1:21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4"/>
      <c r="M692" s="6"/>
      <c r="O692" s="2"/>
      <c r="P692" s="2" t="s">
        <v>1196</v>
      </c>
      <c r="Q692" s="2" t="s">
        <v>1197</v>
      </c>
      <c r="R692" s="2" t="s">
        <v>0</v>
      </c>
      <c r="S692" s="2" t="s">
        <v>1198</v>
      </c>
      <c r="T692" s="2" t="s">
        <v>83</v>
      </c>
      <c r="U692" s="2"/>
    </row>
    <row r="693" spans="1:21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4"/>
      <c r="M693" s="6"/>
      <c r="O693" s="2"/>
      <c r="P693" s="2" t="s">
        <v>2228</v>
      </c>
      <c r="Q693" s="2" t="s">
        <v>2229</v>
      </c>
      <c r="R693" s="2" t="s">
        <v>0</v>
      </c>
      <c r="S693" s="2" t="s">
        <v>2230</v>
      </c>
      <c r="T693" s="2" t="s">
        <v>33</v>
      </c>
      <c r="U693" s="2"/>
    </row>
    <row r="694" spans="1:21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4"/>
      <c r="M694" s="6"/>
      <c r="O694" s="2"/>
      <c r="P694" s="2" t="s">
        <v>865</v>
      </c>
      <c r="Q694" s="2" t="s">
        <v>866</v>
      </c>
      <c r="R694" s="2" t="s">
        <v>0</v>
      </c>
      <c r="S694" s="2" t="s">
        <v>2396</v>
      </c>
      <c r="T694" s="2" t="s">
        <v>867</v>
      </c>
      <c r="U694" s="2"/>
    </row>
    <row r="695" spans="1:21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4"/>
      <c r="M695" s="6"/>
      <c r="O695" s="2"/>
      <c r="P695" s="2" t="s">
        <v>1932</v>
      </c>
      <c r="Q695" s="2" t="s">
        <v>1933</v>
      </c>
      <c r="R695" s="2" t="s">
        <v>0</v>
      </c>
      <c r="S695" s="2" t="s">
        <v>1934</v>
      </c>
      <c r="T695" s="2" t="s">
        <v>1935</v>
      </c>
      <c r="U695" s="2"/>
    </row>
    <row r="696" spans="1:21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4"/>
      <c r="M696" s="6"/>
      <c r="O696" s="2"/>
      <c r="P696" s="2" t="s">
        <v>1354</v>
      </c>
      <c r="Q696" s="2" t="s">
        <v>1355</v>
      </c>
      <c r="R696" s="2" t="s">
        <v>0</v>
      </c>
      <c r="S696" s="2" t="s">
        <v>1356</v>
      </c>
      <c r="T696" s="2" t="s">
        <v>33</v>
      </c>
      <c r="U696" s="2"/>
    </row>
    <row r="697" spans="1:21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4"/>
      <c r="M697" s="6"/>
      <c r="O697" s="2"/>
      <c r="P697" s="2" t="s">
        <v>1936</v>
      </c>
      <c r="Q697" s="2" t="s">
        <v>1937</v>
      </c>
      <c r="R697" s="2" t="s">
        <v>0</v>
      </c>
      <c r="S697" s="2" t="s">
        <v>1938</v>
      </c>
      <c r="T697" s="2" t="s">
        <v>1866</v>
      </c>
      <c r="U697" s="2"/>
    </row>
    <row r="698" spans="1:21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4"/>
      <c r="M698" s="6"/>
      <c r="O698" s="2"/>
      <c r="P698" s="2" t="s">
        <v>1939</v>
      </c>
      <c r="Q698" s="2" t="s">
        <v>1940</v>
      </c>
      <c r="R698" s="2" t="s">
        <v>0</v>
      </c>
      <c r="S698" s="2" t="s">
        <v>1941</v>
      </c>
      <c r="T698" s="2" t="s">
        <v>34</v>
      </c>
      <c r="U698" s="2"/>
    </row>
    <row r="699" spans="1:21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4"/>
      <c r="O699" s="2"/>
      <c r="P699" s="2" t="s">
        <v>1942</v>
      </c>
      <c r="Q699" s="2" t="s">
        <v>1943</v>
      </c>
      <c r="R699" s="2" t="s">
        <v>0</v>
      </c>
      <c r="S699" s="2" t="s">
        <v>1944</v>
      </c>
      <c r="T699" s="2" t="s">
        <v>83</v>
      </c>
      <c r="U699" s="2"/>
    </row>
    <row r="700" spans="1:21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4"/>
      <c r="O700" s="2"/>
      <c r="P700" s="2" t="s">
        <v>1945</v>
      </c>
      <c r="Q700" s="2" t="s">
        <v>1946</v>
      </c>
      <c r="R700" s="2" t="s">
        <v>0</v>
      </c>
      <c r="S700" s="2" t="s">
        <v>1947</v>
      </c>
      <c r="T700" s="2" t="s">
        <v>0</v>
      </c>
      <c r="U700" s="2"/>
    </row>
    <row r="701" spans="1:21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4"/>
      <c r="O701" s="2"/>
      <c r="P701" s="2" t="s">
        <v>1199</v>
      </c>
      <c r="Q701" s="2" t="s">
        <v>1200</v>
      </c>
      <c r="R701" s="2" t="s">
        <v>0</v>
      </c>
      <c r="S701" s="2" t="s">
        <v>712</v>
      </c>
      <c r="T701" s="2" t="s">
        <v>39</v>
      </c>
      <c r="U701" s="2"/>
    </row>
    <row r="702" spans="1:21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4"/>
      <c r="O702" s="2"/>
      <c r="P702" s="2" t="s">
        <v>1948</v>
      </c>
      <c r="Q702" s="2" t="s">
        <v>2287</v>
      </c>
      <c r="R702" s="2" t="s">
        <v>0</v>
      </c>
      <c r="S702" s="2" t="s">
        <v>1949</v>
      </c>
      <c r="T702" s="2" t="s">
        <v>1950</v>
      </c>
      <c r="U702" s="2"/>
    </row>
    <row r="703" spans="1:21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4"/>
      <c r="O703" s="2"/>
      <c r="P703" s="2" t="s">
        <v>2231</v>
      </c>
      <c r="Q703" s="2" t="s">
        <v>2232</v>
      </c>
      <c r="R703" s="2" t="s">
        <v>0</v>
      </c>
      <c r="S703" s="2" t="s">
        <v>2233</v>
      </c>
      <c r="T703" s="2" t="s">
        <v>39</v>
      </c>
      <c r="U703" s="2"/>
    </row>
    <row r="704" spans="1:21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4"/>
      <c r="O704" s="2"/>
      <c r="P704" s="2" t="s">
        <v>1201</v>
      </c>
      <c r="Q704" s="2" t="s">
        <v>1202</v>
      </c>
      <c r="R704" s="2" t="s">
        <v>0</v>
      </c>
      <c r="S704" s="2" t="s">
        <v>1203</v>
      </c>
      <c r="T704" s="2" t="s">
        <v>83</v>
      </c>
      <c r="U704" s="2"/>
    </row>
    <row r="705" spans="1:21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4"/>
      <c r="O705" s="2"/>
      <c r="P705" s="2" t="s">
        <v>37</v>
      </c>
      <c r="Q705" s="2" t="s">
        <v>1204</v>
      </c>
      <c r="R705" s="2" t="s">
        <v>0</v>
      </c>
      <c r="S705" s="2" t="s">
        <v>36</v>
      </c>
      <c r="T705" s="2" t="s">
        <v>33</v>
      </c>
      <c r="U705" s="2"/>
    </row>
    <row r="706" spans="1:21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4"/>
      <c r="O706" s="2"/>
      <c r="P706" s="2" t="s">
        <v>2234</v>
      </c>
      <c r="Q706" s="2" t="s">
        <v>2235</v>
      </c>
      <c r="R706" s="2" t="s">
        <v>0</v>
      </c>
      <c r="S706" s="2" t="s">
        <v>2236</v>
      </c>
      <c r="T706" s="2" t="s">
        <v>83</v>
      </c>
      <c r="U706" s="2"/>
    </row>
    <row r="707" spans="1:21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4"/>
      <c r="O707" s="2"/>
      <c r="P707" s="2" t="s">
        <v>1205</v>
      </c>
      <c r="Q707" s="2" t="s">
        <v>1206</v>
      </c>
      <c r="R707" s="2" t="s">
        <v>0</v>
      </c>
      <c r="S707" s="2" t="s">
        <v>1207</v>
      </c>
      <c r="T707" s="2" t="s">
        <v>83</v>
      </c>
      <c r="U707" s="2"/>
    </row>
    <row r="708" spans="1:21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4"/>
      <c r="O708" s="2"/>
      <c r="P708" s="2" t="s">
        <v>2237</v>
      </c>
      <c r="Q708" s="2" t="s">
        <v>2238</v>
      </c>
      <c r="R708" s="2" t="s">
        <v>0</v>
      </c>
      <c r="S708" s="2" t="s">
        <v>2239</v>
      </c>
      <c r="T708" s="2" t="s">
        <v>39</v>
      </c>
      <c r="U708" s="2"/>
    </row>
    <row r="709" spans="1:21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4"/>
      <c r="O709" s="2"/>
      <c r="P709" s="2" t="s">
        <v>2240</v>
      </c>
      <c r="Q709" s="2" t="s">
        <v>2241</v>
      </c>
      <c r="R709" s="2" t="s">
        <v>0</v>
      </c>
      <c r="S709" s="2" t="s">
        <v>2242</v>
      </c>
      <c r="T709" s="2" t="s">
        <v>35</v>
      </c>
      <c r="U709" s="2"/>
    </row>
    <row r="710" spans="1:21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4"/>
      <c r="O710" s="2"/>
      <c r="P710" s="2" t="s">
        <v>2243</v>
      </c>
      <c r="Q710" s="2" t="s">
        <v>2244</v>
      </c>
      <c r="R710" s="2" t="s">
        <v>0</v>
      </c>
      <c r="S710" s="2" t="s">
        <v>2245</v>
      </c>
      <c r="T710" s="2" t="s">
        <v>33</v>
      </c>
      <c r="U710" s="2"/>
    </row>
    <row r="711" spans="1:21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4"/>
      <c r="O711" s="2"/>
      <c r="P711" s="2" t="s">
        <v>1951</v>
      </c>
      <c r="Q711" s="2" t="s">
        <v>1952</v>
      </c>
      <c r="R711" s="2" t="s">
        <v>0</v>
      </c>
      <c r="S711" s="2" t="s">
        <v>1953</v>
      </c>
      <c r="T711" s="2" t="s">
        <v>33</v>
      </c>
      <c r="U711" s="2"/>
    </row>
    <row r="712" spans="1:21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4"/>
      <c r="O712" s="2"/>
      <c r="P712" s="2" t="s">
        <v>2246</v>
      </c>
      <c r="Q712" s="2" t="s">
        <v>2247</v>
      </c>
      <c r="R712" s="2" t="s">
        <v>0</v>
      </c>
      <c r="S712" s="2" t="s">
        <v>2248</v>
      </c>
      <c r="T712" s="2" t="s">
        <v>883</v>
      </c>
      <c r="U712" s="2"/>
    </row>
    <row r="713" spans="1:21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4"/>
      <c r="O713" s="2"/>
      <c r="P713" s="2" t="s">
        <v>1357</v>
      </c>
      <c r="Q713" s="2" t="s">
        <v>1358</v>
      </c>
      <c r="R713" s="2" t="s">
        <v>0</v>
      </c>
      <c r="S713" s="2" t="s">
        <v>1359</v>
      </c>
      <c r="T713" s="2" t="s">
        <v>35</v>
      </c>
      <c r="U713" s="2"/>
    </row>
    <row r="714" spans="1:21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4"/>
      <c r="O714" s="2"/>
      <c r="P714" s="2" t="s">
        <v>2249</v>
      </c>
      <c r="Q714" s="2" t="s">
        <v>2250</v>
      </c>
      <c r="R714" s="2" t="s">
        <v>0</v>
      </c>
      <c r="S714" s="2" t="s">
        <v>2251</v>
      </c>
      <c r="T714" s="2" t="s">
        <v>38</v>
      </c>
      <c r="U714" s="2"/>
    </row>
    <row r="715" spans="1:21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4"/>
      <c r="O715" s="2"/>
      <c r="P715" s="2" t="s">
        <v>2252</v>
      </c>
      <c r="Q715" s="2" t="s">
        <v>2253</v>
      </c>
      <c r="R715" s="2" t="s">
        <v>0</v>
      </c>
      <c r="S715" s="2" t="s">
        <v>2254</v>
      </c>
      <c r="T715" s="2" t="s">
        <v>33</v>
      </c>
      <c r="U715" s="2"/>
    </row>
    <row r="716" spans="1:21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4"/>
      <c r="O716" s="2"/>
      <c r="P716" s="2" t="s">
        <v>1208</v>
      </c>
      <c r="Q716" s="2" t="s">
        <v>1209</v>
      </c>
      <c r="R716" s="2" t="s">
        <v>0</v>
      </c>
      <c r="S716" s="2" t="s">
        <v>1210</v>
      </c>
      <c r="T716" s="2" t="s">
        <v>83</v>
      </c>
      <c r="U716" s="2"/>
    </row>
    <row r="717" spans="1:21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4"/>
      <c r="O717" s="2"/>
      <c r="P717" s="2" t="s">
        <v>1211</v>
      </c>
      <c r="Q717" s="2" t="s">
        <v>1212</v>
      </c>
      <c r="R717" s="2" t="s">
        <v>0</v>
      </c>
      <c r="S717" s="2" t="s">
        <v>1213</v>
      </c>
      <c r="T717" s="2" t="s">
        <v>1010</v>
      </c>
      <c r="U717" s="2"/>
    </row>
    <row r="718" spans="1:21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4"/>
      <c r="O718" s="2"/>
      <c r="P718" s="2" t="s">
        <v>1214</v>
      </c>
      <c r="Q718" s="2" t="s">
        <v>1215</v>
      </c>
      <c r="R718" s="2" t="s">
        <v>0</v>
      </c>
      <c r="S718" s="2" t="s">
        <v>1216</v>
      </c>
      <c r="T718" s="2" t="s">
        <v>33</v>
      </c>
      <c r="U718" s="2"/>
    </row>
    <row r="719" spans="1:21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4"/>
      <c r="O719" s="2"/>
      <c r="P719" s="2" t="s">
        <v>1217</v>
      </c>
      <c r="Q719" s="2" t="s">
        <v>1218</v>
      </c>
      <c r="R719" s="2" t="s">
        <v>0</v>
      </c>
      <c r="S719" s="2" t="s">
        <v>1219</v>
      </c>
      <c r="T719" s="2" t="s">
        <v>83</v>
      </c>
      <c r="U719" s="2"/>
    </row>
    <row r="720" spans="1:21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4"/>
      <c r="O720" s="2"/>
      <c r="P720" s="2" t="s">
        <v>1220</v>
      </c>
      <c r="Q720" s="2" t="s">
        <v>1221</v>
      </c>
      <c r="R720" s="2" t="s">
        <v>0</v>
      </c>
      <c r="S720" s="2" t="s">
        <v>1222</v>
      </c>
      <c r="T720" s="2" t="s">
        <v>83</v>
      </c>
      <c r="U720" s="2"/>
    </row>
    <row r="721" spans="1:21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4"/>
      <c r="O721" s="2"/>
      <c r="P721" s="2" t="s">
        <v>1223</v>
      </c>
      <c r="Q721" s="2" t="s">
        <v>1224</v>
      </c>
      <c r="R721" s="2" t="s">
        <v>0</v>
      </c>
      <c r="S721" s="2" t="s">
        <v>1225</v>
      </c>
      <c r="T721" s="2" t="s">
        <v>83</v>
      </c>
      <c r="U721" s="2"/>
    </row>
    <row r="722" spans="1:21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4"/>
      <c r="O722" s="2"/>
      <c r="P722" s="2" t="s">
        <v>1226</v>
      </c>
      <c r="Q722" s="2" t="s">
        <v>1227</v>
      </c>
      <c r="R722" s="2" t="s">
        <v>0</v>
      </c>
      <c r="S722" s="2" t="s">
        <v>1228</v>
      </c>
      <c r="T722" s="2" t="s">
        <v>83</v>
      </c>
      <c r="U722" s="2"/>
    </row>
    <row r="723" spans="1:21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4"/>
      <c r="O723" s="2"/>
      <c r="P723" s="2" t="s">
        <v>2255</v>
      </c>
      <c r="Q723" s="2" t="s">
        <v>2256</v>
      </c>
      <c r="R723" s="2" t="s">
        <v>0</v>
      </c>
      <c r="S723" s="2" t="s">
        <v>2257</v>
      </c>
      <c r="T723" s="2" t="s">
        <v>1858</v>
      </c>
      <c r="U723" s="2"/>
    </row>
    <row r="724" spans="1:21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4"/>
      <c r="O724" s="2"/>
      <c r="P724" s="2" t="s">
        <v>2423</v>
      </c>
      <c r="Q724" s="2" t="s">
        <v>2424</v>
      </c>
      <c r="R724" s="2" t="s">
        <v>0</v>
      </c>
      <c r="S724" s="2" t="s">
        <v>2257</v>
      </c>
      <c r="T724" s="2" t="s">
        <v>2434</v>
      </c>
      <c r="U724" s="2"/>
    </row>
    <row r="725" spans="1:21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4"/>
      <c r="O725" s="2"/>
      <c r="P725" s="2" t="s">
        <v>1229</v>
      </c>
      <c r="Q725" s="2" t="s">
        <v>1230</v>
      </c>
      <c r="R725" s="2" t="s">
        <v>0</v>
      </c>
      <c r="S725" s="2" t="s">
        <v>1231</v>
      </c>
      <c r="T725" s="2" t="s">
        <v>39</v>
      </c>
      <c r="U725" s="2"/>
    </row>
    <row r="726" spans="1:21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4"/>
      <c r="O726" s="2"/>
      <c r="P726" s="2" t="s">
        <v>1954</v>
      </c>
      <c r="Q726" s="2" t="s">
        <v>1955</v>
      </c>
      <c r="R726" s="2" t="s">
        <v>0</v>
      </c>
      <c r="S726" s="2" t="s">
        <v>1956</v>
      </c>
      <c r="T726" s="2" t="s">
        <v>1798</v>
      </c>
      <c r="U726" s="2"/>
    </row>
    <row r="727" spans="1:21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4"/>
      <c r="O727" s="2"/>
      <c r="P727" s="2" t="s">
        <v>1957</v>
      </c>
      <c r="Q727" s="2" t="s">
        <v>1958</v>
      </c>
      <c r="R727" s="2" t="s">
        <v>0</v>
      </c>
      <c r="S727" s="2" t="s">
        <v>1959</v>
      </c>
      <c r="T727" s="2" t="s">
        <v>83</v>
      </c>
      <c r="U727" s="2"/>
    </row>
    <row r="728" spans="1:21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4"/>
      <c r="O728" s="2"/>
      <c r="P728" s="2" t="s">
        <v>1960</v>
      </c>
      <c r="Q728" s="2" t="s">
        <v>1961</v>
      </c>
      <c r="R728" s="2" t="s">
        <v>0</v>
      </c>
      <c r="S728" s="2" t="s">
        <v>1962</v>
      </c>
      <c r="T728" s="2" t="s">
        <v>883</v>
      </c>
      <c r="U728" s="2"/>
    </row>
    <row r="729" spans="1:21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4"/>
      <c r="O729" s="2"/>
      <c r="P729" s="2" t="s">
        <v>1232</v>
      </c>
      <c r="Q729" s="2" t="s">
        <v>1233</v>
      </c>
      <c r="R729" s="2" t="s">
        <v>0</v>
      </c>
      <c r="S729" s="2" t="s">
        <v>1234</v>
      </c>
      <c r="T729" s="2" t="s">
        <v>39</v>
      </c>
      <c r="U729" s="2"/>
    </row>
    <row r="730" spans="1:21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4"/>
      <c r="O730" s="2"/>
      <c r="P730" s="2" t="s">
        <v>1235</v>
      </c>
      <c r="Q730" s="2" t="s">
        <v>1236</v>
      </c>
      <c r="R730" s="2" t="s">
        <v>0</v>
      </c>
      <c r="S730" s="2" t="s">
        <v>1237</v>
      </c>
      <c r="T730" s="2" t="s">
        <v>39</v>
      </c>
      <c r="U730" s="2"/>
    </row>
    <row r="731" spans="1:21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4"/>
      <c r="O731" s="2"/>
      <c r="P731" s="2" t="s">
        <v>1238</v>
      </c>
      <c r="Q731" s="2" t="s">
        <v>1239</v>
      </c>
      <c r="R731" s="2" t="s">
        <v>0</v>
      </c>
      <c r="S731" s="2" t="s">
        <v>1240</v>
      </c>
      <c r="T731" s="2" t="s">
        <v>83</v>
      </c>
      <c r="U731" s="2"/>
    </row>
    <row r="732" spans="1:2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4"/>
      <c r="O732" s="2"/>
      <c r="P732" s="2" t="s">
        <v>2392</v>
      </c>
      <c r="Q732" s="2" t="s">
        <v>2393</v>
      </c>
      <c r="R732" s="2" t="s">
        <v>0</v>
      </c>
      <c r="S732" s="2" t="s">
        <v>2384</v>
      </c>
      <c r="T732" s="2" t="s">
        <v>2397</v>
      </c>
      <c r="U732" s="2"/>
    </row>
    <row r="733" spans="1:21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4"/>
      <c r="O733" s="2"/>
      <c r="P733" s="2" t="s">
        <v>1963</v>
      </c>
      <c r="Q733" s="2" t="s">
        <v>1964</v>
      </c>
      <c r="R733" s="2" t="s">
        <v>0</v>
      </c>
      <c r="S733" s="2" t="s">
        <v>1965</v>
      </c>
      <c r="T733" s="2" t="s">
        <v>1055</v>
      </c>
      <c r="U733" s="2"/>
    </row>
    <row r="734" spans="1:21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4"/>
      <c r="O734" s="2"/>
      <c r="P734" s="2" t="s">
        <v>1966</v>
      </c>
      <c r="Q734" s="2" t="s">
        <v>1967</v>
      </c>
      <c r="R734" s="2" t="s">
        <v>0</v>
      </c>
      <c r="S734" s="2" t="s">
        <v>1968</v>
      </c>
      <c r="T734" s="2" t="s">
        <v>883</v>
      </c>
      <c r="U734" s="2"/>
    </row>
    <row r="735" spans="1:21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4"/>
      <c r="O735" s="2"/>
      <c r="P735" s="2" t="s">
        <v>1241</v>
      </c>
      <c r="Q735" s="2" t="s">
        <v>1242</v>
      </c>
      <c r="R735" s="2" t="s">
        <v>0</v>
      </c>
      <c r="S735" s="2" t="s">
        <v>1243</v>
      </c>
      <c r="T735" s="2" t="s">
        <v>33</v>
      </c>
      <c r="U735" s="2"/>
    </row>
    <row r="736" spans="1:21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4"/>
      <c r="O736" s="2"/>
      <c r="P736" s="2" t="s">
        <v>1244</v>
      </c>
      <c r="Q736" s="2" t="s">
        <v>1245</v>
      </c>
      <c r="R736" s="2" t="s">
        <v>0</v>
      </c>
      <c r="S736" s="2" t="s">
        <v>1246</v>
      </c>
      <c r="T736" s="2" t="s">
        <v>33</v>
      </c>
      <c r="U736" s="2"/>
    </row>
    <row r="737" spans="1:21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4"/>
      <c r="O737" s="2"/>
      <c r="P737" s="2" t="s">
        <v>1247</v>
      </c>
      <c r="Q737" s="2" t="s">
        <v>1248</v>
      </c>
      <c r="R737" s="2" t="s">
        <v>0</v>
      </c>
      <c r="S737" s="2" t="s">
        <v>1249</v>
      </c>
      <c r="T737" s="2" t="s">
        <v>34</v>
      </c>
      <c r="U737" s="2"/>
    </row>
    <row r="738" spans="1:21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4"/>
      <c r="O738" s="2"/>
      <c r="P738" s="2" t="s">
        <v>1250</v>
      </c>
      <c r="Q738" s="2" t="s">
        <v>1251</v>
      </c>
      <c r="R738" s="2" t="s">
        <v>0</v>
      </c>
      <c r="S738" s="2" t="s">
        <v>1252</v>
      </c>
      <c r="T738" s="2" t="s">
        <v>83</v>
      </c>
      <c r="U738" s="2"/>
    </row>
    <row r="739" spans="1:21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4"/>
      <c r="O739" s="2"/>
      <c r="P739" s="2" t="s">
        <v>1253</v>
      </c>
      <c r="Q739" s="2" t="s">
        <v>2258</v>
      </c>
      <c r="R739" s="2" t="s">
        <v>0</v>
      </c>
      <c r="S739" s="2" t="s">
        <v>1252</v>
      </c>
      <c r="T739" s="2" t="s">
        <v>951</v>
      </c>
      <c r="U739" s="2"/>
    </row>
    <row r="740" spans="1:21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4"/>
      <c r="O740" s="2"/>
      <c r="P740" s="2" t="s">
        <v>1969</v>
      </c>
      <c r="Q740" s="2" t="s">
        <v>1970</v>
      </c>
      <c r="R740" s="2" t="s">
        <v>0</v>
      </c>
      <c r="S740" s="2" t="s">
        <v>1971</v>
      </c>
      <c r="T740" s="2" t="s">
        <v>1972</v>
      </c>
      <c r="U740" s="2"/>
    </row>
    <row r="741" spans="1:21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4"/>
      <c r="O741" s="2"/>
      <c r="P741" s="2" t="s">
        <v>1254</v>
      </c>
      <c r="Q741" s="2" t="s">
        <v>1255</v>
      </c>
      <c r="R741" s="2" t="s">
        <v>0</v>
      </c>
      <c r="S741" s="2" t="s">
        <v>1256</v>
      </c>
      <c r="T741" s="2" t="s">
        <v>995</v>
      </c>
      <c r="U741" s="2"/>
    </row>
    <row r="742" spans="1:21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4"/>
      <c r="O742" s="2"/>
      <c r="P742" s="2" t="s">
        <v>1257</v>
      </c>
      <c r="Q742" s="2" t="s">
        <v>1258</v>
      </c>
      <c r="R742" s="2" t="s">
        <v>0</v>
      </c>
      <c r="S742" s="2" t="s">
        <v>1259</v>
      </c>
      <c r="T742" s="2" t="s">
        <v>83</v>
      </c>
      <c r="U742" s="2"/>
    </row>
    <row r="743" spans="1:21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4"/>
      <c r="O743" s="2"/>
      <c r="P743" s="2" t="s">
        <v>1260</v>
      </c>
      <c r="Q743" s="2" t="s">
        <v>1261</v>
      </c>
      <c r="R743" s="2" t="s">
        <v>0</v>
      </c>
      <c r="S743" s="2" t="s">
        <v>1262</v>
      </c>
      <c r="T743" s="2" t="s">
        <v>83</v>
      </c>
      <c r="U743" s="2"/>
    </row>
    <row r="744" spans="1:21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4"/>
      <c r="O744" s="2"/>
      <c r="P744" s="2" t="s">
        <v>2547</v>
      </c>
      <c r="Q744" s="2" t="s">
        <v>2548</v>
      </c>
      <c r="R744" s="2" t="s">
        <v>0</v>
      </c>
      <c r="S744" s="2" t="s">
        <v>2549</v>
      </c>
      <c r="T744" s="2" t="s">
        <v>2550</v>
      </c>
      <c r="U744" s="2"/>
    </row>
    <row r="745" spans="1:21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4"/>
      <c r="O745" s="2"/>
      <c r="P745" s="2" t="s">
        <v>2259</v>
      </c>
      <c r="Q745" s="2" t="s">
        <v>2260</v>
      </c>
      <c r="R745" s="2" t="s">
        <v>0</v>
      </c>
      <c r="S745" s="2" t="s">
        <v>2261</v>
      </c>
      <c r="T745" s="2" t="s">
        <v>34</v>
      </c>
      <c r="U745" s="2"/>
    </row>
    <row r="746" spans="1:21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4"/>
      <c r="O746" s="2"/>
      <c r="P746" s="2" t="s">
        <v>1263</v>
      </c>
      <c r="Q746" s="2" t="s">
        <v>1264</v>
      </c>
      <c r="R746" s="2" t="s">
        <v>0</v>
      </c>
      <c r="S746" s="2" t="s">
        <v>1265</v>
      </c>
      <c r="T746" s="2" t="s">
        <v>894</v>
      </c>
      <c r="U746" s="2"/>
    </row>
    <row r="747" spans="1:21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4"/>
      <c r="O747" s="2"/>
      <c r="P747" s="2" t="s">
        <v>1266</v>
      </c>
      <c r="Q747" s="2" t="s">
        <v>1267</v>
      </c>
      <c r="R747" s="2" t="s">
        <v>0</v>
      </c>
      <c r="S747" s="2" t="s">
        <v>1268</v>
      </c>
      <c r="T747" s="2" t="s">
        <v>83</v>
      </c>
      <c r="U747" s="2"/>
    </row>
    <row r="748" spans="1:21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4"/>
      <c r="O748" s="2"/>
      <c r="P748" s="2" t="s">
        <v>84</v>
      </c>
      <c r="Q748" s="2" t="s">
        <v>85</v>
      </c>
      <c r="R748" s="2" t="s">
        <v>0</v>
      </c>
      <c r="S748" s="2" t="s">
        <v>86</v>
      </c>
      <c r="T748" s="2" t="s">
        <v>87</v>
      </c>
      <c r="U748" s="2"/>
    </row>
    <row r="749" spans="1:21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4"/>
      <c r="O749" s="2"/>
      <c r="P749" s="2" t="s">
        <v>1269</v>
      </c>
      <c r="Q749" s="2" t="s">
        <v>1270</v>
      </c>
      <c r="R749" s="2" t="s">
        <v>0</v>
      </c>
      <c r="S749" s="2" t="s">
        <v>1271</v>
      </c>
      <c r="T749" s="2" t="s">
        <v>867</v>
      </c>
      <c r="U749" s="2"/>
    </row>
    <row r="750" spans="1:21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4"/>
      <c r="O750" s="2"/>
      <c r="P750" s="2" t="s">
        <v>1973</v>
      </c>
      <c r="Q750" s="2" t="s">
        <v>1974</v>
      </c>
      <c r="R750" s="2" t="s">
        <v>0</v>
      </c>
      <c r="S750" s="2" t="s">
        <v>1975</v>
      </c>
      <c r="T750" s="2" t="s">
        <v>38</v>
      </c>
      <c r="U750" s="2"/>
    </row>
    <row r="751" spans="1:21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4"/>
      <c r="O751" s="2"/>
      <c r="P751" s="2" t="s">
        <v>1272</v>
      </c>
      <c r="Q751" s="2" t="s">
        <v>1273</v>
      </c>
      <c r="R751" s="2" t="s">
        <v>0</v>
      </c>
      <c r="S751" s="2" t="s">
        <v>1274</v>
      </c>
      <c r="T751" s="2" t="s">
        <v>894</v>
      </c>
      <c r="U751" s="2"/>
    </row>
    <row r="752" spans="1:21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4"/>
      <c r="O752" s="2"/>
      <c r="P752" s="2" t="s">
        <v>1275</v>
      </c>
      <c r="Q752" s="2" t="s">
        <v>1276</v>
      </c>
      <c r="R752" s="2" t="s">
        <v>0</v>
      </c>
      <c r="S752" s="2" t="s">
        <v>1277</v>
      </c>
      <c r="T752" s="2" t="s">
        <v>83</v>
      </c>
      <c r="U752" s="2"/>
    </row>
    <row r="753" spans="1:21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4"/>
      <c r="O753" s="2"/>
      <c r="P753" s="2" t="s">
        <v>1278</v>
      </c>
      <c r="Q753" s="2" t="s">
        <v>1279</v>
      </c>
      <c r="R753" s="2" t="s">
        <v>0</v>
      </c>
      <c r="S753" s="2" t="s">
        <v>1280</v>
      </c>
      <c r="T753" s="2" t="s">
        <v>0</v>
      </c>
      <c r="U753" s="2"/>
    </row>
    <row r="754" spans="1:21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4"/>
      <c r="O754" s="2"/>
      <c r="P754" s="2" t="s">
        <v>1281</v>
      </c>
      <c r="Q754" s="2" t="s">
        <v>1282</v>
      </c>
      <c r="R754" s="2" t="s">
        <v>0</v>
      </c>
      <c r="S754" s="2" t="s">
        <v>2288</v>
      </c>
      <c r="T754" s="2" t="s">
        <v>33</v>
      </c>
      <c r="U754" s="2"/>
    </row>
    <row r="755" spans="1:2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4"/>
      <c r="O755" s="2"/>
      <c r="P755" s="2" t="s">
        <v>2262</v>
      </c>
      <c r="Q755" s="2" t="s">
        <v>2263</v>
      </c>
      <c r="R755" s="2" t="s">
        <v>0</v>
      </c>
      <c r="S755" s="2" t="s">
        <v>2264</v>
      </c>
      <c r="T755" s="2" t="s">
        <v>39</v>
      </c>
      <c r="U755" s="2"/>
    </row>
    <row r="756" spans="1:21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4"/>
      <c r="O756" s="2"/>
      <c r="P756" s="2" t="s">
        <v>1286</v>
      </c>
      <c r="Q756" s="2" t="s">
        <v>1287</v>
      </c>
      <c r="R756" s="2" t="s">
        <v>0</v>
      </c>
      <c r="S756" s="2" t="s">
        <v>1288</v>
      </c>
      <c r="T756" s="2" t="s">
        <v>83</v>
      </c>
      <c r="U756" s="2"/>
    </row>
    <row r="757" spans="1:21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4"/>
      <c r="O757" s="2"/>
      <c r="P757" s="2" t="s">
        <v>1289</v>
      </c>
      <c r="Q757" s="2" t="s">
        <v>1290</v>
      </c>
      <c r="R757" s="2" t="s">
        <v>0</v>
      </c>
      <c r="S757" s="2" t="s">
        <v>1291</v>
      </c>
      <c r="T757" s="2" t="s">
        <v>83</v>
      </c>
      <c r="U757" s="2"/>
    </row>
    <row r="758" spans="1:21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4"/>
      <c r="O758" s="2"/>
      <c r="P758" s="2" t="s">
        <v>1292</v>
      </c>
      <c r="Q758" s="2" t="s">
        <v>1293</v>
      </c>
      <c r="R758" s="2" t="s">
        <v>0</v>
      </c>
      <c r="S758" s="2" t="s">
        <v>1294</v>
      </c>
      <c r="T758" s="2" t="s">
        <v>931</v>
      </c>
      <c r="U758" s="2"/>
    </row>
    <row r="759" spans="1:21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4"/>
      <c r="O759" s="2"/>
      <c r="P759" s="2" t="s">
        <v>1295</v>
      </c>
      <c r="Q759" s="2" t="s">
        <v>1296</v>
      </c>
      <c r="R759" s="2" t="s">
        <v>0</v>
      </c>
      <c r="S759" s="2" t="s">
        <v>1297</v>
      </c>
      <c r="T759" s="2" t="s">
        <v>39</v>
      </c>
      <c r="U759" s="2"/>
    </row>
    <row r="760" spans="1:21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4"/>
      <c r="O760" s="2"/>
      <c r="P760" s="2" t="s">
        <v>1298</v>
      </c>
      <c r="Q760" s="2" t="s">
        <v>1299</v>
      </c>
      <c r="R760" s="2" t="s">
        <v>0</v>
      </c>
      <c r="S760" s="2" t="s">
        <v>1297</v>
      </c>
      <c r="T760" s="2" t="s">
        <v>39</v>
      </c>
      <c r="U760" s="2"/>
    </row>
    <row r="761" spans="1:21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4"/>
      <c r="O761" s="2"/>
      <c r="P761" s="2" t="s">
        <v>1976</v>
      </c>
      <c r="Q761" s="2" t="s">
        <v>1977</v>
      </c>
      <c r="R761" s="2" t="s">
        <v>0</v>
      </c>
      <c r="S761" s="2" t="s">
        <v>1978</v>
      </c>
      <c r="T761" s="2" t="s">
        <v>33</v>
      </c>
      <c r="U761" s="2"/>
    </row>
    <row r="762" spans="1:21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4"/>
      <c r="O762" s="2"/>
      <c r="P762" s="2" t="s">
        <v>1979</v>
      </c>
      <c r="Q762" s="2" t="s">
        <v>1980</v>
      </c>
      <c r="R762" s="2" t="s">
        <v>0</v>
      </c>
      <c r="S762" s="2" t="s">
        <v>1981</v>
      </c>
      <c r="T762" s="2" t="s">
        <v>1802</v>
      </c>
      <c r="U762" s="2"/>
    </row>
    <row r="763" spans="1:21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4"/>
      <c r="O763" s="2"/>
      <c r="P763" s="2" t="s">
        <v>1982</v>
      </c>
      <c r="Q763" s="2" t="s">
        <v>1983</v>
      </c>
      <c r="R763" s="2" t="s">
        <v>0</v>
      </c>
      <c r="S763" s="2" t="s">
        <v>1984</v>
      </c>
      <c r="T763" s="2" t="s">
        <v>83</v>
      </c>
      <c r="U763" s="2"/>
    </row>
    <row r="764" spans="1:21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4"/>
      <c r="O764" s="2"/>
      <c r="P764" s="2" t="s">
        <v>1300</v>
      </c>
      <c r="Q764" s="2" t="s">
        <v>1301</v>
      </c>
      <c r="R764" s="2" t="s">
        <v>0</v>
      </c>
      <c r="S764" s="2" t="s">
        <v>1302</v>
      </c>
      <c r="T764" s="2" t="s">
        <v>83</v>
      </c>
      <c r="U764" s="2"/>
    </row>
    <row r="765" spans="1:21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4"/>
      <c r="O765" s="2"/>
      <c r="P765" s="2" t="s">
        <v>1985</v>
      </c>
      <c r="Q765" s="2" t="s">
        <v>1986</v>
      </c>
      <c r="R765" s="2" t="s">
        <v>0</v>
      </c>
      <c r="S765" s="2" t="s">
        <v>1987</v>
      </c>
      <c r="T765" s="2" t="s">
        <v>879</v>
      </c>
      <c r="U765" s="2"/>
    </row>
    <row r="766" spans="1:21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4"/>
      <c r="O766" s="2"/>
      <c r="P766" s="2" t="s">
        <v>1988</v>
      </c>
      <c r="Q766" s="2" t="s">
        <v>1989</v>
      </c>
      <c r="R766" s="2" t="s">
        <v>0</v>
      </c>
      <c r="S766" s="2" t="s">
        <v>1990</v>
      </c>
      <c r="T766" s="2" t="s">
        <v>33</v>
      </c>
      <c r="U766" s="2"/>
    </row>
    <row r="767" spans="1:21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4"/>
      <c r="O767" s="2"/>
      <c r="P767" s="2" t="s">
        <v>1303</v>
      </c>
      <c r="Q767" s="2" t="s">
        <v>1304</v>
      </c>
      <c r="R767" s="2" t="s">
        <v>0</v>
      </c>
      <c r="S767" s="2" t="s">
        <v>1305</v>
      </c>
      <c r="T767" s="2" t="s">
        <v>931</v>
      </c>
      <c r="U767" s="2"/>
    </row>
    <row r="768" spans="1:21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4"/>
      <c r="O768" s="2"/>
      <c r="P768" s="2" t="s">
        <v>81</v>
      </c>
      <c r="Q768" s="2" t="s">
        <v>82</v>
      </c>
      <c r="R768" s="2" t="s">
        <v>0</v>
      </c>
      <c r="S768" s="2" t="s">
        <v>2265</v>
      </c>
      <c r="T768" s="2" t="s">
        <v>1858</v>
      </c>
      <c r="U768" s="2"/>
    </row>
    <row r="769" spans="1:21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4"/>
      <c r="O769" s="2"/>
      <c r="P769" s="2" t="s">
        <v>1991</v>
      </c>
      <c r="Q769" s="2" t="s">
        <v>1992</v>
      </c>
      <c r="R769" s="2" t="s">
        <v>0</v>
      </c>
      <c r="S769" s="2" t="s">
        <v>1993</v>
      </c>
      <c r="T769" s="2" t="s">
        <v>83</v>
      </c>
      <c r="U769" s="2"/>
    </row>
    <row r="770" spans="1:21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4"/>
      <c r="O770" s="2"/>
      <c r="P770" s="2" t="s">
        <v>2266</v>
      </c>
      <c r="Q770" s="2" t="s">
        <v>2267</v>
      </c>
      <c r="R770" s="2" t="s">
        <v>0</v>
      </c>
      <c r="S770" s="2" t="s">
        <v>2268</v>
      </c>
      <c r="T770" s="2" t="s">
        <v>961</v>
      </c>
      <c r="U770" s="2"/>
    </row>
    <row r="771" spans="1:21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4"/>
      <c r="O771" s="2"/>
      <c r="P771" s="2" t="s">
        <v>2425</v>
      </c>
      <c r="Q771" s="2" t="s">
        <v>2426</v>
      </c>
      <c r="R771" s="2" t="s">
        <v>0</v>
      </c>
      <c r="S771" s="2" t="s">
        <v>2435</v>
      </c>
      <c r="T771" s="2" t="s">
        <v>83</v>
      </c>
      <c r="U771" s="2"/>
    </row>
    <row r="772" spans="1:21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4"/>
      <c r="O772" s="2"/>
      <c r="P772" s="2" t="s">
        <v>2343</v>
      </c>
      <c r="Q772" s="2" t="s">
        <v>2344</v>
      </c>
      <c r="R772" s="2" t="s">
        <v>0</v>
      </c>
      <c r="S772" s="2" t="s">
        <v>773</v>
      </c>
      <c r="T772" s="2" t="s">
        <v>2348</v>
      </c>
      <c r="U772" s="2"/>
    </row>
    <row r="773" spans="1:21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4"/>
      <c r="O773" s="2"/>
      <c r="P773" s="2" t="s">
        <v>1306</v>
      </c>
      <c r="Q773" s="2" t="s">
        <v>1307</v>
      </c>
      <c r="R773" s="2" t="s">
        <v>0</v>
      </c>
      <c r="S773" s="2" t="s">
        <v>1308</v>
      </c>
      <c r="T773" s="2" t="s">
        <v>33</v>
      </c>
      <c r="U773" s="2"/>
    </row>
    <row r="774" spans="1:21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4"/>
      <c r="O774" s="2"/>
      <c r="P774" t="s">
        <v>1743</v>
      </c>
      <c r="Q774" t="s">
        <v>1744</v>
      </c>
      <c r="R774" t="s">
        <v>14</v>
      </c>
      <c r="S774" t="s">
        <v>1745</v>
      </c>
      <c r="T774" t="s">
        <v>1746</v>
      </c>
      <c r="U774" s="2"/>
    </row>
    <row r="775" spans="1:21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4"/>
      <c r="O775" s="2"/>
      <c r="P775" s="317" t="s">
        <v>2704</v>
      </c>
      <c r="Q775" s="317" t="s">
        <v>2705</v>
      </c>
      <c r="R775" s="317" t="s">
        <v>12</v>
      </c>
      <c r="S775" s="317" t="s">
        <v>2706</v>
      </c>
      <c r="T775" s="317" t="s">
        <v>43</v>
      </c>
      <c r="U775" s="2"/>
    </row>
    <row r="776" spans="1:21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4"/>
    </row>
    <row r="777" spans="1:21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4"/>
      <c r="O777" s="2"/>
      <c r="P777" s="2"/>
      <c r="Q777" s="2"/>
      <c r="R777" s="2"/>
      <c r="S777" s="2"/>
      <c r="T777" s="2"/>
      <c r="U777" s="2"/>
    </row>
    <row r="778" spans="1:21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4"/>
    </row>
    <row r="779" spans="1:21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4"/>
      <c r="O779" s="2"/>
      <c r="P779" s="2"/>
      <c r="Q779" s="2"/>
      <c r="R779" s="2"/>
      <c r="S779" s="2"/>
      <c r="T779" s="2"/>
      <c r="U779" s="2"/>
    </row>
    <row r="780" spans="1:21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4"/>
      <c r="O780" s="2"/>
      <c r="P780" s="2"/>
      <c r="Q780" s="2"/>
      <c r="R780" s="2"/>
      <c r="S780" s="2"/>
      <c r="T780" s="2"/>
      <c r="U780" s="2"/>
    </row>
    <row r="781" spans="1:21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4"/>
    </row>
    <row r="782" spans="1:21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4"/>
      <c r="O782" s="2"/>
      <c r="P782" s="2"/>
      <c r="Q782" s="2"/>
      <c r="R782" s="2"/>
      <c r="S782" s="2"/>
      <c r="T782" s="2"/>
      <c r="U782" s="2"/>
    </row>
    <row r="783" spans="1:21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4"/>
    </row>
    <row r="784" spans="1:21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4"/>
      <c r="O784" s="2"/>
      <c r="P784" s="2"/>
      <c r="Q784" s="2"/>
      <c r="R784" s="2"/>
      <c r="S784" s="2"/>
      <c r="T784" s="2"/>
      <c r="U784" s="2"/>
    </row>
    <row r="785" spans="1:21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4"/>
      <c r="O785" s="2"/>
      <c r="P785" s="2"/>
      <c r="Q785" s="2"/>
      <c r="R785" s="2"/>
      <c r="S785" s="2"/>
      <c r="T785" s="2"/>
      <c r="U785" s="2"/>
    </row>
    <row r="786" spans="1:21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4"/>
    </row>
    <row r="787" spans="1:21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4"/>
    </row>
    <row r="788" spans="1:21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4"/>
    </row>
    <row r="789" spans="1:21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4"/>
    </row>
    <row r="790" spans="1:21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4"/>
    </row>
    <row r="791" spans="1:21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4"/>
    </row>
    <row r="792" spans="1:21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4"/>
    </row>
    <row r="793" spans="1:21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4"/>
    </row>
    <row r="794" spans="1:21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4"/>
    </row>
    <row r="795" spans="1:21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4"/>
    </row>
    <row r="796" spans="1:21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4"/>
    </row>
    <row r="797" spans="1:21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4"/>
    </row>
    <row r="798" spans="1:21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4"/>
    </row>
    <row r="799" spans="1:21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4"/>
    </row>
    <row r="800" spans="1:21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4"/>
    </row>
    <row r="801" spans="1:12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4"/>
    </row>
    <row r="802" spans="1:12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4"/>
    </row>
    <row r="803" spans="1:12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4"/>
    </row>
    <row r="804" spans="1:12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4"/>
    </row>
    <row r="805" spans="1:12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4"/>
    </row>
    <row r="806" spans="1:12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4"/>
    </row>
    <row r="807" spans="1:12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4"/>
    </row>
    <row r="808" spans="1:12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4"/>
    </row>
    <row r="809" spans="1:12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4"/>
    </row>
    <row r="810" spans="1:12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4"/>
    </row>
    <row r="811" spans="1:12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4"/>
    </row>
    <row r="812" spans="1:12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4"/>
    </row>
    <row r="813" spans="1:12" x14ac:dyDescent="0.25">
      <c r="A813" s="1"/>
      <c r="B813" s="2"/>
      <c r="C813" s="2"/>
      <c r="D813" s="2"/>
      <c r="E813" s="2"/>
      <c r="F813" s="2"/>
      <c r="G813" s="2"/>
      <c r="H813" s="2"/>
      <c r="I813" s="3"/>
      <c r="J813" s="2"/>
      <c r="K813" s="2"/>
      <c r="L813" s="4"/>
    </row>
    <row r="814" spans="1:12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129"/>
    </row>
    <row r="815" spans="1:12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129"/>
    </row>
    <row r="816" spans="1:12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129"/>
    </row>
    <row r="817" spans="1:12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129"/>
    </row>
    <row r="818" spans="1:12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129"/>
    </row>
    <row r="819" spans="1:12" x14ac:dyDescent="0.25">
      <c r="A819" s="5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4"/>
    </row>
    <row r="820" spans="1:12" x14ac:dyDescent="0.25">
      <c r="A820" s="5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129"/>
    </row>
    <row r="821" spans="1:12" x14ac:dyDescent="0.25">
      <c r="A821" s="5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129"/>
    </row>
    <row r="822" spans="1:12" ht="15.75" thickBot="1" x14ac:dyDescent="0.3">
      <c r="B822" s="52"/>
      <c r="C822" s="52"/>
      <c r="G822" s="127"/>
      <c r="H822" s="127"/>
      <c r="I822" s="127"/>
      <c r="L822" s="6"/>
    </row>
    <row r="823" spans="1:12" ht="16.5" thickBot="1" x14ac:dyDescent="0.3">
      <c r="K823" s="36" t="s">
        <v>15</v>
      </c>
      <c r="L823" s="38">
        <f>SUM(L4:L822)</f>
        <v>8875</v>
      </c>
    </row>
  </sheetData>
  <autoFilter ref="A3:M618" xr:uid="{24CA848F-C170-4BF5-8B76-4FC0302108C4}"/>
  <phoneticPr fontId="24" type="noConversion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A875-523B-4E45-BAF9-F8DAC202E4BB}">
  <sheetPr>
    <tabColor rgb="FF92D050"/>
  </sheetPr>
  <dimension ref="A3:AA61"/>
  <sheetViews>
    <sheetView zoomScaleNormal="100" workbookViewId="0">
      <pane ySplit="6" topLeftCell="A25" activePane="bottomLeft" state="frozen"/>
      <selection pane="bottomLeft" activeCell="B38" sqref="B38"/>
    </sheetView>
  </sheetViews>
  <sheetFormatPr baseColWidth="10" defaultRowHeight="15" x14ac:dyDescent="0.25"/>
  <cols>
    <col min="1" max="1" width="15.42578125" bestFit="1" customWidth="1"/>
    <col min="2" max="2" width="13.7109375" customWidth="1"/>
    <col min="3" max="7" width="12.5703125" customWidth="1"/>
    <col min="8" max="8" width="12.42578125" bestFit="1" customWidth="1"/>
    <col min="12" max="12" width="10.85546875" customWidth="1"/>
    <col min="26" max="26" width="11.85546875" bestFit="1" customWidth="1"/>
  </cols>
  <sheetData>
    <row r="3" spans="1:9" ht="18.75" x14ac:dyDescent="0.3">
      <c r="B3" s="162"/>
      <c r="C3" s="163" t="s">
        <v>2767</v>
      </c>
      <c r="D3" s="163"/>
      <c r="E3" s="163"/>
      <c r="F3" s="31"/>
      <c r="G3" s="31"/>
    </row>
    <row r="5" spans="1:9" ht="15.75" thickBot="1" x14ac:dyDescent="0.3"/>
    <row r="6" spans="1:9" ht="30.75" thickBot="1" x14ac:dyDescent="0.3">
      <c r="A6" s="111" t="s">
        <v>26</v>
      </c>
      <c r="B6" s="104" t="s">
        <v>30</v>
      </c>
      <c r="C6" s="99" t="s">
        <v>31</v>
      </c>
      <c r="D6" s="105" t="s">
        <v>1996</v>
      </c>
      <c r="E6" s="131" t="s">
        <v>1997</v>
      </c>
      <c r="F6" s="131" t="s">
        <v>1311</v>
      </c>
      <c r="G6" s="165" t="s">
        <v>2300</v>
      </c>
      <c r="H6" s="114" t="s">
        <v>27</v>
      </c>
      <c r="I6" s="100" t="s">
        <v>28</v>
      </c>
    </row>
    <row r="7" spans="1:9" x14ac:dyDescent="0.25">
      <c r="A7" s="112">
        <v>46174</v>
      </c>
      <c r="B7" s="106">
        <f>SUMIFS(RECIBOS!$L$4:$L$822,RECIBOS!$A$4:$A$822,CAJA!A7)</f>
        <v>506</v>
      </c>
      <c r="C7" s="97">
        <f>SUMIFS(INGRESOS!$F$13:$F$33,INGRESOS!$B$13:$B$33,CAJA!A7)</f>
        <v>1071</v>
      </c>
      <c r="D7" s="107">
        <f>SUMIFS(INGRESOS!$F$39:$F$155,INGRESOS!$B$39:$B$155,CAJA!A7)</f>
        <v>150</v>
      </c>
      <c r="E7" s="132">
        <f>SUMIFS(INGRESOS!$F$161:$F$165,INGRESOS!$B$161:$B$165,CAJA!A7)</f>
        <v>0</v>
      </c>
      <c r="F7" s="132">
        <f t="array" ref="F7:F37">SUMIFS(INGRESOS!F170:F188,INGRESOS!B170:B188,CAJA!A7:A37)</f>
        <v>0</v>
      </c>
      <c r="G7" s="106">
        <f>SUMIFS(EGRESOS!$F$85:$F$100,EGRESOS!$B$85:$B$100,CAJA!A7)</f>
        <v>0</v>
      </c>
      <c r="H7" s="101">
        <f>SUMIFS(EGRESOS!$F$4:$F$77,EGRESOS!$B$4:$B$77,CAJA!A7)</f>
        <v>114.4</v>
      </c>
      <c r="I7" s="98">
        <f>(B7+C7+D7+F7)-H7</f>
        <v>1612.6</v>
      </c>
    </row>
    <row r="8" spans="1:9" x14ac:dyDescent="0.25">
      <c r="A8" s="112">
        <v>46175</v>
      </c>
      <c r="B8" s="106">
        <f>SUMIFS(RECIBOS!$L$4:$L$822,RECIBOS!$A$4:$A$822,CAJA!A8)</f>
        <v>423</v>
      </c>
      <c r="C8" s="4">
        <f>SUMIFS(INGRESOS!$F$13:$F$33,INGRESOS!$B$13:$B$33,CAJA!A8)</f>
        <v>0</v>
      </c>
      <c r="D8" s="108">
        <f>SUMIFS(INGRESOS!$F$39:$F$155,INGRESOS!$B$39:$B$155,CAJA!A8)</f>
        <v>160</v>
      </c>
      <c r="E8" s="132">
        <f>SUMIFS(INGRESOS!$F$161:$F$165,INGRESOS!$B$161:$B$165,CAJA!A8)</f>
        <v>0</v>
      </c>
      <c r="F8" s="133">
        <v>0</v>
      </c>
      <c r="G8" s="106">
        <f>SUMIFS(EGRESOS!$F$85:$F$100,EGRESOS!$B$85:$B$100,CAJA!A8)</f>
        <v>0</v>
      </c>
      <c r="H8" s="102">
        <f>SUMIFS(EGRESOS!$F$4:$F$77,EGRESOS!$B$4:$B$77,CAJA!A8)</f>
        <v>0</v>
      </c>
      <c r="I8" s="96">
        <f>(I7+B8+C8+D8+H8+F8)-H8</f>
        <v>2195.6</v>
      </c>
    </row>
    <row r="9" spans="1:9" x14ac:dyDescent="0.25">
      <c r="A9" s="112">
        <v>46176</v>
      </c>
      <c r="B9" s="106">
        <f>SUMIFS(RECIBOS!$L$4:$L$822,RECIBOS!$A$4:$A$822,CAJA!A9)</f>
        <v>120.5</v>
      </c>
      <c r="C9" s="4">
        <f>SUMIFS(INGRESOS!$F$13:$F$33,INGRESOS!$B$13:$B$33,CAJA!A9)</f>
        <v>0</v>
      </c>
      <c r="D9" s="108">
        <f>SUMIFS(INGRESOS!$F$39:$F$155,INGRESOS!$B$39:$B$155,CAJA!A9)</f>
        <v>190</v>
      </c>
      <c r="E9" s="132">
        <f>SUMIFS(INGRESOS!$F$161:$F$165,INGRESOS!$B$161:$B$165,CAJA!A9)</f>
        <v>0</v>
      </c>
      <c r="F9" s="133">
        <v>0</v>
      </c>
      <c r="G9" s="106">
        <f>SUMIFS(EGRESOS!$F$85:$F$100,EGRESOS!$B$85:$B$100,CAJA!A9)</f>
        <v>0</v>
      </c>
      <c r="H9" s="102">
        <f>SUMIFS(EGRESOS!$F$4:$F$77,EGRESOS!$B$4:$B$77,CAJA!A9)</f>
        <v>825</v>
      </c>
      <c r="I9" s="96">
        <f>(I8+B9+C9+D9+H9+F9)-H9</f>
        <v>2506.1</v>
      </c>
    </row>
    <row r="10" spans="1:9" x14ac:dyDescent="0.25">
      <c r="A10" s="112">
        <v>46177</v>
      </c>
      <c r="B10" s="106">
        <f>SUMIFS(RECIBOS!$L$4:$L$822,RECIBOS!$A$4:$A$822,CAJA!A10)</f>
        <v>275</v>
      </c>
      <c r="C10" s="4">
        <f>SUMIFS(INGRESOS!$F$13:$F$33,INGRESOS!$B$13:$B$33,CAJA!A10)</f>
        <v>135</v>
      </c>
      <c r="D10" s="108">
        <f>SUMIFS(INGRESOS!$F$39:$F$155,INGRESOS!$B$39:$B$155,CAJA!A10)</f>
        <v>180</v>
      </c>
      <c r="E10" s="132">
        <f>SUMIFS(INGRESOS!$F$161:$F$165,INGRESOS!$B$161:$B$165,CAJA!A10)</f>
        <v>0</v>
      </c>
      <c r="F10" s="133">
        <v>0</v>
      </c>
      <c r="G10" s="106">
        <f>SUMIFS(EGRESOS!$F$85:$F$100,EGRESOS!$B$85:$B$100,CAJA!A10)</f>
        <v>0</v>
      </c>
      <c r="H10" s="102">
        <f>SUMIFS(EGRESOS!$F$4:$F$77,EGRESOS!$B$4:$B$77,CAJA!A10)</f>
        <v>0</v>
      </c>
      <c r="I10" s="96">
        <f>(I9+B10+C10+D10+F10)-H10</f>
        <v>3096.1</v>
      </c>
    </row>
    <row r="11" spans="1:9" x14ac:dyDescent="0.25">
      <c r="A11" s="112">
        <v>46178</v>
      </c>
      <c r="B11" s="106">
        <f>SUMIFS(RECIBOS!$L$4:$L$822,RECIBOS!$A$4:$A$822,CAJA!A11)</f>
        <v>396</v>
      </c>
      <c r="C11" s="4">
        <f>SUMIFS(INGRESOS!$F$13:$F$33,INGRESOS!$B$13:$B$33,CAJA!A11)</f>
        <v>0</v>
      </c>
      <c r="D11" s="108">
        <f>SUMIFS(INGRESOS!$F$39:$F$155,INGRESOS!$B$39:$B$155,CAJA!A11)</f>
        <v>140</v>
      </c>
      <c r="E11" s="132">
        <f>SUMIFS(INGRESOS!$F$161:$F$165,INGRESOS!$B$161:$B$165,CAJA!A11)</f>
        <v>0</v>
      </c>
      <c r="F11" s="133">
        <v>0</v>
      </c>
      <c r="G11" s="106">
        <f>SUMIFS(EGRESOS!$F$85:$F$100,EGRESOS!$B$85:$B$100,CAJA!A11)</f>
        <v>0</v>
      </c>
      <c r="H11" s="102">
        <f>SUMIFS(EGRESOS!$F$4:$F$77,EGRESOS!$B$4:$B$77,CAJA!A11)</f>
        <v>42.5</v>
      </c>
      <c r="I11" s="96">
        <f>(I10+B11+C11+D11+F11)-H11</f>
        <v>3589.6</v>
      </c>
    </row>
    <row r="12" spans="1:9" x14ac:dyDescent="0.25">
      <c r="A12" s="112">
        <v>46179</v>
      </c>
      <c r="B12" s="106">
        <f>SUMIFS(RECIBOS!$L$4:$L$822,RECIBOS!$A$4:$A$822,CAJA!A12)</f>
        <v>214.5</v>
      </c>
      <c r="C12" s="4">
        <f>SUMIFS(INGRESOS!$F$13:$F$33,INGRESOS!$B$13:$B$33,CAJA!A12)</f>
        <v>8.5</v>
      </c>
      <c r="D12" s="108">
        <f>SUMIFS(INGRESOS!$F$39:$F$155,INGRESOS!$B$39:$B$155,CAJA!A12)</f>
        <v>90</v>
      </c>
      <c r="E12" s="132">
        <f>SUMIFS(INGRESOS!$F$161:$F$165,INGRESOS!$B$161:$B$165,CAJA!A12)</f>
        <v>0</v>
      </c>
      <c r="F12" s="133">
        <v>0</v>
      </c>
      <c r="G12" s="106">
        <f>SUMIFS(EGRESOS!$F$85:$F$100,EGRESOS!$B$85:$B$100,CAJA!A12)</f>
        <v>0</v>
      </c>
      <c r="H12" s="102">
        <f>SUMIFS(EGRESOS!$F$4:$F$77,EGRESOS!$B$4:$B$77,CAJA!A12)</f>
        <v>0</v>
      </c>
      <c r="I12" s="96">
        <f>(I11+B12+C12+D12+F12)-H12</f>
        <v>3902.6</v>
      </c>
    </row>
    <row r="13" spans="1:9" x14ac:dyDescent="0.25">
      <c r="A13" s="112">
        <v>46180</v>
      </c>
      <c r="B13" s="106">
        <f>SUMIFS(RECIBOS!$L$4:$L$822,RECIBOS!$A$4:$A$822,CAJA!A13)</f>
        <v>0</v>
      </c>
      <c r="C13" s="4">
        <f>SUMIFS(INGRESOS!$F$13:$F$33,INGRESOS!$B$13:$B$33,CAJA!A13)</f>
        <v>0</v>
      </c>
      <c r="D13" s="108">
        <f>SUMIFS(INGRESOS!$F$39:$F$155,INGRESOS!$B$39:$B$155,CAJA!A13)</f>
        <v>70</v>
      </c>
      <c r="E13" s="132">
        <f>SUMIFS(INGRESOS!$F$161:$F$165,INGRESOS!$B$161:$B$165,CAJA!A13)</f>
        <v>0</v>
      </c>
      <c r="F13" s="133">
        <v>0</v>
      </c>
      <c r="G13" s="106">
        <f>SUMIFS(EGRESOS!$F$85:$F$100,EGRESOS!$B$85:$B$100,CAJA!A13)</f>
        <v>0</v>
      </c>
      <c r="H13" s="102">
        <f>SUMIFS(EGRESOS!$F$4:$F$77,EGRESOS!$B$4:$B$77,CAJA!A13)</f>
        <v>0</v>
      </c>
      <c r="I13" s="96">
        <f t="shared" ref="I13:I37" si="0">(I12+B13+C13+D13+F13)-H13</f>
        <v>3972.6</v>
      </c>
    </row>
    <row r="14" spans="1:9" x14ac:dyDescent="0.25">
      <c r="A14" s="112">
        <v>46181</v>
      </c>
      <c r="B14" s="106">
        <f>SUMIFS(RECIBOS!$L$4:$L$822,RECIBOS!$A$4:$A$822,CAJA!A14)</f>
        <v>359.5</v>
      </c>
      <c r="C14" s="4">
        <f>SUMIFS(INGRESOS!$F$13:$F$33,INGRESOS!$B$13:$B$33,CAJA!A14)</f>
        <v>0</v>
      </c>
      <c r="D14" s="108">
        <f>SUMIFS(INGRESOS!$F$39:$F$155,INGRESOS!$B$39:$B$155,CAJA!A14)</f>
        <v>130</v>
      </c>
      <c r="E14" s="132">
        <f>SUMIFS(INGRESOS!$F$161:$F$165,INGRESOS!$B$161:$B$165,CAJA!A14)</f>
        <v>0</v>
      </c>
      <c r="F14" s="133">
        <v>0</v>
      </c>
      <c r="G14" s="106">
        <f>SUMIFS(EGRESOS!$F$85:$F$100,EGRESOS!$B$85:$B$100,CAJA!A14)</f>
        <v>0</v>
      </c>
      <c r="H14" s="102">
        <f>SUMIFS(EGRESOS!$F$4:$F$77,EGRESOS!$B$4:$B$77,CAJA!A14)</f>
        <v>1148.5</v>
      </c>
      <c r="I14" s="96">
        <f t="shared" si="0"/>
        <v>3313.6000000000004</v>
      </c>
    </row>
    <row r="15" spans="1:9" x14ac:dyDescent="0.25">
      <c r="A15" s="112">
        <v>46182</v>
      </c>
      <c r="B15" s="106">
        <f>SUMIFS(RECIBOS!$L$4:$L$822,RECIBOS!$A$4:$A$822,CAJA!A15)</f>
        <v>652</v>
      </c>
      <c r="C15" s="4">
        <f>SUMIFS(INGRESOS!$F$13:$F$33,INGRESOS!$B$13:$B$33,CAJA!A15)</f>
        <v>285</v>
      </c>
      <c r="D15" s="108">
        <f>SUMIFS(INGRESOS!$F$39:$F$155,INGRESOS!$B$39:$B$155,CAJA!A15)</f>
        <v>80</v>
      </c>
      <c r="E15" s="132">
        <f>SUMIFS(INGRESOS!$F$161:$F$165,INGRESOS!$B$161:$B$165,CAJA!A15)</f>
        <v>0</v>
      </c>
      <c r="F15" s="133">
        <v>0</v>
      </c>
      <c r="G15" s="106">
        <f>SUMIFS(EGRESOS!$F$85:$F$100,EGRESOS!$B$85:$B$100,CAJA!A15)</f>
        <v>0</v>
      </c>
      <c r="H15" s="102">
        <f>SUMIFS(EGRESOS!$F$4:$F$77,EGRESOS!$B$4:$B$77,CAJA!A15)</f>
        <v>1010</v>
      </c>
      <c r="I15" s="96">
        <f t="shared" si="0"/>
        <v>3320.6000000000004</v>
      </c>
    </row>
    <row r="16" spans="1:9" x14ac:dyDescent="0.25">
      <c r="A16" s="112">
        <v>46183</v>
      </c>
      <c r="B16" s="106">
        <f>SUMIFS(RECIBOS!$L$4:$L$822,RECIBOS!$A$4:$A$822,CAJA!A16)</f>
        <v>204</v>
      </c>
      <c r="C16" s="4">
        <f>SUMIFS(INGRESOS!$F$13:$F$33,INGRESOS!$B$13:$B$33,CAJA!A16)</f>
        <v>551</v>
      </c>
      <c r="D16" s="108">
        <f>SUMIFS(INGRESOS!$F$39:$F$155,INGRESOS!$B$39:$B$155,CAJA!A16)</f>
        <v>40</v>
      </c>
      <c r="E16" s="132">
        <f>SUMIFS(INGRESOS!$F$161:$F$165,INGRESOS!$B$161:$B$165,CAJA!A16)</f>
        <v>0</v>
      </c>
      <c r="F16" s="133">
        <v>0</v>
      </c>
      <c r="G16" s="106">
        <f>SUMIFS(EGRESOS!$F$85:$F$100,EGRESOS!$B$85:$B$100,CAJA!A16)</f>
        <v>0</v>
      </c>
      <c r="H16" s="102">
        <f>SUMIFS(EGRESOS!$F$4:$F$77,EGRESOS!$B$4:$B$77,CAJA!A16)</f>
        <v>490</v>
      </c>
      <c r="I16" s="96">
        <f t="shared" si="0"/>
        <v>3625.6000000000004</v>
      </c>
    </row>
    <row r="17" spans="1:16" x14ac:dyDescent="0.25">
      <c r="A17" s="112">
        <v>46184</v>
      </c>
      <c r="B17" s="106">
        <f>SUMIFS(RECIBOS!$L$4:$L$822,RECIBOS!$A$4:$A$822,CAJA!A17)</f>
        <v>277.5</v>
      </c>
      <c r="C17" s="4">
        <f>SUMIFS(INGRESOS!$F$13:$F$33,INGRESOS!$B$13:$B$33,CAJA!A17)</f>
        <v>150</v>
      </c>
      <c r="D17" s="108">
        <f>SUMIFS(INGRESOS!$F$39:$F$155,INGRESOS!$B$39:$B$155,CAJA!A17)</f>
        <v>70</v>
      </c>
      <c r="E17" s="132">
        <f>SUMIFS(INGRESOS!$F$161:$F$165,INGRESOS!$B$161:$B$165,CAJA!A17)</f>
        <v>0</v>
      </c>
      <c r="F17" s="133">
        <v>0</v>
      </c>
      <c r="G17" s="106">
        <f>SUMIFS(EGRESOS!$F$85:$F$100,EGRESOS!$B$85:$B$100,CAJA!A17)</f>
        <v>0</v>
      </c>
      <c r="H17" s="102">
        <f>SUMIFS(EGRESOS!$F$4:$F$77,EGRESOS!$B$4:$B$77,CAJA!A17)</f>
        <v>130</v>
      </c>
      <c r="I17" s="96">
        <f t="shared" si="0"/>
        <v>3993.1000000000004</v>
      </c>
    </row>
    <row r="18" spans="1:16" x14ac:dyDescent="0.25">
      <c r="A18" s="112">
        <v>46185</v>
      </c>
      <c r="B18" s="106">
        <f>SUMIFS(RECIBOS!$L$4:$L$822,RECIBOS!$A$4:$A$822,CAJA!A18)</f>
        <v>656.5</v>
      </c>
      <c r="C18" s="4">
        <f>SUMIFS(INGRESOS!$F$13:$F$33,INGRESOS!$B$13:$B$33,CAJA!A18)</f>
        <v>958</v>
      </c>
      <c r="D18" s="108">
        <f>SUMIFS(INGRESOS!$F$39:$F$155,INGRESOS!$B$39:$B$155,CAJA!A18)</f>
        <v>100</v>
      </c>
      <c r="E18" s="132">
        <f>SUMIFS(INGRESOS!$F$161:$F$165,INGRESOS!$B$161:$B$165,CAJA!A18)</f>
        <v>0</v>
      </c>
      <c r="F18" s="133">
        <v>0</v>
      </c>
      <c r="G18" s="106">
        <f>SUMIFS(EGRESOS!$F$85:$F$100,EGRESOS!$B$85:$B$100,CAJA!A18)</f>
        <v>0</v>
      </c>
      <c r="H18" s="102">
        <f>SUMIFS(EGRESOS!$F$4:$F$77,EGRESOS!$B$4:$B$77,CAJA!A18)</f>
        <v>2350</v>
      </c>
      <c r="I18" s="96">
        <f t="shared" si="0"/>
        <v>3357.6000000000004</v>
      </c>
    </row>
    <row r="19" spans="1:16" x14ac:dyDescent="0.25">
      <c r="A19" s="112">
        <v>46186</v>
      </c>
      <c r="B19" s="106">
        <f>SUMIFS(RECIBOS!$L$4:$L$822,RECIBOS!$A$4:$A$822,CAJA!A19)</f>
        <v>93</v>
      </c>
      <c r="C19" s="4">
        <f>SUMIFS(INGRESOS!$F$13:$F$33,INGRESOS!$B$13:$B$33,CAJA!A19)</f>
        <v>1113</v>
      </c>
      <c r="D19" s="108">
        <f>SUMIFS(INGRESOS!$F$39:$F$155,INGRESOS!$B$39:$B$155,CAJA!A19)</f>
        <v>120</v>
      </c>
      <c r="E19" s="132">
        <f>SUMIFS(INGRESOS!$F$161:$F$165,INGRESOS!$B$161:$B$165,CAJA!A19)</f>
        <v>0</v>
      </c>
      <c r="F19" s="133">
        <v>0</v>
      </c>
      <c r="G19" s="106">
        <f>SUMIFS(EGRESOS!$F$85:$F$100,EGRESOS!$B$85:$B$100,CAJA!A19)</f>
        <v>0</v>
      </c>
      <c r="H19" s="102">
        <f>SUMIFS(EGRESOS!$F$4:$F$77,EGRESOS!$B$4:$B$77,CAJA!A19)</f>
        <v>1320</v>
      </c>
      <c r="I19" s="96">
        <f t="shared" si="0"/>
        <v>3363.6000000000004</v>
      </c>
    </row>
    <row r="20" spans="1:16" x14ac:dyDescent="0.25">
      <c r="A20" s="112">
        <v>46187</v>
      </c>
      <c r="B20" s="106">
        <f>SUMIFS(RECIBOS!$L$4:$L$822,RECIBOS!$A$4:$A$822,CAJA!A20)</f>
        <v>0</v>
      </c>
      <c r="C20" s="4">
        <f>SUMIFS(INGRESOS!$F$13:$F$33,INGRESOS!$B$13:$B$33,CAJA!A20)</f>
        <v>0</v>
      </c>
      <c r="D20" s="108">
        <f>SUMIFS(INGRESOS!$F$39:$F$155,INGRESOS!$B$39:$B$155,CAJA!A20)</f>
        <v>160</v>
      </c>
      <c r="E20" s="132">
        <f>SUMIFS(INGRESOS!$F$161:$F$165,INGRESOS!$B$161:$B$165,CAJA!A20)</f>
        <v>0</v>
      </c>
      <c r="F20" s="133">
        <v>0</v>
      </c>
      <c r="G20" s="106">
        <f>SUMIFS(EGRESOS!$F$85:$F$100,EGRESOS!$B$85:$B$100,CAJA!A20)</f>
        <v>0</v>
      </c>
      <c r="H20" s="102">
        <f>SUMIFS(EGRESOS!$F$4:$F$77,EGRESOS!$B$4:$B$77,CAJA!A20)</f>
        <v>0</v>
      </c>
      <c r="I20" s="96">
        <f t="shared" si="0"/>
        <v>3523.6000000000004</v>
      </c>
    </row>
    <row r="21" spans="1:16" x14ac:dyDescent="0.25">
      <c r="A21" s="112">
        <v>46188</v>
      </c>
      <c r="B21" s="106">
        <f>SUMIFS(RECIBOS!$L$4:$L$822,RECIBOS!$A$4:$A$822,CAJA!A21)</f>
        <v>486</v>
      </c>
      <c r="C21" s="4">
        <f>SUMIFS(INGRESOS!$F$13:$F$33,INGRESOS!$B$13:$B$33,CAJA!A21)</f>
        <v>0</v>
      </c>
      <c r="D21" s="108">
        <f>SUMIFS(INGRESOS!$F$39:$F$155,INGRESOS!$B$39:$B$155,CAJA!A21)</f>
        <v>250</v>
      </c>
      <c r="E21" s="132">
        <f>SUMIFS(INGRESOS!$F$161:$F$165,INGRESOS!$B$161:$B$165,CAJA!A21)</f>
        <v>0</v>
      </c>
      <c r="F21" s="133">
        <v>0</v>
      </c>
      <c r="G21" s="106">
        <f>SUMIFS(EGRESOS!$F$85:$F$100,EGRESOS!$B$85:$B$100,CAJA!A21)</f>
        <v>0</v>
      </c>
      <c r="H21" s="102">
        <f>SUMIFS(EGRESOS!$F$4:$F$77,EGRESOS!$B$4:$B$77,CAJA!A21)</f>
        <v>65</v>
      </c>
      <c r="I21" s="96">
        <f t="shared" si="0"/>
        <v>4194.6000000000004</v>
      </c>
    </row>
    <row r="22" spans="1:16" x14ac:dyDescent="0.25">
      <c r="A22" s="112">
        <v>46189</v>
      </c>
      <c r="B22" s="106">
        <f>SUMIFS(RECIBOS!$L$4:$L$822,RECIBOS!$A$4:$A$822,CAJA!A22)</f>
        <v>570.5</v>
      </c>
      <c r="C22" s="4">
        <f>SUMIFS(INGRESOS!$F$13:$F$33,INGRESOS!$B$13:$B$33,CAJA!A22)</f>
        <v>55</v>
      </c>
      <c r="D22" s="108">
        <f>SUMIFS(INGRESOS!$F$39:$F$155,INGRESOS!$B$39:$B$155,CAJA!A22)</f>
        <v>180</v>
      </c>
      <c r="E22" s="132">
        <f>SUMIFS(INGRESOS!$F$161:$F$165,INGRESOS!$B$161:$B$165,CAJA!A22)</f>
        <v>0</v>
      </c>
      <c r="F22" s="133">
        <v>0</v>
      </c>
      <c r="G22" s="106">
        <f>SUMIFS(EGRESOS!$F$85:$F$100,EGRESOS!$B$85:$B$100,CAJA!A22)</f>
        <v>0</v>
      </c>
      <c r="H22" s="102">
        <f>SUMIFS(EGRESOS!$F$4:$F$77,EGRESOS!$B$4:$B$77,CAJA!A22)</f>
        <v>123</v>
      </c>
      <c r="I22" s="96">
        <f t="shared" si="0"/>
        <v>4877.1000000000004</v>
      </c>
    </row>
    <row r="23" spans="1:16" x14ac:dyDescent="0.25">
      <c r="A23" s="112">
        <v>46190</v>
      </c>
      <c r="B23" s="106">
        <f>SUMIFS(RECIBOS!$L$4:$L$822,RECIBOS!$A$4:$A$822,CAJA!A23)</f>
        <v>486</v>
      </c>
      <c r="C23" s="4">
        <f>SUMIFS(INGRESOS!$F$13:$F$33,INGRESOS!$B$13:$B$33,CAJA!A23)</f>
        <v>0</v>
      </c>
      <c r="D23" s="108">
        <f>SUMIFS(INGRESOS!$F$39:$F$155,INGRESOS!$B$39:$B$155,CAJA!A23)</f>
        <v>130</v>
      </c>
      <c r="E23" s="132">
        <f>SUMIFS(INGRESOS!$F$161:$F$165,INGRESOS!$B$161:$B$165,CAJA!A23)</f>
        <v>0</v>
      </c>
      <c r="F23" s="133">
        <v>0</v>
      </c>
      <c r="G23" s="106">
        <f>SUMIFS(EGRESOS!$F$85:$F$100,EGRESOS!$B$85:$B$100,CAJA!A23)</f>
        <v>0</v>
      </c>
      <c r="H23" s="102">
        <f>SUMIFS(EGRESOS!$F$4:$F$77,EGRESOS!$B$4:$B$77,CAJA!A23)</f>
        <v>155</v>
      </c>
      <c r="I23" s="96">
        <f t="shared" si="0"/>
        <v>5338.1</v>
      </c>
    </row>
    <row r="24" spans="1:16" x14ac:dyDescent="0.25">
      <c r="A24" s="112">
        <v>46191</v>
      </c>
      <c r="B24" s="106">
        <f>SUMIFS(RECIBOS!$L$4:$L$822,RECIBOS!$A$4:$A$822,CAJA!A24)</f>
        <v>523.5</v>
      </c>
      <c r="C24" s="4">
        <f>SUMIFS(INGRESOS!$F$13:$F$33,INGRESOS!$B$13:$B$33,CAJA!A24)</f>
        <v>0</v>
      </c>
      <c r="D24" s="108">
        <f>SUMIFS(INGRESOS!$F$39:$F$155,INGRESOS!$B$39:$B$155,CAJA!A24)</f>
        <v>30</v>
      </c>
      <c r="E24" s="132">
        <f>SUMIFS(INGRESOS!$F$161:$F$165,INGRESOS!$B$161:$B$165,CAJA!A24)</f>
        <v>0</v>
      </c>
      <c r="F24" s="133">
        <v>0</v>
      </c>
      <c r="G24" s="106">
        <f>SUMIFS(EGRESOS!$F$85:$F$100,EGRESOS!$B$85:$B$100,CAJA!A24)</f>
        <v>0</v>
      </c>
      <c r="H24" s="102">
        <f>SUMIFS(EGRESOS!$F$4:$F$77,EGRESOS!$B$4:$B$77,CAJA!A24)</f>
        <v>340</v>
      </c>
      <c r="I24" s="96">
        <f t="shared" si="0"/>
        <v>5551.6</v>
      </c>
    </row>
    <row r="25" spans="1:16" x14ac:dyDescent="0.25">
      <c r="A25" s="112">
        <v>46192</v>
      </c>
      <c r="B25" s="106">
        <f>SUMIFS(RECIBOS!$L$4:$L$822,RECIBOS!$A$4:$A$822,CAJA!A25)</f>
        <v>255.5</v>
      </c>
      <c r="C25" s="4">
        <f>SUMIFS(INGRESOS!$F$13:$F$33,INGRESOS!$B$13:$B$33,CAJA!A25)</f>
        <v>0</v>
      </c>
      <c r="D25" s="108">
        <f>SUMIFS(INGRESOS!$F$39:$F$155,INGRESOS!$B$39:$B$155,CAJA!A25)</f>
        <v>220</v>
      </c>
      <c r="E25" s="132">
        <f>SUMIFS(INGRESOS!$F$161:$F$165,INGRESOS!$B$161:$B$165,CAJA!A25)</f>
        <v>0</v>
      </c>
      <c r="F25" s="133">
        <v>0</v>
      </c>
      <c r="G25" s="106">
        <f>SUMIFS(EGRESOS!$F$85:$F$100,EGRESOS!$B$85:$B$100,CAJA!A25)</f>
        <v>0</v>
      </c>
      <c r="H25" s="102">
        <f>SUMIFS(EGRESOS!$F$4:$F$77,EGRESOS!$B$4:$B$77,CAJA!A25)</f>
        <v>140</v>
      </c>
      <c r="I25" s="96">
        <f t="shared" si="0"/>
        <v>5887.1</v>
      </c>
    </row>
    <row r="26" spans="1:16" x14ac:dyDescent="0.25">
      <c r="A26" s="112">
        <v>46193</v>
      </c>
      <c r="B26" s="106">
        <f>SUMIFS(RECIBOS!$L$4:$L$822,RECIBOS!$A$4:$A$822,CAJA!A26)</f>
        <v>48</v>
      </c>
      <c r="C26" s="4">
        <f>SUMIFS(INGRESOS!$F$13:$F$33,INGRESOS!$B$13:$B$33,CAJA!A26)</f>
        <v>0</v>
      </c>
      <c r="D26" s="108">
        <f>SUMIFS(INGRESOS!$F$39:$F$155,INGRESOS!$B$39:$B$155,CAJA!A26)</f>
        <v>40</v>
      </c>
      <c r="E26" s="132">
        <f>SUMIFS(INGRESOS!$F$161:$F$165,INGRESOS!$B$161:$B$165,CAJA!A26)</f>
        <v>0</v>
      </c>
      <c r="F26" s="133">
        <v>0</v>
      </c>
      <c r="G26" s="106">
        <f>SUMIFS(EGRESOS!$F$85:$F$100,EGRESOS!$B$85:$B$100,CAJA!A26)</f>
        <v>0</v>
      </c>
      <c r="H26" s="102">
        <f>SUMIFS(EGRESOS!$F$4:$F$77,EGRESOS!$B$4:$B$77,CAJA!A26)</f>
        <v>0</v>
      </c>
      <c r="I26" s="96">
        <f t="shared" si="0"/>
        <v>5975.1</v>
      </c>
    </row>
    <row r="27" spans="1:16" x14ac:dyDescent="0.25">
      <c r="A27" s="112">
        <v>46194</v>
      </c>
      <c r="B27" s="106">
        <f>SUMIFS(RECIBOS!$L$4:$L$822,RECIBOS!$A$4:$A$822,CAJA!A27)</f>
        <v>0</v>
      </c>
      <c r="C27" s="4">
        <f>SUMIFS(INGRESOS!$F$13:$F$33,INGRESOS!$B$13:$B$33,CAJA!A27)</f>
        <v>0</v>
      </c>
      <c r="D27" s="108">
        <f>SUMIFS(INGRESOS!$F$39:$F$155,INGRESOS!$B$39:$B$155,CAJA!A27)</f>
        <v>80</v>
      </c>
      <c r="E27" s="132">
        <f>SUMIFS(INGRESOS!$F$161:$F$165,INGRESOS!$B$161:$B$165,CAJA!A27)</f>
        <v>0</v>
      </c>
      <c r="F27" s="133">
        <v>0</v>
      </c>
      <c r="G27" s="106">
        <f>SUMIFS(EGRESOS!$F$85:$F$100,EGRESOS!$B$85:$B$100,CAJA!A27)</f>
        <v>0</v>
      </c>
      <c r="H27" s="102">
        <f>SUMIFS(EGRESOS!$F$4:$F$77,EGRESOS!$B$4:$B$77,CAJA!A27)</f>
        <v>0</v>
      </c>
      <c r="I27" s="96">
        <f t="shared" si="0"/>
        <v>6055.1</v>
      </c>
    </row>
    <row r="28" spans="1:16" x14ac:dyDescent="0.25">
      <c r="A28" s="112">
        <v>46195</v>
      </c>
      <c r="B28" s="106">
        <f>SUMIFS(RECIBOS!$L$4:$L$822,RECIBOS!$A$4:$A$822,CAJA!A28)</f>
        <v>378</v>
      </c>
      <c r="C28" s="4">
        <f>SUMIFS(INGRESOS!$F$13:$F$33,INGRESOS!$B$13:$B$33,CAJA!A28)</f>
        <v>0</v>
      </c>
      <c r="D28" s="108">
        <f>SUMIFS(INGRESOS!$F$39:$F$155,INGRESOS!$B$39:$B$155,CAJA!A28)</f>
        <v>170</v>
      </c>
      <c r="E28" s="132">
        <f>SUMIFS(INGRESOS!$F$161:$F$165,INGRESOS!$B$161:$B$165,CAJA!A28)</f>
        <v>0</v>
      </c>
      <c r="F28" s="133">
        <v>0</v>
      </c>
      <c r="G28" s="106">
        <f>SUMIFS(EGRESOS!$F$85:$F$100,EGRESOS!$B$85:$B$100,CAJA!A28)</f>
        <v>0</v>
      </c>
      <c r="H28" s="102">
        <f>SUMIFS(EGRESOS!$F$4:$F$77,EGRESOS!$B$4:$B$77,CAJA!A28)</f>
        <v>30</v>
      </c>
      <c r="I28" s="96">
        <f t="shared" si="0"/>
        <v>6573.1</v>
      </c>
    </row>
    <row r="29" spans="1:16" x14ac:dyDescent="0.25">
      <c r="A29" s="112">
        <v>46196</v>
      </c>
      <c r="B29" s="106">
        <f>SUMIFS(RECIBOS!$L$4:$L$822,RECIBOS!$A$4:$A$822,CAJA!A29)</f>
        <v>741.5</v>
      </c>
      <c r="C29" s="4">
        <f>SUMIFS(INGRESOS!$F$13:$F$33,INGRESOS!$B$13:$B$33,CAJA!A29)</f>
        <v>0</v>
      </c>
      <c r="D29" s="108">
        <f>SUMIFS(INGRESOS!$F$39:$F$155,INGRESOS!$B$39:$B$155,CAJA!A29)</f>
        <v>130</v>
      </c>
      <c r="E29" s="132">
        <f>SUMIFS(INGRESOS!$F$161:$F$165,INGRESOS!$B$161:$B$165,CAJA!A29)</f>
        <v>0</v>
      </c>
      <c r="F29" s="133">
        <v>0</v>
      </c>
      <c r="G29" s="106">
        <f>SUMIFS(EGRESOS!$F$85:$F$100,EGRESOS!$B$85:$B$100,CAJA!A29)</f>
        <v>0</v>
      </c>
      <c r="H29" s="102">
        <f>SUMIFS(EGRESOS!$F$4:$F$77,EGRESOS!$B$4:$B$77,CAJA!A29)</f>
        <v>320</v>
      </c>
      <c r="I29" s="96">
        <f t="shared" si="0"/>
        <v>7124.6</v>
      </c>
    </row>
    <row r="30" spans="1:16" x14ac:dyDescent="0.25">
      <c r="A30" s="112">
        <v>46197</v>
      </c>
      <c r="B30" s="106">
        <f>SUMIFS(RECIBOS!$L$4:$L$822,RECIBOS!$A$4:$A$822,CAJA!A30)</f>
        <v>377</v>
      </c>
      <c r="C30" s="4">
        <f>SUMIFS(INGRESOS!$F$13:$F$33,INGRESOS!$B$13:$B$33,CAJA!A30)</f>
        <v>0</v>
      </c>
      <c r="D30" s="108">
        <f>SUMIFS(INGRESOS!$F$39:$F$155,INGRESOS!$B$39:$B$155,CAJA!A30)</f>
        <v>220</v>
      </c>
      <c r="E30" s="132">
        <f>SUMIFS(INGRESOS!$F$161:$F$165,INGRESOS!$B$161:$B$165,CAJA!A30)</f>
        <v>0</v>
      </c>
      <c r="F30" s="133">
        <v>0</v>
      </c>
      <c r="G30" s="106">
        <f>SUMIFS(EGRESOS!$F$85:$F$100,EGRESOS!$B$85:$B$100,CAJA!A30)</f>
        <v>0</v>
      </c>
      <c r="H30" s="102">
        <f>SUMIFS(EGRESOS!$F$4:$F$77,EGRESOS!$B$4:$B$77,CAJA!A30)</f>
        <v>470</v>
      </c>
      <c r="I30" s="96">
        <f t="shared" si="0"/>
        <v>7251.6</v>
      </c>
    </row>
    <row r="31" spans="1:16" x14ac:dyDescent="0.25">
      <c r="A31" s="112">
        <v>46198</v>
      </c>
      <c r="B31" s="106">
        <f>SUMIFS(RECIBOS!$L$4:$L$822,RECIBOS!$A$4:$A$822,CAJA!A31)</f>
        <v>459.5</v>
      </c>
      <c r="C31" s="4">
        <f>SUMIFS(INGRESOS!$F$13:$F$33,INGRESOS!$B$13:$B$33,CAJA!A31)</f>
        <v>25</v>
      </c>
      <c r="D31" s="108">
        <f>SUMIFS(INGRESOS!$F$39:$F$155,INGRESOS!$B$39:$B$155,CAJA!A31)</f>
        <v>170</v>
      </c>
      <c r="E31" s="132">
        <f>SUMIFS(INGRESOS!$F$161:$F$165,INGRESOS!$B$161:$B$165,CAJA!A31)</f>
        <v>0</v>
      </c>
      <c r="F31" s="133">
        <v>0</v>
      </c>
      <c r="G31" s="106">
        <f>SUMIFS(EGRESOS!$F$85:$F$100,EGRESOS!$B$85:$B$100,CAJA!A31)</f>
        <v>0</v>
      </c>
      <c r="H31" s="102">
        <f>SUMIFS(EGRESOS!$F$4:$F$77,EGRESOS!$B$4:$B$77,CAJA!A31)</f>
        <v>1273</v>
      </c>
      <c r="I31" s="96">
        <f t="shared" si="0"/>
        <v>6633.1</v>
      </c>
      <c r="P31" t="s">
        <v>2648</v>
      </c>
    </row>
    <row r="32" spans="1:16" x14ac:dyDescent="0.25">
      <c r="A32" s="112">
        <v>46199</v>
      </c>
      <c r="B32" s="106">
        <f>SUMIFS(RECIBOS!$L$4:$L$822,RECIBOS!$A$4:$A$822,CAJA!A32)</f>
        <v>372</v>
      </c>
      <c r="C32" s="4">
        <f>SUMIFS(INGRESOS!$F$13:$F$33,INGRESOS!$B$13:$B$33,CAJA!A32)</f>
        <v>0</v>
      </c>
      <c r="D32" s="108">
        <f>SUMIFS(INGRESOS!$F$39:$F$155,INGRESOS!$B$39:$B$155,CAJA!A32)</f>
        <v>140</v>
      </c>
      <c r="E32" s="132">
        <f>SUMIFS(INGRESOS!$F$161:$F$165,INGRESOS!$B$161:$B$165,CAJA!A32)</f>
        <v>0</v>
      </c>
      <c r="F32" s="133">
        <v>0</v>
      </c>
      <c r="G32" s="106">
        <f>SUMIFS(EGRESOS!$F$85:$F$100,EGRESOS!$B$85:$B$100,CAJA!A32)</f>
        <v>0</v>
      </c>
      <c r="H32" s="102">
        <f>SUMIFS(EGRESOS!$F$4:$F$77,EGRESOS!$B$4:$B$77,CAJA!A32)</f>
        <v>60</v>
      </c>
      <c r="I32" s="96">
        <f t="shared" si="0"/>
        <v>7085.1</v>
      </c>
      <c r="P32" t="s">
        <v>2386</v>
      </c>
    </row>
    <row r="33" spans="1:27" x14ac:dyDescent="0.25">
      <c r="A33" s="112">
        <v>46200</v>
      </c>
      <c r="B33" s="106">
        <f>SUMIFS(RECIBOS!$L$4:$L$822,RECIBOS!$A$4:$A$822,CAJA!A33)</f>
        <v>0</v>
      </c>
      <c r="C33" s="4">
        <f>SUMIFS(INGRESOS!$F$13:$F$33,INGRESOS!$B$13:$B$33,CAJA!A33)</f>
        <v>0</v>
      </c>
      <c r="D33" s="108">
        <f>SUMIFS(INGRESOS!$F$39:$F$155,INGRESOS!$B$39:$B$155,CAJA!A33)</f>
        <v>160</v>
      </c>
      <c r="E33" s="132">
        <f>SUMIFS(INGRESOS!$F$161:$F$165,INGRESOS!$B$161:$B$165,CAJA!A33)</f>
        <v>0</v>
      </c>
      <c r="F33" s="133">
        <v>0</v>
      </c>
      <c r="G33" s="106">
        <f>SUMIFS(EGRESOS!$F$85:$F$100,EGRESOS!$B$85:$B$100,CAJA!A33)</f>
        <v>0</v>
      </c>
      <c r="H33" s="102">
        <f>SUMIFS(EGRESOS!$F$4:$F$77,EGRESOS!$B$4:$B$77,CAJA!A33)</f>
        <v>0</v>
      </c>
      <c r="I33" s="96">
        <f t="shared" si="0"/>
        <v>7245.1</v>
      </c>
    </row>
    <row r="34" spans="1:27" x14ac:dyDescent="0.25">
      <c r="A34" s="112">
        <v>46201</v>
      </c>
      <c r="B34" s="106">
        <f>SUMIFS(RECIBOS!$L$4:$L$822,RECIBOS!$A$4:$A$822,CAJA!A34)</f>
        <v>0</v>
      </c>
      <c r="C34" s="4">
        <f>SUMIFS(INGRESOS!$F$13:$F$33,INGRESOS!$B$13:$B$33,CAJA!A34)</f>
        <v>0</v>
      </c>
      <c r="D34" s="108">
        <f>SUMIFS(INGRESOS!$F$39:$F$155,INGRESOS!$B$39:$B$155,CAJA!A34)</f>
        <v>380</v>
      </c>
      <c r="E34" s="132">
        <f>SUMIFS(INGRESOS!$F$161:$F$165,INGRESOS!$B$161:$B$165,CAJA!A34)</f>
        <v>0</v>
      </c>
      <c r="F34" s="133">
        <v>0</v>
      </c>
      <c r="G34" s="106">
        <f>SUMIFS(EGRESOS!$F$85:$F$100,EGRESOS!$B$85:$B$100,CAJA!A34)</f>
        <v>0</v>
      </c>
      <c r="H34" s="102">
        <f>SUMIFS(EGRESOS!$F$4:$F$77,EGRESOS!$B$4:$B$77,CAJA!A34)</f>
        <v>0</v>
      </c>
      <c r="I34" s="96">
        <f t="shared" si="0"/>
        <v>7625.1</v>
      </c>
      <c r="L34" s="88"/>
    </row>
    <row r="35" spans="1:27" x14ac:dyDescent="0.25">
      <c r="A35" s="112">
        <v>46202</v>
      </c>
      <c r="B35" s="106">
        <f>SUMIFS(RECIBOS!$L$4:$L$822,RECIBOS!$A$4:$A$822,CAJA!A35)</f>
        <v>0</v>
      </c>
      <c r="C35" s="4">
        <f>SUMIFS(INGRESOS!$F$13:$F$33,INGRESOS!$B$13:$B$33,CAJA!A35)</f>
        <v>0</v>
      </c>
      <c r="D35" s="108">
        <f>SUMIFS(INGRESOS!$F$39:$F$155,INGRESOS!$B$39:$B$155,CAJA!A35)</f>
        <v>80</v>
      </c>
      <c r="E35" s="132">
        <f>SUMIFS(INGRESOS!$F$161:$F$165,INGRESOS!$B$161:$B$165,CAJA!A35)</f>
        <v>0</v>
      </c>
      <c r="F35" s="133">
        <v>0</v>
      </c>
      <c r="G35" s="106">
        <f>SUMIFS(EGRESOS!$F$85:$F$100,EGRESOS!$B$85:$B$100,CAJA!A35)</f>
        <v>0</v>
      </c>
      <c r="H35" s="102">
        <f>SUMIFS(EGRESOS!$F$4:$F$77,EGRESOS!$B$4:$B$77,CAJA!A35)</f>
        <v>0</v>
      </c>
      <c r="I35" s="96">
        <f t="shared" si="0"/>
        <v>7705.1</v>
      </c>
      <c r="N35" t="s">
        <v>51</v>
      </c>
    </row>
    <row r="36" spans="1:27" x14ac:dyDescent="0.25">
      <c r="A36" s="112">
        <v>46203</v>
      </c>
      <c r="B36" s="106">
        <f>SUMIFS(RECIBOS!$L$4:$L$822,RECIBOS!$A$4:$A$822,CAJA!A36)</f>
        <v>0</v>
      </c>
      <c r="C36" s="4">
        <f>SUMIFS(INGRESOS!$F$13:$F$33,INGRESOS!$B$13:$B$33,CAJA!A36)</f>
        <v>0</v>
      </c>
      <c r="D36" s="108">
        <f>SUMIFS(INGRESOS!$F$39:$F$155,INGRESOS!$B$39:$B$155,CAJA!A36)</f>
        <v>170</v>
      </c>
      <c r="E36" s="132">
        <f>SUMIFS(INGRESOS!$F$161:$F$165,INGRESOS!$B$161:$B$165,CAJA!A36)</f>
        <v>0</v>
      </c>
      <c r="F36" s="133">
        <v>0</v>
      </c>
      <c r="G36" s="106">
        <f>SUMIFS(EGRESOS!$F$85:$F$100,EGRESOS!$B$85:$B$100,CAJA!A36)</f>
        <v>0</v>
      </c>
      <c r="H36" s="102">
        <f>SUMIFS(EGRESOS!$F$4:$F$77,EGRESOS!$B$4:$B$77,CAJA!A36)</f>
        <v>4580</v>
      </c>
      <c r="I36" s="96">
        <f t="shared" si="0"/>
        <v>3295.1000000000004</v>
      </c>
    </row>
    <row r="37" spans="1:27" ht="15.75" thickBot="1" x14ac:dyDescent="0.3">
      <c r="A37" s="112"/>
      <c r="B37" s="106">
        <f>SUMIFS(RECIBOS!$L$4:$L$822,RECIBOS!$A$4:$A$822,CAJA!A37)</f>
        <v>0</v>
      </c>
      <c r="C37" s="109">
        <f>SUMIFS(INGRESOS!$F$13:$F$33,INGRESOS!$B$13:$B$33,CAJA!A37)</f>
        <v>0</v>
      </c>
      <c r="D37" s="110">
        <f>SUMIFS(INGRESOS!$F$39:$F$155,INGRESOS!$B$39:$B$155,CAJA!A37)</f>
        <v>0</v>
      </c>
      <c r="E37" s="132">
        <f>SUMIFS(INGRESOS!$F$161:$F$165,INGRESOS!$B$161:$B$165,CAJA!A37)</f>
        <v>0</v>
      </c>
      <c r="F37" s="134">
        <v>0</v>
      </c>
      <c r="G37" s="106">
        <f>SUMIFS(EGRESOS!$F$85:$F$100,EGRESOS!$B$85:$B$100,CAJA!A37)</f>
        <v>0</v>
      </c>
      <c r="H37" s="103">
        <f>SUMIFS(EGRESOS!$F$4:$F$77,EGRESOS!$B$4:$B$77,CAJA!A37)</f>
        <v>0</v>
      </c>
      <c r="I37" s="96">
        <f t="shared" si="0"/>
        <v>3295.1000000000004</v>
      </c>
    </row>
    <row r="38" spans="1:27" ht="21.75" customHeight="1" thickBot="1" x14ac:dyDescent="0.3">
      <c r="A38" s="117" t="s">
        <v>19</v>
      </c>
      <c r="B38" s="90">
        <f>SUM(B7:B37)</f>
        <v>8875</v>
      </c>
      <c r="C38" s="90">
        <f>SUM(C7:C37)</f>
        <v>4351.5</v>
      </c>
      <c r="D38" s="90">
        <f t="shared" ref="D38:G38" si="1">SUM(D7:D37)</f>
        <v>4230</v>
      </c>
      <c r="E38" s="90">
        <f t="shared" si="1"/>
        <v>0</v>
      </c>
      <c r="F38" s="94">
        <f t="shared" si="1"/>
        <v>0</v>
      </c>
      <c r="G38" s="166">
        <f t="shared" si="1"/>
        <v>0</v>
      </c>
      <c r="H38" s="113">
        <f>SUM(H7:H37)</f>
        <v>14986.4</v>
      </c>
      <c r="I38" s="135">
        <f>I37</f>
        <v>3295.1000000000004</v>
      </c>
      <c r="K38" s="6"/>
      <c r="X38" t="s">
        <v>2386</v>
      </c>
    </row>
    <row r="39" spans="1:27" ht="15.75" x14ac:dyDescent="0.25">
      <c r="B39" s="32"/>
      <c r="C39" s="32"/>
      <c r="D39" s="32"/>
      <c r="E39" s="32"/>
      <c r="F39" s="32"/>
      <c r="G39" s="32"/>
      <c r="H39" s="32"/>
      <c r="I39" s="32"/>
      <c r="L39" s="88"/>
      <c r="M39" s="88"/>
      <c r="N39" s="88"/>
    </row>
    <row r="40" spans="1:27" x14ac:dyDescent="0.25">
      <c r="A40" s="33" t="s">
        <v>29</v>
      </c>
      <c r="C40" s="151">
        <v>56</v>
      </c>
      <c r="K40" s="160" t="s">
        <v>2280</v>
      </c>
      <c r="L40" s="159" t="s">
        <v>1994</v>
      </c>
      <c r="M40" s="174"/>
      <c r="N40" s="151"/>
      <c r="O40" s="151"/>
      <c r="P40" s="217"/>
      <c r="Q40" s="151"/>
      <c r="R40" s="217"/>
      <c r="S40" s="151"/>
      <c r="T40" s="151"/>
      <c r="U40" s="151"/>
      <c r="V40" s="151"/>
      <c r="W40" s="151"/>
      <c r="X40" s="151"/>
      <c r="Y40" s="151"/>
      <c r="Z40" s="151"/>
      <c r="AA40" s="151"/>
    </row>
    <row r="41" spans="1:27" ht="16.5" thickBot="1" x14ac:dyDescent="0.3">
      <c r="A41" s="33"/>
      <c r="B41" s="32"/>
      <c r="I41" s="6"/>
      <c r="L41" s="151"/>
      <c r="M41" s="151"/>
      <c r="N41" s="151"/>
      <c r="V41" s="151"/>
      <c r="W41" s="151"/>
      <c r="X41" s="151"/>
      <c r="Y41" s="151"/>
    </row>
    <row r="42" spans="1:27" ht="16.5" thickBot="1" x14ac:dyDescent="0.3">
      <c r="A42" s="33"/>
      <c r="B42" s="91"/>
      <c r="C42" s="92">
        <f>B38+C38+D38+E38+F38+C40</f>
        <v>17512.5</v>
      </c>
      <c r="D42" s="136"/>
      <c r="E42" s="136"/>
      <c r="F42" s="93"/>
      <c r="G42" s="167">
        <f>G38</f>
        <v>0</v>
      </c>
      <c r="H42" s="95">
        <f>H38</f>
        <v>14986.4</v>
      </c>
      <c r="I42" s="89">
        <f>C42-H42-G42</f>
        <v>2526.1000000000004</v>
      </c>
      <c r="L42" s="151" t="s">
        <v>2270</v>
      </c>
      <c r="M42" s="151"/>
      <c r="N42" s="151"/>
      <c r="V42" s="151"/>
      <c r="W42" s="151"/>
      <c r="X42" s="151"/>
      <c r="Y42" s="151"/>
    </row>
    <row r="43" spans="1:27" x14ac:dyDescent="0.25">
      <c r="C43" s="87" t="s">
        <v>67</v>
      </c>
      <c r="D43" s="87"/>
      <c r="E43" s="87"/>
      <c r="F43" s="87"/>
      <c r="G43" s="87"/>
      <c r="H43" s="87" t="s">
        <v>27</v>
      </c>
      <c r="I43" s="87" t="s">
        <v>73</v>
      </c>
      <c r="L43" s="151"/>
      <c r="M43" s="151"/>
      <c r="N43" s="151"/>
    </row>
    <row r="44" spans="1:27" x14ac:dyDescent="0.25">
      <c r="L44" s="151"/>
      <c r="M44" s="151" t="s">
        <v>2387</v>
      </c>
      <c r="N44" s="151"/>
      <c r="P44" s="151"/>
      <c r="Q44" s="151"/>
      <c r="R44" s="88"/>
      <c r="S44" s="88"/>
    </row>
    <row r="45" spans="1:27" x14ac:dyDescent="0.25">
      <c r="I45" s="6"/>
      <c r="K45" t="s">
        <v>51</v>
      </c>
      <c r="L45" s="151" t="s">
        <v>51</v>
      </c>
      <c r="M45" s="151"/>
      <c r="N45" s="151"/>
      <c r="P45" s="151"/>
      <c r="Q45" s="151"/>
      <c r="R45" s="88"/>
      <c r="S45" s="88"/>
    </row>
    <row r="46" spans="1:27" x14ac:dyDescent="0.25">
      <c r="A46" t="s">
        <v>57</v>
      </c>
      <c r="I46" s="6">
        <v>58.2</v>
      </c>
      <c r="L46" s="151" t="s">
        <v>51</v>
      </c>
      <c r="M46" s="151"/>
      <c r="N46" s="151"/>
      <c r="P46" s="151"/>
      <c r="Q46" s="151"/>
      <c r="R46" s="88"/>
      <c r="S46" s="88"/>
    </row>
    <row r="47" spans="1:27" ht="15.75" thickBot="1" x14ac:dyDescent="0.3">
      <c r="I47" s="6"/>
      <c r="L47" s="151"/>
      <c r="M47" s="151"/>
      <c r="N47" s="151"/>
      <c r="P47" s="151"/>
      <c r="Q47" s="151"/>
      <c r="R47" s="88"/>
      <c r="S47" s="88"/>
    </row>
    <row r="48" spans="1:27" ht="16.5" thickBot="1" x14ac:dyDescent="0.3">
      <c r="H48" s="34" t="s">
        <v>15</v>
      </c>
      <c r="I48" s="35">
        <f>I42+I46</f>
        <v>2584.3000000000002</v>
      </c>
      <c r="K48" t="s">
        <v>2717</v>
      </c>
      <c r="L48" s="152" t="s">
        <v>51</v>
      </c>
      <c r="M48" s="152"/>
      <c r="N48" s="152"/>
      <c r="O48" s="152"/>
      <c r="P48" s="152"/>
      <c r="Q48" s="152"/>
    </row>
    <row r="49" spans="1:17" x14ac:dyDescent="0.25">
      <c r="L49" s="152"/>
      <c r="M49" s="152"/>
      <c r="N49" s="152"/>
      <c r="O49" s="152"/>
      <c r="P49" s="152"/>
      <c r="Q49" s="152"/>
    </row>
    <row r="50" spans="1:17" x14ac:dyDescent="0.25">
      <c r="A50" t="s">
        <v>51</v>
      </c>
      <c r="L50" s="152"/>
      <c r="M50" s="152"/>
      <c r="N50" s="152"/>
      <c r="O50" s="152"/>
      <c r="P50" s="152"/>
      <c r="Q50" s="152"/>
    </row>
    <row r="51" spans="1:17" x14ac:dyDescent="0.25">
      <c r="L51" s="152"/>
      <c r="M51" s="152"/>
      <c r="N51" s="152"/>
      <c r="O51" s="152"/>
      <c r="P51" s="152"/>
      <c r="Q51" s="152"/>
    </row>
    <row r="52" spans="1:17" x14ac:dyDescent="0.25">
      <c r="H52" s="152"/>
    </row>
    <row r="53" spans="1:17" x14ac:dyDescent="0.25">
      <c r="I53" t="s">
        <v>2298</v>
      </c>
    </row>
    <row r="55" spans="1:17" x14ac:dyDescent="0.25">
      <c r="H55" s="152"/>
    </row>
    <row r="56" spans="1:17" x14ac:dyDescent="0.25">
      <c r="H56" s="152"/>
      <c r="J56" t="s">
        <v>1995</v>
      </c>
    </row>
    <row r="57" spans="1:17" x14ac:dyDescent="0.25">
      <c r="H57" s="152"/>
    </row>
    <row r="58" spans="1:17" x14ac:dyDescent="0.25">
      <c r="H58" s="152"/>
    </row>
    <row r="59" spans="1:17" x14ac:dyDescent="0.25">
      <c r="H59" s="152"/>
    </row>
    <row r="61" spans="1:17" x14ac:dyDescent="0.25">
      <c r="H61" s="152"/>
    </row>
  </sheetData>
  <autoFilter ref="A6:I38" xr:uid="{B9B3A875-523B-4E45-BAF9-F8DAC202E4BB}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803A-8EE9-4219-8901-F4BAB2D34F6C}">
  <sheetPr>
    <tabColor rgb="FF3366FF"/>
    <pageSetUpPr fitToPage="1"/>
  </sheetPr>
  <dimension ref="A1:M189"/>
  <sheetViews>
    <sheetView topLeftCell="A146" zoomScale="87" zoomScaleNormal="87" workbookViewId="0">
      <selection activeCell="A36" sqref="A36:H156"/>
    </sheetView>
  </sheetViews>
  <sheetFormatPr baseColWidth="10" defaultRowHeight="15" x14ac:dyDescent="0.25"/>
  <cols>
    <col min="1" max="1" width="18.85546875" customWidth="1"/>
    <col min="2" max="2" width="14.140625" customWidth="1"/>
    <col min="3" max="3" width="6.5703125" customWidth="1"/>
    <col min="4" max="4" width="59.7109375" customWidth="1"/>
    <col min="5" max="5" width="11.85546875" customWidth="1"/>
    <col min="6" max="6" width="11.85546875" bestFit="1" customWidth="1"/>
    <col min="11" max="11" width="15.85546875" customWidth="1"/>
    <col min="12" max="12" width="11.42578125" customWidth="1"/>
    <col min="13" max="13" width="43.5703125" customWidth="1"/>
  </cols>
  <sheetData>
    <row r="1" spans="2:7" ht="15.75" x14ac:dyDescent="0.25">
      <c r="B1" s="142"/>
      <c r="C1" s="143"/>
      <c r="D1" s="144" t="s">
        <v>2398</v>
      </c>
      <c r="E1" s="144"/>
      <c r="F1" s="145"/>
    </row>
    <row r="2" spans="2:7" ht="15.75" x14ac:dyDescent="0.25">
      <c r="B2" s="137"/>
      <c r="C2" s="138"/>
      <c r="D2" s="139" t="s">
        <v>18</v>
      </c>
      <c r="E2" s="140"/>
      <c r="F2" s="141" t="s">
        <v>10</v>
      </c>
    </row>
    <row r="3" spans="2:7" ht="15.75" x14ac:dyDescent="0.25">
      <c r="B3" s="10" t="s">
        <v>3</v>
      </c>
      <c r="C3" s="83">
        <f>COUNTIF(RECIBOS!$D$4:$D$822,INGRESOS!D3)</f>
        <v>147</v>
      </c>
      <c r="D3" s="120" t="s">
        <v>12</v>
      </c>
      <c r="E3" s="11"/>
      <c r="F3" s="81">
        <f>SUMIF(RECIBOS!D$4:D$822,"CHAUPI",RECIBOS!L$4:L$822)</f>
        <v>4397.5</v>
      </c>
    </row>
    <row r="4" spans="2:7" ht="15.75" x14ac:dyDescent="0.25">
      <c r="B4" s="10" t="s">
        <v>3</v>
      </c>
      <c r="C4" s="83">
        <f>COUNTIF(RECIBOS!$D$4:$D$822,INGRESOS!D4)</f>
        <v>132</v>
      </c>
      <c r="D4" s="121" t="s">
        <v>0</v>
      </c>
      <c r="E4" s="50"/>
      <c r="F4" s="81">
        <f>SUMIF(RECIBOS!D$4:D$822,"PACHAYZA",RECIBOS!L$4:L$822)</f>
        <v>3615.5</v>
      </c>
    </row>
    <row r="5" spans="2:7" ht="15.75" x14ac:dyDescent="0.25">
      <c r="B5" s="10" t="s">
        <v>3</v>
      </c>
      <c r="C5" s="83">
        <f>COUNTIF(RECIBOS!$D$4:$D$822,INGRESOS!D5)</f>
        <v>25</v>
      </c>
      <c r="D5" s="120" t="s">
        <v>13</v>
      </c>
      <c r="E5" s="11"/>
      <c r="F5" s="81">
        <f>SUMIF(RECIBOS!D$4:D$822,"LUCMANI",RECIBOS!L$4:L$822)</f>
        <v>604</v>
      </c>
    </row>
    <row r="6" spans="2:7" ht="15.75" x14ac:dyDescent="0.25">
      <c r="B6" s="10" t="s">
        <v>3</v>
      </c>
      <c r="C6" s="83">
        <f>COUNTIF(RECIBOS!$D$4:$D$822,INGRESOS!D6)</f>
        <v>11</v>
      </c>
      <c r="D6" s="121" t="s">
        <v>14</v>
      </c>
      <c r="E6" s="50"/>
      <c r="F6" s="81">
        <f>SUMIF(RECIBOS!D$4:D$822,"HUAQUILLO",RECIBOS!L$4:L$822)</f>
        <v>214</v>
      </c>
    </row>
    <row r="7" spans="2:7" ht="15.75" x14ac:dyDescent="0.25">
      <c r="B7" s="10" t="s">
        <v>3</v>
      </c>
      <c r="C7" s="83">
        <f>COUNTIF(RECIBOS!$D$4:$D$822,INGRESOS!D7)</f>
        <v>1</v>
      </c>
      <c r="D7" s="122" t="s">
        <v>16</v>
      </c>
      <c r="E7" s="12"/>
      <c r="F7" s="81">
        <f>SUMIF(RECIBOS!D$4:D$822,"AYACUCHO",RECIBOS!L$4:L$822)</f>
        <v>6.5</v>
      </c>
    </row>
    <row r="8" spans="2:7" ht="16.5" thickBot="1" x14ac:dyDescent="0.3">
      <c r="B8" s="13" t="s">
        <v>3</v>
      </c>
      <c r="C8" s="83">
        <f>COUNTIF(RECIBOS!$D$4:$D$822,INGRESOS!D8)</f>
        <v>4</v>
      </c>
      <c r="D8" s="123" t="s">
        <v>17</v>
      </c>
      <c r="E8" s="118"/>
      <c r="F8" s="81">
        <f>SUMIF(RECIBOS!D$4:D$822,"CHAUPICERCA",RECIBOS!L$4:L$822)</f>
        <v>37.5</v>
      </c>
    </row>
    <row r="9" spans="2:7" ht="15.75" thickBot="1" x14ac:dyDescent="0.3">
      <c r="B9" s="14"/>
      <c r="C9" s="84">
        <f>SUM(C3:C8)</f>
        <v>320</v>
      </c>
      <c r="D9" s="124" t="s">
        <v>19</v>
      </c>
      <c r="E9" s="15"/>
      <c r="F9" s="82">
        <f>SUM(F3:F8)</f>
        <v>8875</v>
      </c>
    </row>
    <row r="11" spans="2:7" ht="15.75" x14ac:dyDescent="0.25">
      <c r="B11" s="16"/>
      <c r="C11" s="17"/>
      <c r="D11" s="7" t="s">
        <v>2558</v>
      </c>
      <c r="E11" s="7"/>
      <c r="F11" s="8"/>
    </row>
    <row r="12" spans="2:7" ht="15.75" x14ac:dyDescent="0.25">
      <c r="B12" s="18" t="s">
        <v>20</v>
      </c>
      <c r="C12" s="19" t="s">
        <v>21</v>
      </c>
      <c r="D12" s="119" t="s">
        <v>18</v>
      </c>
      <c r="E12" s="18" t="s">
        <v>72</v>
      </c>
      <c r="F12" s="9" t="s">
        <v>10</v>
      </c>
    </row>
    <row r="13" spans="2:7" ht="31.5" x14ac:dyDescent="0.25">
      <c r="B13" s="43">
        <v>46174</v>
      </c>
      <c r="C13" s="44">
        <v>1375</v>
      </c>
      <c r="D13" s="45" t="s">
        <v>2557</v>
      </c>
      <c r="E13" s="125" t="s">
        <v>2576</v>
      </c>
      <c r="F13" s="128">
        <v>23</v>
      </c>
      <c r="G13" s="153"/>
    </row>
    <row r="14" spans="2:7" ht="31.5" x14ac:dyDescent="0.25">
      <c r="B14" s="43">
        <v>46174</v>
      </c>
      <c r="C14" s="44">
        <v>1376</v>
      </c>
      <c r="D14" s="45" t="s">
        <v>2559</v>
      </c>
      <c r="E14" s="125" t="s">
        <v>2576</v>
      </c>
      <c r="F14" s="128">
        <v>23</v>
      </c>
      <c r="G14" s="153"/>
    </row>
    <row r="15" spans="2:7" ht="30" customHeight="1" x14ac:dyDescent="0.25">
      <c r="B15" s="43">
        <v>46174</v>
      </c>
      <c r="C15" s="44">
        <v>1377</v>
      </c>
      <c r="D15" s="45" t="s">
        <v>2560</v>
      </c>
      <c r="E15" s="125" t="s">
        <v>2562</v>
      </c>
      <c r="F15" s="128">
        <v>425</v>
      </c>
      <c r="G15" s="153"/>
    </row>
    <row r="16" spans="2:7" ht="48" customHeight="1" x14ac:dyDescent="0.25">
      <c r="B16" s="43">
        <v>46174</v>
      </c>
      <c r="C16" s="44">
        <v>1378</v>
      </c>
      <c r="D16" s="45" t="s">
        <v>2561</v>
      </c>
      <c r="E16" s="125" t="s">
        <v>2577</v>
      </c>
      <c r="F16" s="128">
        <v>600</v>
      </c>
      <c r="G16" s="153"/>
    </row>
    <row r="17" spans="2:10" ht="19.5" customHeight="1" x14ac:dyDescent="0.25">
      <c r="B17" s="43">
        <v>46177</v>
      </c>
      <c r="C17" s="44">
        <v>1379</v>
      </c>
      <c r="D17" s="45" t="s">
        <v>2581</v>
      </c>
      <c r="E17" s="125" t="s">
        <v>2576</v>
      </c>
      <c r="F17" s="128">
        <v>135</v>
      </c>
      <c r="G17" s="153"/>
      <c r="J17" s="153">
        <f>SUM(F13+F14+F17+F19+F20+F23+F30+F31)</f>
        <v>422.5</v>
      </c>
    </row>
    <row r="18" spans="2:10" ht="17.25" customHeight="1" x14ac:dyDescent="0.25">
      <c r="B18" s="43">
        <v>46178</v>
      </c>
      <c r="C18" s="44">
        <v>1380</v>
      </c>
      <c r="D18" s="125" t="s">
        <v>2582</v>
      </c>
      <c r="E18" s="125" t="s">
        <v>2582</v>
      </c>
      <c r="F18" s="128">
        <v>0</v>
      </c>
      <c r="G18" s="153"/>
    </row>
    <row r="19" spans="2:10" ht="33" customHeight="1" x14ac:dyDescent="0.25">
      <c r="B19" s="43">
        <v>46179</v>
      </c>
      <c r="C19" s="44">
        <v>1381</v>
      </c>
      <c r="D19" s="273" t="s">
        <v>2583</v>
      </c>
      <c r="E19" s="125" t="s">
        <v>2576</v>
      </c>
      <c r="F19" s="128">
        <v>8.5</v>
      </c>
      <c r="G19" s="153"/>
      <c r="J19" s="153">
        <f>SUM(F15+INGRESOS!F16+INGRESOS!F22+INGRESOS!F25+INGRESOS!F26+INGRESOS!F27+INGRESOS!F28+INGRESOS!F29)</f>
        <v>3629</v>
      </c>
    </row>
    <row r="20" spans="2:10" ht="17.25" customHeight="1" x14ac:dyDescent="0.25">
      <c r="B20" s="43">
        <v>46182</v>
      </c>
      <c r="C20" s="44">
        <v>1382</v>
      </c>
      <c r="D20" s="45" t="s">
        <v>2608</v>
      </c>
      <c r="E20" s="125" t="s">
        <v>2576</v>
      </c>
      <c r="F20" s="128">
        <v>135</v>
      </c>
      <c r="G20" s="153"/>
    </row>
    <row r="21" spans="2:10" ht="32.25" customHeight="1" x14ac:dyDescent="0.25">
      <c r="B21" s="43">
        <v>46182</v>
      </c>
      <c r="C21" s="44">
        <v>1383</v>
      </c>
      <c r="D21" s="45" t="s">
        <v>2607</v>
      </c>
      <c r="E21" s="125" t="s">
        <v>2606</v>
      </c>
      <c r="F21" s="128">
        <v>150</v>
      </c>
      <c r="G21" s="153"/>
      <c r="J21" s="153">
        <f>SUM(F21+F24)</f>
        <v>300</v>
      </c>
    </row>
    <row r="22" spans="2:10" ht="18.75" customHeight="1" x14ac:dyDescent="0.25">
      <c r="B22" s="43">
        <v>46183</v>
      </c>
      <c r="C22" s="44">
        <v>1384</v>
      </c>
      <c r="D22" s="45" t="s">
        <v>2605</v>
      </c>
      <c r="E22" s="125" t="s">
        <v>2562</v>
      </c>
      <c r="F22" s="128">
        <v>533</v>
      </c>
      <c r="G22" s="153"/>
    </row>
    <row r="23" spans="2:10" ht="18" customHeight="1" x14ac:dyDescent="0.25">
      <c r="B23" s="43">
        <v>46183</v>
      </c>
      <c r="C23" s="44">
        <v>1385</v>
      </c>
      <c r="D23" s="45" t="s">
        <v>2625</v>
      </c>
      <c r="E23" s="125" t="s">
        <v>2576</v>
      </c>
      <c r="F23" s="128">
        <v>18</v>
      </c>
      <c r="G23" s="153"/>
    </row>
    <row r="24" spans="2:10" ht="30.75" customHeight="1" x14ac:dyDescent="0.25">
      <c r="B24" s="43">
        <v>46184</v>
      </c>
      <c r="C24" s="44">
        <v>1386</v>
      </c>
      <c r="D24" s="45" t="s">
        <v>2626</v>
      </c>
      <c r="E24" s="125" t="s">
        <v>2606</v>
      </c>
      <c r="F24" s="128">
        <v>150</v>
      </c>
      <c r="G24" s="153"/>
      <c r="J24" s="153">
        <f>SUM(J17+J19+J21)</f>
        <v>4351.5</v>
      </c>
    </row>
    <row r="25" spans="2:10" ht="35.25" customHeight="1" x14ac:dyDescent="0.25">
      <c r="B25" s="43">
        <v>46185</v>
      </c>
      <c r="C25" s="44">
        <v>1387</v>
      </c>
      <c r="D25" s="45" t="s">
        <v>2644</v>
      </c>
      <c r="E25" s="125" t="s">
        <v>2562</v>
      </c>
      <c r="F25" s="128">
        <v>425</v>
      </c>
      <c r="G25" s="153"/>
    </row>
    <row r="26" spans="2:10" ht="33" customHeight="1" x14ac:dyDescent="0.25">
      <c r="B26" s="43">
        <v>46185</v>
      </c>
      <c r="C26" s="44">
        <v>1388</v>
      </c>
      <c r="D26" s="45" t="s">
        <v>2671</v>
      </c>
      <c r="E26" s="125" t="s">
        <v>2562</v>
      </c>
      <c r="F26" s="128">
        <v>533</v>
      </c>
      <c r="G26" s="153"/>
    </row>
    <row r="27" spans="2:10" ht="35.25" customHeight="1" x14ac:dyDescent="0.25">
      <c r="B27" s="43">
        <v>46186</v>
      </c>
      <c r="C27" s="44">
        <v>1389</v>
      </c>
      <c r="D27" s="45" t="s">
        <v>2672</v>
      </c>
      <c r="E27" s="125" t="s">
        <v>2562</v>
      </c>
      <c r="F27" s="128">
        <v>290</v>
      </c>
      <c r="G27" s="153"/>
    </row>
    <row r="28" spans="2:10" ht="31.5" x14ac:dyDescent="0.25">
      <c r="B28" s="43">
        <v>46186</v>
      </c>
      <c r="C28" s="44">
        <v>1390</v>
      </c>
      <c r="D28" s="45" t="s">
        <v>2673</v>
      </c>
      <c r="E28" s="125" t="s">
        <v>2562</v>
      </c>
      <c r="F28" s="128">
        <v>290</v>
      </c>
      <c r="G28" s="153"/>
    </row>
    <row r="29" spans="2:10" ht="31.5" x14ac:dyDescent="0.25">
      <c r="B29" s="43">
        <v>46186</v>
      </c>
      <c r="C29" s="44">
        <v>1391</v>
      </c>
      <c r="D29" s="45" t="s">
        <v>2674</v>
      </c>
      <c r="E29" s="125" t="s">
        <v>2562</v>
      </c>
      <c r="F29" s="128">
        <v>533</v>
      </c>
      <c r="G29" s="153"/>
    </row>
    <row r="30" spans="2:10" ht="15.75" x14ac:dyDescent="0.25">
      <c r="B30" s="43">
        <v>46189</v>
      </c>
      <c r="C30" s="44">
        <v>1392</v>
      </c>
      <c r="D30" s="45" t="s">
        <v>2675</v>
      </c>
      <c r="E30" s="125" t="s">
        <v>2576</v>
      </c>
      <c r="F30" s="128">
        <v>55</v>
      </c>
      <c r="G30" s="153"/>
    </row>
    <row r="31" spans="2:10" ht="31.5" x14ac:dyDescent="0.25">
      <c r="B31" s="43">
        <v>46198</v>
      </c>
      <c r="C31" s="44">
        <v>1393</v>
      </c>
      <c r="D31" s="45" t="s">
        <v>2714</v>
      </c>
      <c r="E31" s="125" t="s">
        <v>2576</v>
      </c>
      <c r="F31" s="128">
        <v>25</v>
      </c>
      <c r="G31" s="153"/>
    </row>
    <row r="32" spans="2:10" ht="15.75" x14ac:dyDescent="0.25">
      <c r="B32" s="43"/>
      <c r="C32" s="44"/>
      <c r="D32" s="45"/>
      <c r="E32" s="125"/>
      <c r="F32" s="128"/>
      <c r="G32" s="153"/>
    </row>
    <row r="33" spans="1:9" ht="15.75" x14ac:dyDescent="0.25">
      <c r="B33" s="43"/>
      <c r="C33" s="44"/>
      <c r="D33" s="45"/>
      <c r="E33" s="125"/>
      <c r="F33" s="128"/>
      <c r="G33" s="153"/>
    </row>
    <row r="34" spans="1:9" ht="17.25" customHeight="1" thickBot="1" x14ac:dyDescent="0.3">
      <c r="B34" s="220"/>
      <c r="C34" s="221"/>
      <c r="D34" s="222"/>
      <c r="E34" s="223"/>
      <c r="F34" s="224">
        <f>SUM(F13:F33)</f>
        <v>4351.5</v>
      </c>
    </row>
    <row r="35" spans="1:9" ht="15.75" customHeight="1" x14ac:dyDescent="0.25">
      <c r="E35" s="88"/>
    </row>
    <row r="36" spans="1:9" x14ac:dyDescent="0.25">
      <c r="E36" s="88"/>
      <c r="F36" s="22"/>
    </row>
    <row r="37" spans="1:9" ht="18.75" customHeight="1" x14ac:dyDescent="0.25">
      <c r="B37" s="154"/>
      <c r="C37" s="155"/>
      <c r="D37" s="156" t="s">
        <v>2528</v>
      </c>
      <c r="E37" s="157"/>
      <c r="F37" s="158"/>
    </row>
    <row r="38" spans="1:9" ht="15.75" x14ac:dyDescent="0.25">
      <c r="A38" s="76"/>
      <c r="B38" s="179" t="s">
        <v>20</v>
      </c>
      <c r="C38" s="274" t="s">
        <v>21</v>
      </c>
      <c r="D38" s="179" t="s">
        <v>2289</v>
      </c>
      <c r="E38" s="179" t="s">
        <v>72</v>
      </c>
      <c r="F38" s="180" t="s">
        <v>10</v>
      </c>
    </row>
    <row r="39" spans="1:9" x14ac:dyDescent="0.25">
      <c r="A39" s="351" t="s">
        <v>2635</v>
      </c>
      <c r="B39" s="183">
        <v>46174</v>
      </c>
      <c r="C39" s="246">
        <v>2089</v>
      </c>
      <c r="D39" s="271" t="s">
        <v>2594</v>
      </c>
      <c r="E39" s="182" t="s">
        <v>2579</v>
      </c>
      <c r="F39" s="194">
        <v>40</v>
      </c>
    </row>
    <row r="40" spans="1:9" ht="15" customHeight="1" x14ac:dyDescent="0.25">
      <c r="A40" s="342"/>
      <c r="B40" s="183">
        <v>46174</v>
      </c>
      <c r="C40" s="246">
        <v>2090</v>
      </c>
      <c r="D40" s="271" t="s">
        <v>2595</v>
      </c>
      <c r="E40" s="227" t="s">
        <v>2579</v>
      </c>
      <c r="F40" s="194">
        <v>40</v>
      </c>
    </row>
    <row r="41" spans="1:9" x14ac:dyDescent="0.25">
      <c r="A41" s="342"/>
      <c r="B41" s="183">
        <v>46174</v>
      </c>
      <c r="C41" s="182">
        <v>2091</v>
      </c>
      <c r="D41" s="271" t="s">
        <v>2594</v>
      </c>
      <c r="E41" s="227" t="s">
        <v>2579</v>
      </c>
      <c r="F41" s="194">
        <v>40</v>
      </c>
    </row>
    <row r="42" spans="1:9" ht="15.75" thickBot="1" x14ac:dyDescent="0.3">
      <c r="A42" s="343"/>
      <c r="B42" s="213">
        <v>46174</v>
      </c>
      <c r="C42" s="214">
        <v>2092</v>
      </c>
      <c r="D42" s="277" t="s">
        <v>2596</v>
      </c>
      <c r="E42" s="214" t="s">
        <v>2579</v>
      </c>
      <c r="F42" s="215">
        <v>30</v>
      </c>
      <c r="G42" s="278">
        <f>SUM(F39:F42)</f>
        <v>150</v>
      </c>
      <c r="I42" s="153"/>
    </row>
    <row r="43" spans="1:9" x14ac:dyDescent="0.25">
      <c r="A43" s="341" t="s">
        <v>2636</v>
      </c>
      <c r="B43" s="228">
        <v>46175</v>
      </c>
      <c r="C43" s="246">
        <v>2093</v>
      </c>
      <c r="D43" s="276" t="s">
        <v>2597</v>
      </c>
      <c r="E43" s="229" t="s">
        <v>2579</v>
      </c>
      <c r="F43" s="247">
        <v>40</v>
      </c>
      <c r="G43" s="210"/>
      <c r="H43" s="153"/>
    </row>
    <row r="44" spans="1:9" ht="14.25" customHeight="1" x14ac:dyDescent="0.25">
      <c r="A44" s="342"/>
      <c r="B44" s="228">
        <v>46175</v>
      </c>
      <c r="C44" s="182">
        <v>2094</v>
      </c>
      <c r="D44" s="271" t="s">
        <v>2598</v>
      </c>
      <c r="E44" s="227" t="s">
        <v>2579</v>
      </c>
      <c r="F44" s="194">
        <v>40</v>
      </c>
      <c r="G44" s="210"/>
    </row>
    <row r="45" spans="1:9" x14ac:dyDescent="0.25">
      <c r="A45" s="342"/>
      <c r="B45" s="228">
        <v>46175</v>
      </c>
      <c r="C45" s="182">
        <v>2095</v>
      </c>
      <c r="D45" s="271" t="s">
        <v>2594</v>
      </c>
      <c r="E45" s="227" t="s">
        <v>2579</v>
      </c>
      <c r="F45" s="194">
        <v>40</v>
      </c>
      <c r="G45" s="210"/>
    </row>
    <row r="46" spans="1:9" ht="15.75" thickBot="1" x14ac:dyDescent="0.3">
      <c r="A46" s="343"/>
      <c r="B46" s="216">
        <v>46175</v>
      </c>
      <c r="C46" s="214">
        <v>2096</v>
      </c>
      <c r="D46" s="277" t="s">
        <v>2599</v>
      </c>
      <c r="E46" s="214" t="s">
        <v>2579</v>
      </c>
      <c r="F46" s="215">
        <v>40</v>
      </c>
      <c r="G46" s="278">
        <f>SUM(F43:F46)</f>
        <v>160</v>
      </c>
    </row>
    <row r="47" spans="1:9" ht="15.75" customHeight="1" x14ac:dyDescent="0.25">
      <c r="A47" s="341" t="s">
        <v>2637</v>
      </c>
      <c r="B47" s="245">
        <v>46176</v>
      </c>
      <c r="C47" s="229">
        <v>2097</v>
      </c>
      <c r="D47" s="271" t="s">
        <v>2600</v>
      </c>
      <c r="E47" s="229" t="s">
        <v>2579</v>
      </c>
      <c r="F47" s="230">
        <v>50</v>
      </c>
      <c r="G47" s="210"/>
    </row>
    <row r="48" spans="1:9" ht="16.5" customHeight="1" x14ac:dyDescent="0.25">
      <c r="A48" s="342"/>
      <c r="B48" s="245">
        <v>46176</v>
      </c>
      <c r="C48" s="182">
        <v>2098</v>
      </c>
      <c r="D48" s="271" t="s">
        <v>2601</v>
      </c>
      <c r="E48" s="227" t="s">
        <v>2579</v>
      </c>
      <c r="F48" s="194">
        <v>40</v>
      </c>
      <c r="G48" s="210"/>
    </row>
    <row r="49" spans="1:7" ht="14.25" customHeight="1" x14ac:dyDescent="0.25">
      <c r="A49" s="342"/>
      <c r="B49" s="245">
        <v>46176</v>
      </c>
      <c r="C49" s="182">
        <v>2099</v>
      </c>
      <c r="D49" s="271" t="s">
        <v>2601</v>
      </c>
      <c r="E49" s="227" t="s">
        <v>2579</v>
      </c>
      <c r="F49" s="194">
        <v>40</v>
      </c>
      <c r="G49" s="210"/>
    </row>
    <row r="50" spans="1:7" x14ac:dyDescent="0.25">
      <c r="A50" s="342"/>
      <c r="B50" s="245">
        <v>46176</v>
      </c>
      <c r="C50" s="182">
        <v>2100</v>
      </c>
      <c r="D50" s="271" t="s">
        <v>2601</v>
      </c>
      <c r="E50" s="227" t="s">
        <v>2579</v>
      </c>
      <c r="F50" s="194">
        <v>40</v>
      </c>
      <c r="G50" s="153"/>
    </row>
    <row r="51" spans="1:7" ht="15.75" thickBot="1" x14ac:dyDescent="0.3">
      <c r="A51" s="343"/>
      <c r="B51" s="213">
        <v>46176</v>
      </c>
      <c r="C51" s="214">
        <v>2201</v>
      </c>
      <c r="D51" s="277" t="s">
        <v>2602</v>
      </c>
      <c r="E51" s="214" t="s">
        <v>2579</v>
      </c>
      <c r="F51" s="215">
        <v>20</v>
      </c>
      <c r="G51" s="279">
        <f>SUM(F47:F51)</f>
        <v>190</v>
      </c>
    </row>
    <row r="52" spans="1:7" x14ac:dyDescent="0.25">
      <c r="A52" s="341" t="s">
        <v>2638</v>
      </c>
      <c r="B52" s="245">
        <v>46177</v>
      </c>
      <c r="C52" s="246">
        <v>2202</v>
      </c>
      <c r="D52" s="280" t="s">
        <v>2595</v>
      </c>
      <c r="E52" s="246" t="s">
        <v>2579</v>
      </c>
      <c r="F52" s="247">
        <v>40</v>
      </c>
      <c r="G52" s="153"/>
    </row>
    <row r="53" spans="1:7" x14ac:dyDescent="0.25">
      <c r="A53" s="342"/>
      <c r="B53" s="245">
        <v>46177</v>
      </c>
      <c r="C53" s="246">
        <v>2203</v>
      </c>
      <c r="D53" s="276" t="s">
        <v>2594</v>
      </c>
      <c r="E53" s="246" t="s">
        <v>2579</v>
      </c>
      <c r="F53" s="247">
        <v>40</v>
      </c>
      <c r="G53" s="153"/>
    </row>
    <row r="54" spans="1:7" x14ac:dyDescent="0.25">
      <c r="A54" s="342"/>
      <c r="B54" s="245">
        <v>46177</v>
      </c>
      <c r="C54" s="182">
        <v>2204</v>
      </c>
      <c r="D54" s="276" t="s">
        <v>2603</v>
      </c>
      <c r="E54" s="182" t="s">
        <v>2579</v>
      </c>
      <c r="F54" s="194">
        <v>40</v>
      </c>
      <c r="G54" s="153"/>
    </row>
    <row r="55" spans="1:7" ht="16.5" customHeight="1" x14ac:dyDescent="0.25">
      <c r="A55" s="342"/>
      <c r="B55" s="245">
        <v>46177</v>
      </c>
      <c r="C55" s="182">
        <v>2205</v>
      </c>
      <c r="D55" s="276" t="s">
        <v>2604</v>
      </c>
      <c r="E55" s="182" t="s">
        <v>2579</v>
      </c>
      <c r="F55" s="194">
        <v>20</v>
      </c>
      <c r="G55" s="153"/>
    </row>
    <row r="56" spans="1:7" ht="16.5" customHeight="1" thickBot="1" x14ac:dyDescent="0.3">
      <c r="A56" s="343"/>
      <c r="B56" s="213">
        <v>46177</v>
      </c>
      <c r="C56" s="214">
        <v>2206</v>
      </c>
      <c r="D56" s="281" t="s">
        <v>2627</v>
      </c>
      <c r="E56" s="214" t="s">
        <v>2579</v>
      </c>
      <c r="F56" s="215">
        <v>40</v>
      </c>
      <c r="G56" s="279">
        <f>SUM(F52:F56)</f>
        <v>180</v>
      </c>
    </row>
    <row r="57" spans="1:7" x14ac:dyDescent="0.25">
      <c r="A57" s="341" t="s">
        <v>2639</v>
      </c>
      <c r="B57" s="245">
        <v>46178</v>
      </c>
      <c r="C57" s="246">
        <v>2207</v>
      </c>
      <c r="D57" s="280" t="s">
        <v>2597</v>
      </c>
      <c r="E57" s="246" t="s">
        <v>2579</v>
      </c>
      <c r="F57" s="247">
        <v>40</v>
      </c>
      <c r="G57" s="153"/>
    </row>
    <row r="58" spans="1:7" x14ac:dyDescent="0.25">
      <c r="A58" s="342"/>
      <c r="B58" s="245">
        <v>46178</v>
      </c>
      <c r="C58" s="246">
        <v>2208</v>
      </c>
      <c r="D58" s="276" t="s">
        <v>2598</v>
      </c>
      <c r="E58" s="182" t="s">
        <v>2579</v>
      </c>
      <c r="F58" s="194">
        <v>40</v>
      </c>
      <c r="G58" s="153"/>
    </row>
    <row r="59" spans="1:7" ht="16.5" customHeight="1" x14ac:dyDescent="0.25">
      <c r="A59" s="342"/>
      <c r="B59" s="245">
        <v>46178</v>
      </c>
      <c r="C59" s="246">
        <v>2209</v>
      </c>
      <c r="D59" s="276" t="s">
        <v>2628</v>
      </c>
      <c r="E59" s="182" t="s">
        <v>2579</v>
      </c>
      <c r="F59" s="194">
        <v>30</v>
      </c>
      <c r="G59" s="153"/>
    </row>
    <row r="60" spans="1:7" ht="15.75" thickBot="1" x14ac:dyDescent="0.3">
      <c r="A60" s="343"/>
      <c r="B60" s="213">
        <v>46178</v>
      </c>
      <c r="C60" s="264">
        <v>2210</v>
      </c>
      <c r="D60" s="281" t="s">
        <v>2629</v>
      </c>
      <c r="E60" s="214" t="s">
        <v>2579</v>
      </c>
      <c r="F60" s="215">
        <v>30</v>
      </c>
      <c r="G60" s="279">
        <f>SUM(F57:F60)</f>
        <v>140</v>
      </c>
    </row>
    <row r="61" spans="1:7" ht="14.25" customHeight="1" x14ac:dyDescent="0.25">
      <c r="A61" s="341" t="s">
        <v>2640</v>
      </c>
      <c r="B61" s="245">
        <v>46179</v>
      </c>
      <c r="C61" s="246">
        <v>2211</v>
      </c>
      <c r="D61" s="276" t="s">
        <v>2594</v>
      </c>
      <c r="E61" s="246" t="s">
        <v>2579</v>
      </c>
      <c r="F61" s="247">
        <v>40</v>
      </c>
      <c r="G61" s="153"/>
    </row>
    <row r="62" spans="1:7" ht="13.5" customHeight="1" x14ac:dyDescent="0.25">
      <c r="A62" s="342"/>
      <c r="B62" s="245">
        <v>46179</v>
      </c>
      <c r="C62" s="182">
        <v>2212</v>
      </c>
      <c r="D62" s="276" t="s">
        <v>2630</v>
      </c>
      <c r="E62" s="182" t="s">
        <v>2579</v>
      </c>
      <c r="F62" s="194">
        <v>20</v>
      </c>
      <c r="G62" s="153"/>
    </row>
    <row r="63" spans="1:7" ht="13.5" customHeight="1" x14ac:dyDescent="0.25">
      <c r="A63" s="342"/>
      <c r="B63" s="245">
        <v>46179</v>
      </c>
      <c r="C63" s="182">
        <v>2213</v>
      </c>
      <c r="D63" s="276" t="s">
        <v>2631</v>
      </c>
      <c r="E63" s="182" t="s">
        <v>2579</v>
      </c>
      <c r="F63" s="194">
        <v>20</v>
      </c>
      <c r="G63" s="153"/>
    </row>
    <row r="64" spans="1:7" ht="16.5" customHeight="1" thickBot="1" x14ac:dyDescent="0.3">
      <c r="A64" s="343"/>
      <c r="B64" s="213">
        <v>46179</v>
      </c>
      <c r="C64" s="214">
        <v>2214</v>
      </c>
      <c r="D64" s="277" t="s">
        <v>2632</v>
      </c>
      <c r="E64" s="214" t="s">
        <v>2579</v>
      </c>
      <c r="F64" s="215">
        <v>10</v>
      </c>
      <c r="G64" s="279">
        <f>SUM(F61:F64)</f>
        <v>90</v>
      </c>
    </row>
    <row r="65" spans="1:9" x14ac:dyDescent="0.25">
      <c r="A65" s="341" t="s">
        <v>2641</v>
      </c>
      <c r="B65" s="245">
        <v>46180</v>
      </c>
      <c r="C65" s="246">
        <v>2215</v>
      </c>
      <c r="D65" s="276" t="s">
        <v>2633</v>
      </c>
      <c r="E65" s="246" t="s">
        <v>2579</v>
      </c>
      <c r="F65" s="247">
        <v>40</v>
      </c>
      <c r="G65" s="153"/>
    </row>
    <row r="66" spans="1:9" x14ac:dyDescent="0.25">
      <c r="A66" s="342"/>
      <c r="B66" s="245">
        <v>46180</v>
      </c>
      <c r="C66" s="282">
        <v>2216</v>
      </c>
      <c r="D66" s="276" t="s">
        <v>2634</v>
      </c>
      <c r="E66" s="282" t="s">
        <v>2579</v>
      </c>
      <c r="F66" s="283">
        <v>20</v>
      </c>
      <c r="G66" s="153"/>
    </row>
    <row r="67" spans="1:9" ht="15.75" thickBot="1" x14ac:dyDescent="0.3">
      <c r="A67" s="343"/>
      <c r="B67" s="213">
        <v>46180</v>
      </c>
      <c r="C67" s="264">
        <v>2217</v>
      </c>
      <c r="D67" s="277" t="s">
        <v>2632</v>
      </c>
      <c r="E67" s="264" t="s">
        <v>2579</v>
      </c>
      <c r="F67" s="284">
        <v>10</v>
      </c>
      <c r="G67" s="279">
        <f>SUM(F65:F67)</f>
        <v>70</v>
      </c>
      <c r="I67" s="285">
        <f>SUM(G42+G46+G51+G56+G60+G64+G67)</f>
        <v>980</v>
      </c>
    </row>
    <row r="68" spans="1:9" x14ac:dyDescent="0.25">
      <c r="A68" s="341" t="s">
        <v>2635</v>
      </c>
      <c r="B68" s="245">
        <v>46181</v>
      </c>
      <c r="C68" s="246">
        <v>2218</v>
      </c>
      <c r="D68" s="276" t="s">
        <v>2631</v>
      </c>
      <c r="E68" s="246" t="s">
        <v>2579</v>
      </c>
      <c r="F68" s="247">
        <v>20</v>
      </c>
      <c r="G68" s="153"/>
    </row>
    <row r="69" spans="1:9" ht="15.75" customHeight="1" x14ac:dyDescent="0.25">
      <c r="A69" s="342"/>
      <c r="B69" s="245">
        <v>46181</v>
      </c>
      <c r="C69" s="182">
        <v>2219</v>
      </c>
      <c r="D69" s="271" t="s">
        <v>2654</v>
      </c>
      <c r="E69" s="182" t="s">
        <v>2579</v>
      </c>
      <c r="F69" s="194">
        <v>50</v>
      </c>
      <c r="G69" s="153"/>
    </row>
    <row r="70" spans="1:9" ht="15.75" thickBot="1" x14ac:dyDescent="0.3">
      <c r="A70" s="343"/>
      <c r="B70" s="213">
        <v>46181</v>
      </c>
      <c r="C70" s="214">
        <v>2220</v>
      </c>
      <c r="D70" s="277" t="s">
        <v>2655</v>
      </c>
      <c r="E70" s="214" t="s">
        <v>2579</v>
      </c>
      <c r="F70" s="215">
        <v>60</v>
      </c>
      <c r="G70" s="313">
        <f>SUM(F68:F70)</f>
        <v>130</v>
      </c>
    </row>
    <row r="71" spans="1:9" x14ac:dyDescent="0.25">
      <c r="A71" s="344" t="s">
        <v>2636</v>
      </c>
      <c r="B71" s="299">
        <v>46182</v>
      </c>
      <c r="C71" s="295">
        <v>2221</v>
      </c>
      <c r="D71" s="280" t="s">
        <v>2595</v>
      </c>
      <c r="E71" s="295" t="s">
        <v>2579</v>
      </c>
      <c r="F71" s="247">
        <v>40</v>
      </c>
      <c r="G71" s="153"/>
    </row>
    <row r="72" spans="1:9" ht="15.75" thickBot="1" x14ac:dyDescent="0.3">
      <c r="A72" s="345"/>
      <c r="B72" s="213">
        <v>46182</v>
      </c>
      <c r="C72" s="214">
        <v>2222</v>
      </c>
      <c r="D72" s="277" t="s">
        <v>2656</v>
      </c>
      <c r="E72" s="214" t="s">
        <v>2579</v>
      </c>
      <c r="F72" s="215">
        <v>40</v>
      </c>
      <c r="G72" s="279">
        <f>SUM(F71:F72)</f>
        <v>80</v>
      </c>
    </row>
    <row r="73" spans="1:9" ht="15.75" thickBot="1" x14ac:dyDescent="0.3">
      <c r="A73" s="297" t="s">
        <v>2637</v>
      </c>
      <c r="B73" s="216">
        <v>46183</v>
      </c>
      <c r="C73" s="294">
        <v>2223</v>
      </c>
      <c r="D73" s="292" t="s">
        <v>2657</v>
      </c>
      <c r="E73" s="294" t="s">
        <v>2579</v>
      </c>
      <c r="F73" s="284">
        <v>40</v>
      </c>
      <c r="G73" s="314">
        <f>SUM(F73)</f>
        <v>40</v>
      </c>
    </row>
    <row r="74" spans="1:9" x14ac:dyDescent="0.25">
      <c r="A74" s="344" t="s">
        <v>2638</v>
      </c>
      <c r="B74" s="299">
        <v>46184</v>
      </c>
      <c r="C74" s="295">
        <v>2224</v>
      </c>
      <c r="D74" s="276" t="s">
        <v>2658</v>
      </c>
      <c r="E74" s="295" t="s">
        <v>2579</v>
      </c>
      <c r="F74" s="247">
        <v>20</v>
      </c>
      <c r="G74" s="153"/>
    </row>
    <row r="75" spans="1:9" x14ac:dyDescent="0.25">
      <c r="A75" s="346"/>
      <c r="B75" s="275">
        <v>46184</v>
      </c>
      <c r="C75" s="246">
        <v>2225</v>
      </c>
      <c r="D75" s="293" t="s">
        <v>2659</v>
      </c>
      <c r="E75" s="246" t="s">
        <v>2579</v>
      </c>
      <c r="F75" s="247">
        <v>10</v>
      </c>
      <c r="G75" s="153"/>
    </row>
    <row r="76" spans="1:9" ht="13.5" customHeight="1" x14ac:dyDescent="0.25">
      <c r="A76" s="346"/>
      <c r="B76" s="275">
        <v>46184</v>
      </c>
      <c r="C76" s="246">
        <v>2226</v>
      </c>
      <c r="D76" s="293" t="s">
        <v>2660</v>
      </c>
      <c r="E76" s="246" t="s">
        <v>2579</v>
      </c>
      <c r="F76" s="194">
        <v>10</v>
      </c>
      <c r="G76" s="153"/>
    </row>
    <row r="77" spans="1:9" ht="15" customHeight="1" thickBot="1" x14ac:dyDescent="0.3">
      <c r="A77" s="347"/>
      <c r="B77" s="245">
        <v>46184</v>
      </c>
      <c r="C77" s="214">
        <v>2227</v>
      </c>
      <c r="D77" s="277" t="s">
        <v>2661</v>
      </c>
      <c r="E77" s="214" t="s">
        <v>2579</v>
      </c>
      <c r="F77" s="215">
        <v>30</v>
      </c>
      <c r="G77" s="313">
        <f>SUM(F74:F77)</f>
        <v>70</v>
      </c>
    </row>
    <row r="78" spans="1:9" x14ac:dyDescent="0.25">
      <c r="A78" s="348" t="s">
        <v>2639</v>
      </c>
      <c r="B78" s="299">
        <v>46185</v>
      </c>
      <c r="C78" s="295">
        <v>2228</v>
      </c>
      <c r="D78" s="276" t="s">
        <v>2664</v>
      </c>
      <c r="E78" s="295" t="s">
        <v>2579</v>
      </c>
      <c r="F78" s="298">
        <v>30</v>
      </c>
      <c r="G78" s="153"/>
    </row>
    <row r="79" spans="1:9" x14ac:dyDescent="0.25">
      <c r="A79" s="349"/>
      <c r="B79" s="245">
        <v>46185</v>
      </c>
      <c r="C79" s="246">
        <v>2229</v>
      </c>
      <c r="D79" s="293" t="s">
        <v>2662</v>
      </c>
      <c r="E79" s="246" t="s">
        <v>2579</v>
      </c>
      <c r="F79" s="247">
        <v>10</v>
      </c>
      <c r="G79" s="153"/>
    </row>
    <row r="80" spans="1:9" ht="15.75" thickBot="1" x14ac:dyDescent="0.3">
      <c r="A80" s="350"/>
      <c r="B80" s="213">
        <v>46185</v>
      </c>
      <c r="C80" s="214">
        <v>2230</v>
      </c>
      <c r="D80" s="277" t="s">
        <v>2655</v>
      </c>
      <c r="E80" s="264" t="s">
        <v>2579</v>
      </c>
      <c r="F80" s="284">
        <v>60</v>
      </c>
      <c r="G80" s="279">
        <f>SUM(F78:F80)</f>
        <v>100</v>
      </c>
    </row>
    <row r="81" spans="1:13" ht="15" customHeight="1" x14ac:dyDescent="0.25">
      <c r="A81" s="341" t="s">
        <v>2640</v>
      </c>
      <c r="B81" s="245">
        <v>46186</v>
      </c>
      <c r="C81" s="246">
        <v>2231</v>
      </c>
      <c r="D81" s="293" t="s">
        <v>2663</v>
      </c>
      <c r="E81" s="246" t="s">
        <v>2579</v>
      </c>
      <c r="F81" s="247">
        <v>10</v>
      </c>
      <c r="G81" s="153"/>
    </row>
    <row r="82" spans="1:13" ht="15.75" customHeight="1" x14ac:dyDescent="0.25">
      <c r="A82" s="342"/>
      <c r="B82" s="245">
        <v>46186</v>
      </c>
      <c r="C82" s="182">
        <v>2232</v>
      </c>
      <c r="D82" s="276" t="s">
        <v>2664</v>
      </c>
      <c r="E82" s="246" t="s">
        <v>2579</v>
      </c>
      <c r="F82" s="194">
        <v>30</v>
      </c>
      <c r="G82" s="153"/>
    </row>
    <row r="83" spans="1:13" x14ac:dyDescent="0.25">
      <c r="A83" s="342"/>
      <c r="B83" s="245">
        <v>46186</v>
      </c>
      <c r="C83" s="182">
        <v>2233</v>
      </c>
      <c r="D83" s="276" t="s">
        <v>2665</v>
      </c>
      <c r="E83" s="246" t="s">
        <v>2579</v>
      </c>
      <c r="F83" s="194">
        <v>40</v>
      </c>
      <c r="G83" s="153"/>
    </row>
    <row r="84" spans="1:13" ht="15.75" thickBot="1" x14ac:dyDescent="0.3">
      <c r="A84" s="343"/>
      <c r="B84" s="213">
        <v>46186</v>
      </c>
      <c r="C84" s="214">
        <v>2234</v>
      </c>
      <c r="D84" s="281" t="s">
        <v>2666</v>
      </c>
      <c r="E84" s="264" t="s">
        <v>2579</v>
      </c>
      <c r="F84" s="215">
        <v>40</v>
      </c>
      <c r="G84" s="279">
        <f>SUM(F81:F84)</f>
        <v>120</v>
      </c>
    </row>
    <row r="85" spans="1:13" ht="15" customHeight="1" x14ac:dyDescent="0.25">
      <c r="A85" s="341" t="s">
        <v>2641</v>
      </c>
      <c r="B85" s="245">
        <v>46187</v>
      </c>
      <c r="C85" s="246">
        <v>2235</v>
      </c>
      <c r="D85" s="276" t="s">
        <v>2667</v>
      </c>
      <c r="E85" s="246" t="s">
        <v>2579</v>
      </c>
      <c r="F85" s="247">
        <v>40</v>
      </c>
      <c r="G85" s="153"/>
    </row>
    <row r="86" spans="1:13" x14ac:dyDescent="0.25">
      <c r="A86" s="342"/>
      <c r="B86" s="245">
        <v>46187</v>
      </c>
      <c r="C86" s="282">
        <v>2236</v>
      </c>
      <c r="D86" s="276" t="s">
        <v>2665</v>
      </c>
      <c r="E86" s="246" t="s">
        <v>2579</v>
      </c>
      <c r="F86" s="283">
        <v>40</v>
      </c>
      <c r="G86" s="153"/>
    </row>
    <row r="87" spans="1:13" ht="15" customHeight="1" x14ac:dyDescent="0.25">
      <c r="A87" s="342"/>
      <c r="B87" s="245">
        <v>46187</v>
      </c>
      <c r="C87" s="246">
        <v>2237</v>
      </c>
      <c r="D87" s="276" t="s">
        <v>2668</v>
      </c>
      <c r="E87" s="246" t="s">
        <v>2579</v>
      </c>
      <c r="F87" s="247">
        <v>40</v>
      </c>
      <c r="G87" s="153"/>
    </row>
    <row r="88" spans="1:13" ht="15.75" customHeight="1" thickBot="1" x14ac:dyDescent="0.3">
      <c r="A88" s="343"/>
      <c r="B88" s="213">
        <v>46187</v>
      </c>
      <c r="C88" s="214">
        <v>2238</v>
      </c>
      <c r="D88" s="281" t="s">
        <v>2669</v>
      </c>
      <c r="E88" s="264" t="s">
        <v>2579</v>
      </c>
      <c r="F88" s="215">
        <v>40</v>
      </c>
      <c r="G88" s="279">
        <f>SUM(F85:F88)</f>
        <v>160</v>
      </c>
      <c r="I88" s="300">
        <f>SUM(G70+G72+G73+G77+G80+G84+G88)</f>
        <v>700</v>
      </c>
      <c r="M88" s="210"/>
    </row>
    <row r="89" spans="1:13" x14ac:dyDescent="0.25">
      <c r="A89" s="341" t="s">
        <v>2635</v>
      </c>
      <c r="B89" s="245">
        <v>46188</v>
      </c>
      <c r="C89" s="246">
        <v>2239</v>
      </c>
      <c r="D89" s="276" t="s">
        <v>2665</v>
      </c>
      <c r="E89" s="246" t="s">
        <v>2579</v>
      </c>
      <c r="F89" s="247">
        <v>40</v>
      </c>
      <c r="G89" s="153"/>
    </row>
    <row r="90" spans="1:13" x14ac:dyDescent="0.25">
      <c r="A90" s="342"/>
      <c r="B90" s="245">
        <v>46188</v>
      </c>
      <c r="C90" s="182">
        <v>2240</v>
      </c>
      <c r="D90" s="276" t="s">
        <v>2634</v>
      </c>
      <c r="E90" s="246" t="s">
        <v>2579</v>
      </c>
      <c r="F90" s="194">
        <v>20</v>
      </c>
      <c r="G90" s="153"/>
    </row>
    <row r="91" spans="1:13" x14ac:dyDescent="0.25">
      <c r="A91" s="342"/>
      <c r="B91" s="245">
        <v>46188</v>
      </c>
      <c r="C91" s="282">
        <v>2241</v>
      </c>
      <c r="D91" s="276" t="s">
        <v>2688</v>
      </c>
      <c r="E91" s="246" t="s">
        <v>2579</v>
      </c>
      <c r="F91" s="283">
        <v>70</v>
      </c>
      <c r="G91" s="153"/>
    </row>
    <row r="92" spans="1:13" x14ac:dyDescent="0.25">
      <c r="A92" s="342"/>
      <c r="B92" s="245">
        <v>46188</v>
      </c>
      <c r="C92" s="246">
        <v>2242</v>
      </c>
      <c r="D92" s="271" t="s">
        <v>2654</v>
      </c>
      <c r="E92" s="246" t="s">
        <v>2579</v>
      </c>
      <c r="F92" s="247">
        <v>50</v>
      </c>
      <c r="G92" s="153"/>
    </row>
    <row r="93" spans="1:13" ht="15.75" thickBot="1" x14ac:dyDescent="0.3">
      <c r="A93" s="343"/>
      <c r="B93" s="213">
        <v>46188</v>
      </c>
      <c r="C93" s="214">
        <v>2243</v>
      </c>
      <c r="D93" s="281" t="s">
        <v>2689</v>
      </c>
      <c r="E93" s="264" t="s">
        <v>2579</v>
      </c>
      <c r="F93" s="215">
        <v>70</v>
      </c>
      <c r="G93" s="279">
        <f>SUM(F89:F93)</f>
        <v>250</v>
      </c>
    </row>
    <row r="94" spans="1:13" x14ac:dyDescent="0.25">
      <c r="A94" s="341" t="s">
        <v>2636</v>
      </c>
      <c r="B94" s="245">
        <v>46189</v>
      </c>
      <c r="C94" s="246">
        <v>2244</v>
      </c>
      <c r="D94" s="276" t="s">
        <v>2665</v>
      </c>
      <c r="E94" s="246" t="s">
        <v>2579</v>
      </c>
      <c r="F94" s="247">
        <v>40</v>
      </c>
      <c r="G94" s="153"/>
    </row>
    <row r="95" spans="1:13" x14ac:dyDescent="0.25">
      <c r="A95" s="342"/>
      <c r="B95" s="245">
        <v>46189</v>
      </c>
      <c r="C95" s="182">
        <v>2245</v>
      </c>
      <c r="D95" s="276" t="s">
        <v>2669</v>
      </c>
      <c r="E95" s="246" t="s">
        <v>2579</v>
      </c>
      <c r="F95" s="194">
        <v>40</v>
      </c>
      <c r="G95" s="153"/>
    </row>
    <row r="96" spans="1:13" ht="15.75" customHeight="1" x14ac:dyDescent="0.25">
      <c r="A96" s="342"/>
      <c r="B96" s="245">
        <v>46189</v>
      </c>
      <c r="C96" s="182">
        <v>2246</v>
      </c>
      <c r="D96" s="276" t="s">
        <v>2690</v>
      </c>
      <c r="E96" s="246" t="s">
        <v>2579</v>
      </c>
      <c r="F96" s="194">
        <v>70</v>
      </c>
      <c r="G96" s="153"/>
      <c r="H96" s="153"/>
    </row>
    <row r="97" spans="1:9" ht="16.5" customHeight="1" x14ac:dyDescent="0.25">
      <c r="A97" s="342"/>
      <c r="B97" s="245">
        <v>46189</v>
      </c>
      <c r="C97" s="182">
        <v>2247</v>
      </c>
      <c r="D97" s="276" t="s">
        <v>2691</v>
      </c>
      <c r="E97" s="246" t="s">
        <v>2579</v>
      </c>
      <c r="F97" s="194">
        <v>20</v>
      </c>
      <c r="G97" s="153"/>
      <c r="H97" s="153"/>
    </row>
    <row r="98" spans="1:9" ht="16.5" customHeight="1" thickBot="1" x14ac:dyDescent="0.3">
      <c r="A98" s="343"/>
      <c r="B98" s="213">
        <v>46189</v>
      </c>
      <c r="C98" s="214">
        <v>2248</v>
      </c>
      <c r="D98" s="277" t="s">
        <v>2692</v>
      </c>
      <c r="E98" s="264" t="s">
        <v>2579</v>
      </c>
      <c r="F98" s="215">
        <v>10</v>
      </c>
      <c r="G98" s="279">
        <f>SUM(F94:F98)</f>
        <v>180</v>
      </c>
    </row>
    <row r="99" spans="1:9" x14ac:dyDescent="0.25">
      <c r="A99" s="341" t="s">
        <v>2637</v>
      </c>
      <c r="B99" s="245">
        <v>46190</v>
      </c>
      <c r="C99" s="246">
        <v>2249</v>
      </c>
      <c r="D99" s="276" t="s">
        <v>2668</v>
      </c>
      <c r="E99" s="246" t="s">
        <v>2579</v>
      </c>
      <c r="F99" s="247">
        <v>40</v>
      </c>
      <c r="G99" s="153"/>
      <c r="H99" s="153"/>
      <c r="I99" s="153"/>
    </row>
    <row r="100" spans="1:9" x14ac:dyDescent="0.25">
      <c r="A100" s="342"/>
      <c r="B100" s="245">
        <v>46190</v>
      </c>
      <c r="C100" s="282">
        <v>2250</v>
      </c>
      <c r="D100" s="276" t="s">
        <v>2665</v>
      </c>
      <c r="E100" s="246" t="s">
        <v>2579</v>
      </c>
      <c r="F100" s="283">
        <v>40</v>
      </c>
      <c r="G100" s="153"/>
    </row>
    <row r="101" spans="1:9" x14ac:dyDescent="0.25">
      <c r="A101" s="342"/>
      <c r="B101" s="245">
        <v>46190</v>
      </c>
      <c r="C101" s="246">
        <v>2251</v>
      </c>
      <c r="D101" s="276" t="s">
        <v>2693</v>
      </c>
      <c r="E101" s="246" t="s">
        <v>2579</v>
      </c>
      <c r="F101" s="247">
        <v>20</v>
      </c>
      <c r="G101" s="153"/>
      <c r="H101" s="153"/>
    </row>
    <row r="102" spans="1:9" ht="15.75" thickBot="1" x14ac:dyDescent="0.3">
      <c r="A102" s="343"/>
      <c r="B102" s="245">
        <v>46190</v>
      </c>
      <c r="C102" s="214">
        <v>2252</v>
      </c>
      <c r="D102" s="281" t="s">
        <v>2694</v>
      </c>
      <c r="E102" s="264" t="s">
        <v>2579</v>
      </c>
      <c r="F102" s="215">
        <v>30</v>
      </c>
      <c r="G102" s="279">
        <f>SUM(F99:F102)</f>
        <v>130</v>
      </c>
    </row>
    <row r="103" spans="1:9" ht="15.75" thickBot="1" x14ac:dyDescent="0.3">
      <c r="A103" s="308" t="s">
        <v>2638</v>
      </c>
      <c r="B103" s="296">
        <v>46191</v>
      </c>
      <c r="C103" s="294">
        <v>2253</v>
      </c>
      <c r="D103" s="292" t="s">
        <v>2695</v>
      </c>
      <c r="E103" s="294" t="s">
        <v>2579</v>
      </c>
      <c r="F103" s="307">
        <v>30</v>
      </c>
      <c r="G103" s="314">
        <f>SUM(F103)</f>
        <v>30</v>
      </c>
    </row>
    <row r="104" spans="1:9" x14ac:dyDescent="0.25">
      <c r="A104" s="341" t="s">
        <v>2639</v>
      </c>
      <c r="B104" s="245">
        <v>46192</v>
      </c>
      <c r="C104" s="246">
        <v>2254</v>
      </c>
      <c r="D104" s="276" t="s">
        <v>2696</v>
      </c>
      <c r="E104" s="246" t="s">
        <v>2579</v>
      </c>
      <c r="F104" s="247">
        <v>40</v>
      </c>
      <c r="G104" s="153"/>
    </row>
    <row r="105" spans="1:9" x14ac:dyDescent="0.25">
      <c r="A105" s="342"/>
      <c r="B105" s="245">
        <v>46192</v>
      </c>
      <c r="C105" s="182">
        <v>2255</v>
      </c>
      <c r="D105" s="293" t="s">
        <v>2694</v>
      </c>
      <c r="E105" s="246" t="s">
        <v>2579</v>
      </c>
      <c r="F105" s="194">
        <v>30</v>
      </c>
      <c r="G105" s="153"/>
    </row>
    <row r="106" spans="1:9" x14ac:dyDescent="0.25">
      <c r="A106" s="342"/>
      <c r="B106" s="245">
        <v>46192</v>
      </c>
      <c r="C106" s="282">
        <v>2256</v>
      </c>
      <c r="D106" s="276" t="s">
        <v>2697</v>
      </c>
      <c r="E106" s="246" t="s">
        <v>2579</v>
      </c>
      <c r="F106" s="283">
        <v>40</v>
      </c>
      <c r="G106" s="153"/>
    </row>
    <row r="107" spans="1:9" x14ac:dyDescent="0.25">
      <c r="A107" s="342"/>
      <c r="B107" s="245">
        <v>46192</v>
      </c>
      <c r="C107" s="246">
        <v>2257</v>
      </c>
      <c r="D107" s="276" t="s">
        <v>2669</v>
      </c>
      <c r="E107" s="246" t="s">
        <v>2579</v>
      </c>
      <c r="F107" s="247">
        <v>40</v>
      </c>
      <c r="G107" s="153"/>
    </row>
    <row r="108" spans="1:9" ht="15.75" thickBot="1" x14ac:dyDescent="0.3">
      <c r="A108" s="343"/>
      <c r="B108" s="245">
        <v>46192</v>
      </c>
      <c r="C108" s="214">
        <v>2258</v>
      </c>
      <c r="D108" s="281" t="s">
        <v>2690</v>
      </c>
      <c r="E108" s="264" t="s">
        <v>2579</v>
      </c>
      <c r="F108" s="215">
        <v>70</v>
      </c>
      <c r="G108" s="279">
        <f>SUM(F104:F108)</f>
        <v>220</v>
      </c>
    </row>
    <row r="109" spans="1:9" ht="15.75" thickBot="1" x14ac:dyDescent="0.3">
      <c r="A109" s="308" t="s">
        <v>2640</v>
      </c>
      <c r="B109" s="296">
        <v>46193</v>
      </c>
      <c r="C109" s="294">
        <v>2259</v>
      </c>
      <c r="D109" s="292" t="s">
        <v>2696</v>
      </c>
      <c r="E109" s="294" t="s">
        <v>2579</v>
      </c>
      <c r="F109" s="307">
        <v>40</v>
      </c>
      <c r="G109" s="314">
        <f>SUM(F109)</f>
        <v>40</v>
      </c>
    </row>
    <row r="110" spans="1:9" ht="14.25" customHeight="1" x14ac:dyDescent="0.25">
      <c r="A110" s="341" t="s">
        <v>2641</v>
      </c>
      <c r="B110" s="245">
        <v>46194</v>
      </c>
      <c r="C110" s="246">
        <v>2260</v>
      </c>
      <c r="D110" s="293" t="s">
        <v>2698</v>
      </c>
      <c r="E110" s="246" t="s">
        <v>2579</v>
      </c>
      <c r="F110" s="247">
        <v>30</v>
      </c>
      <c r="G110" s="153"/>
    </row>
    <row r="111" spans="1:9" x14ac:dyDescent="0.25">
      <c r="A111" s="342"/>
      <c r="B111" s="245">
        <v>46194</v>
      </c>
      <c r="C111" s="182">
        <v>2261</v>
      </c>
      <c r="D111" s="276" t="s">
        <v>2696</v>
      </c>
      <c r="E111" s="246" t="s">
        <v>2579</v>
      </c>
      <c r="F111" s="194">
        <v>40</v>
      </c>
      <c r="G111" s="153"/>
    </row>
    <row r="112" spans="1:9" ht="15.75" thickBot="1" x14ac:dyDescent="0.3">
      <c r="A112" s="343"/>
      <c r="B112" s="213">
        <v>46194</v>
      </c>
      <c r="C112" s="214">
        <v>2262</v>
      </c>
      <c r="D112" s="277" t="s">
        <v>2663</v>
      </c>
      <c r="E112" s="264" t="s">
        <v>2579</v>
      </c>
      <c r="F112" s="215">
        <v>10</v>
      </c>
      <c r="G112" s="279">
        <f>SUM(F110:F112)</f>
        <v>80</v>
      </c>
      <c r="I112" s="300">
        <f>SUM(G93+G98+G102+G103+G108+G109+G112)</f>
        <v>930</v>
      </c>
    </row>
    <row r="113" spans="1:8" x14ac:dyDescent="0.25">
      <c r="A113" s="341" t="s">
        <v>2635</v>
      </c>
      <c r="B113" s="245">
        <v>46195</v>
      </c>
      <c r="C113" s="246">
        <v>2263</v>
      </c>
      <c r="D113" s="276" t="s">
        <v>2731</v>
      </c>
      <c r="E113" s="246" t="s">
        <v>2579</v>
      </c>
      <c r="F113" s="247">
        <v>40</v>
      </c>
      <c r="G113" s="153"/>
    </row>
    <row r="114" spans="1:8" x14ac:dyDescent="0.25">
      <c r="A114" s="342"/>
      <c r="B114" s="245">
        <v>46195</v>
      </c>
      <c r="C114" s="282">
        <v>2264</v>
      </c>
      <c r="D114" s="276" t="s">
        <v>2732</v>
      </c>
      <c r="E114" s="246" t="s">
        <v>2579</v>
      </c>
      <c r="F114" s="283">
        <v>40</v>
      </c>
      <c r="G114" s="153"/>
    </row>
    <row r="115" spans="1:8" ht="15" customHeight="1" x14ac:dyDescent="0.25">
      <c r="A115" s="342"/>
      <c r="B115" s="245">
        <v>46195</v>
      </c>
      <c r="C115" s="246">
        <v>2265</v>
      </c>
      <c r="D115" s="276" t="s">
        <v>2740</v>
      </c>
      <c r="E115" s="246" t="s">
        <v>2579</v>
      </c>
      <c r="F115" s="247">
        <v>40</v>
      </c>
      <c r="G115" s="153"/>
      <c r="H115" s="153"/>
    </row>
    <row r="116" spans="1:8" ht="15.75" customHeight="1" thickBot="1" x14ac:dyDescent="0.3">
      <c r="A116" s="343"/>
      <c r="B116" s="213">
        <v>46195</v>
      </c>
      <c r="C116" s="214">
        <v>2266</v>
      </c>
      <c r="D116" s="277" t="s">
        <v>2600</v>
      </c>
      <c r="E116" s="264" t="s">
        <v>2579</v>
      </c>
      <c r="F116" s="215">
        <v>50</v>
      </c>
      <c r="G116" s="313">
        <f>SUM(F113:F116)</f>
        <v>170</v>
      </c>
    </row>
    <row r="117" spans="1:8" ht="16.5" customHeight="1" x14ac:dyDescent="0.25">
      <c r="A117" s="341" t="s">
        <v>2636</v>
      </c>
      <c r="B117" s="245">
        <v>46196</v>
      </c>
      <c r="C117" s="246">
        <v>2267</v>
      </c>
      <c r="D117" s="276" t="s">
        <v>2731</v>
      </c>
      <c r="E117" s="246" t="s">
        <v>2579</v>
      </c>
      <c r="F117" s="247">
        <v>40</v>
      </c>
      <c r="G117" s="153"/>
    </row>
    <row r="118" spans="1:8" x14ac:dyDescent="0.25">
      <c r="A118" s="342"/>
      <c r="B118" s="245">
        <v>46196</v>
      </c>
      <c r="C118" s="182">
        <v>2268</v>
      </c>
      <c r="D118" s="276" t="s">
        <v>2668</v>
      </c>
      <c r="E118" s="246" t="s">
        <v>2579</v>
      </c>
      <c r="F118" s="194">
        <v>40</v>
      </c>
      <c r="G118" s="153"/>
    </row>
    <row r="119" spans="1:8" x14ac:dyDescent="0.25">
      <c r="A119" s="342"/>
      <c r="B119" s="245">
        <v>46196</v>
      </c>
      <c r="C119" s="182">
        <v>2269</v>
      </c>
      <c r="D119" s="293" t="s">
        <v>2741</v>
      </c>
      <c r="E119" s="246" t="s">
        <v>2579</v>
      </c>
      <c r="F119" s="194">
        <v>10</v>
      </c>
      <c r="G119" s="153"/>
    </row>
    <row r="120" spans="1:8" ht="15.75" thickBot="1" x14ac:dyDescent="0.3">
      <c r="A120" s="343"/>
      <c r="B120" s="213">
        <v>46196</v>
      </c>
      <c r="C120" s="214">
        <v>2270</v>
      </c>
      <c r="D120" s="277" t="s">
        <v>2633</v>
      </c>
      <c r="E120" s="264" t="s">
        <v>2579</v>
      </c>
      <c r="F120" s="215">
        <v>40</v>
      </c>
      <c r="G120" s="279">
        <f>SUM(F117:F120)</f>
        <v>130</v>
      </c>
    </row>
    <row r="121" spans="1:8" x14ac:dyDescent="0.25">
      <c r="A121" s="341" t="s">
        <v>2637</v>
      </c>
      <c r="B121" s="245">
        <v>46197</v>
      </c>
      <c r="C121" s="246">
        <v>2271</v>
      </c>
      <c r="D121" s="276" t="s">
        <v>2731</v>
      </c>
      <c r="E121" s="246" t="s">
        <v>2579</v>
      </c>
      <c r="F121" s="247">
        <v>40</v>
      </c>
      <c r="G121" s="153"/>
    </row>
    <row r="122" spans="1:8" ht="14.25" customHeight="1" x14ac:dyDescent="0.25">
      <c r="A122" s="342"/>
      <c r="B122" s="245">
        <v>46197</v>
      </c>
      <c r="C122" s="246">
        <v>2272</v>
      </c>
      <c r="D122" s="276" t="s">
        <v>2743</v>
      </c>
      <c r="E122" s="246" t="s">
        <v>2579</v>
      </c>
      <c r="F122" s="247">
        <v>40</v>
      </c>
      <c r="G122" s="153"/>
    </row>
    <row r="123" spans="1:8" x14ac:dyDescent="0.25">
      <c r="A123" s="342"/>
      <c r="B123" s="245">
        <v>46197</v>
      </c>
      <c r="C123" s="182">
        <v>2273</v>
      </c>
      <c r="D123" s="276" t="s">
        <v>2742</v>
      </c>
      <c r="E123" s="246" t="s">
        <v>2579</v>
      </c>
      <c r="F123" s="194">
        <v>40</v>
      </c>
      <c r="G123" s="153"/>
    </row>
    <row r="124" spans="1:8" ht="13.5" customHeight="1" x14ac:dyDescent="0.25">
      <c r="A124" s="342"/>
      <c r="B124" s="245">
        <v>46197</v>
      </c>
      <c r="C124" s="182">
        <v>2274</v>
      </c>
      <c r="D124" s="293" t="s">
        <v>2744</v>
      </c>
      <c r="E124" s="246" t="s">
        <v>2579</v>
      </c>
      <c r="F124" s="194">
        <v>60</v>
      </c>
      <c r="G124" s="153"/>
    </row>
    <row r="125" spans="1:8" ht="15.75" thickBot="1" x14ac:dyDescent="0.3">
      <c r="A125" s="343"/>
      <c r="B125" s="213">
        <v>46197</v>
      </c>
      <c r="C125" s="214">
        <v>2275</v>
      </c>
      <c r="D125" s="281" t="s">
        <v>2745</v>
      </c>
      <c r="E125" s="264" t="s">
        <v>2579</v>
      </c>
      <c r="F125" s="215">
        <v>40</v>
      </c>
      <c r="G125" s="279">
        <f>SUM(F121:F125)</f>
        <v>220</v>
      </c>
    </row>
    <row r="126" spans="1:8" x14ac:dyDescent="0.25">
      <c r="A126" s="341" t="s">
        <v>2638</v>
      </c>
      <c r="B126" s="245">
        <v>46198</v>
      </c>
      <c r="C126" s="246">
        <v>2276</v>
      </c>
      <c r="D126" s="276" t="s">
        <v>2731</v>
      </c>
      <c r="E126" s="246" t="s">
        <v>2579</v>
      </c>
      <c r="F126" s="247">
        <v>40</v>
      </c>
      <c r="G126" s="153"/>
    </row>
    <row r="127" spans="1:8" x14ac:dyDescent="0.25">
      <c r="A127" s="342"/>
      <c r="B127" s="245">
        <v>46198</v>
      </c>
      <c r="C127" s="182">
        <v>2277</v>
      </c>
      <c r="D127" s="276" t="s">
        <v>2746</v>
      </c>
      <c r="E127" s="246" t="s">
        <v>2579</v>
      </c>
      <c r="F127" s="194">
        <v>20</v>
      </c>
      <c r="G127" s="153"/>
    </row>
    <row r="128" spans="1:8" x14ac:dyDescent="0.25">
      <c r="A128" s="342"/>
      <c r="B128" s="245">
        <v>46198</v>
      </c>
      <c r="C128" s="182">
        <v>2278</v>
      </c>
      <c r="D128" s="276" t="s">
        <v>2747</v>
      </c>
      <c r="E128" s="246" t="s">
        <v>2579</v>
      </c>
      <c r="F128" s="194">
        <v>40</v>
      </c>
      <c r="G128" s="153"/>
    </row>
    <row r="129" spans="1:7" x14ac:dyDescent="0.25">
      <c r="A129" s="342"/>
      <c r="B129" s="245">
        <v>46198</v>
      </c>
      <c r="C129" s="182">
        <v>2279</v>
      </c>
      <c r="D129" s="293" t="s">
        <v>2748</v>
      </c>
      <c r="E129" s="246" t="s">
        <v>2579</v>
      </c>
      <c r="F129" s="194">
        <v>50</v>
      </c>
      <c r="G129" s="153"/>
    </row>
    <row r="130" spans="1:7" ht="15.75" thickBot="1" x14ac:dyDescent="0.3">
      <c r="A130" s="343"/>
      <c r="B130" s="213">
        <v>46198</v>
      </c>
      <c r="C130" s="214">
        <v>2280</v>
      </c>
      <c r="D130" s="281" t="s">
        <v>2749</v>
      </c>
      <c r="E130" s="264" t="s">
        <v>2579</v>
      </c>
      <c r="F130" s="215">
        <v>20</v>
      </c>
      <c r="G130" s="279">
        <f>SUM(F126:F130)</f>
        <v>170</v>
      </c>
    </row>
    <row r="131" spans="1:7" x14ac:dyDescent="0.25">
      <c r="A131" s="341" t="s">
        <v>2639</v>
      </c>
      <c r="B131" s="245">
        <v>46199</v>
      </c>
      <c r="C131" s="246">
        <v>2281</v>
      </c>
      <c r="D131" s="293" t="s">
        <v>2750</v>
      </c>
      <c r="E131" s="246" t="s">
        <v>2579</v>
      </c>
      <c r="F131" s="247">
        <v>60</v>
      </c>
      <c r="G131" s="153"/>
    </row>
    <row r="132" spans="1:7" x14ac:dyDescent="0.25">
      <c r="A132" s="342"/>
      <c r="B132" s="245">
        <v>46199</v>
      </c>
      <c r="C132" s="182">
        <v>2282</v>
      </c>
      <c r="D132" s="276" t="s">
        <v>2751</v>
      </c>
      <c r="E132" s="246" t="s">
        <v>2579</v>
      </c>
      <c r="F132" s="194">
        <v>40</v>
      </c>
      <c r="G132" s="153"/>
    </row>
    <row r="133" spans="1:7" ht="15.75" thickBot="1" x14ac:dyDescent="0.3">
      <c r="A133" s="343"/>
      <c r="B133" s="213">
        <v>46199</v>
      </c>
      <c r="C133" s="214">
        <v>2283</v>
      </c>
      <c r="D133" s="281" t="s">
        <v>2745</v>
      </c>
      <c r="E133" s="264" t="s">
        <v>2579</v>
      </c>
      <c r="F133" s="215">
        <v>40</v>
      </c>
      <c r="G133" s="279">
        <f>SUM(F131:F133)</f>
        <v>140</v>
      </c>
    </row>
    <row r="134" spans="1:7" x14ac:dyDescent="0.25">
      <c r="A134" s="341" t="s">
        <v>2640</v>
      </c>
      <c r="B134" s="245">
        <v>46200</v>
      </c>
      <c r="C134" s="246">
        <v>2284</v>
      </c>
      <c r="D134" s="276" t="s">
        <v>2668</v>
      </c>
      <c r="E134" s="246" t="s">
        <v>2579</v>
      </c>
      <c r="F134" s="247">
        <v>40</v>
      </c>
      <c r="G134" s="153"/>
    </row>
    <row r="135" spans="1:7" x14ac:dyDescent="0.25">
      <c r="A135" s="342"/>
      <c r="B135" s="245">
        <v>46200</v>
      </c>
      <c r="C135" s="182">
        <v>2285</v>
      </c>
      <c r="D135" s="276" t="s">
        <v>2595</v>
      </c>
      <c r="E135" s="246" t="s">
        <v>2579</v>
      </c>
      <c r="F135" s="194">
        <v>40</v>
      </c>
      <c r="G135" s="153"/>
    </row>
    <row r="136" spans="1:7" x14ac:dyDescent="0.25">
      <c r="A136" s="342"/>
      <c r="B136" s="245">
        <v>46200</v>
      </c>
      <c r="C136" s="182">
        <v>2286</v>
      </c>
      <c r="D136" s="276" t="s">
        <v>2599</v>
      </c>
      <c r="E136" s="246" t="s">
        <v>2579</v>
      </c>
      <c r="F136" s="194">
        <v>40</v>
      </c>
      <c r="G136" s="153"/>
    </row>
    <row r="137" spans="1:7" ht="15.75" thickBot="1" x14ac:dyDescent="0.3">
      <c r="A137" s="343"/>
      <c r="B137" s="213">
        <v>46200</v>
      </c>
      <c r="C137" s="214">
        <v>2287</v>
      </c>
      <c r="D137" s="281" t="s">
        <v>2752</v>
      </c>
      <c r="E137" s="264" t="s">
        <v>2579</v>
      </c>
      <c r="F137" s="215">
        <v>40</v>
      </c>
      <c r="G137" s="279">
        <f>SUM(F134:F137)</f>
        <v>160</v>
      </c>
    </row>
    <row r="138" spans="1:7" x14ac:dyDescent="0.25">
      <c r="A138" s="341" t="s">
        <v>2641</v>
      </c>
      <c r="B138" s="245">
        <v>46201</v>
      </c>
      <c r="C138" s="246">
        <v>2288</v>
      </c>
      <c r="D138" s="276" t="s">
        <v>2668</v>
      </c>
      <c r="E138" s="246" t="s">
        <v>2579</v>
      </c>
      <c r="F138" s="247">
        <v>40</v>
      </c>
      <c r="G138" s="153"/>
    </row>
    <row r="139" spans="1:7" x14ac:dyDescent="0.25">
      <c r="A139" s="342"/>
      <c r="B139" s="245">
        <v>46201</v>
      </c>
      <c r="C139" s="246">
        <v>2289</v>
      </c>
      <c r="D139" s="276" t="s">
        <v>2753</v>
      </c>
      <c r="E139" s="246" t="s">
        <v>2579</v>
      </c>
      <c r="F139" s="247">
        <v>30</v>
      </c>
      <c r="G139" s="153"/>
    </row>
    <row r="140" spans="1:7" x14ac:dyDescent="0.25">
      <c r="A140" s="342"/>
      <c r="B140" s="245">
        <v>46201</v>
      </c>
      <c r="C140" s="182">
        <v>2290</v>
      </c>
      <c r="D140" s="276" t="s">
        <v>2754</v>
      </c>
      <c r="E140" s="246" t="s">
        <v>2579</v>
      </c>
      <c r="F140" s="194">
        <v>40</v>
      </c>
      <c r="G140" s="153"/>
    </row>
    <row r="141" spans="1:7" x14ac:dyDescent="0.25">
      <c r="A141" s="342"/>
      <c r="B141" s="245">
        <v>46201</v>
      </c>
      <c r="C141" s="246">
        <v>2291</v>
      </c>
      <c r="D141" s="276" t="s">
        <v>2755</v>
      </c>
      <c r="E141" s="246" t="s">
        <v>2579</v>
      </c>
      <c r="F141" s="194">
        <v>60</v>
      </c>
      <c r="G141" s="153"/>
    </row>
    <row r="142" spans="1:7" x14ac:dyDescent="0.25">
      <c r="A142" s="342"/>
      <c r="B142" s="245">
        <v>46201</v>
      </c>
      <c r="C142" s="246">
        <v>2292</v>
      </c>
      <c r="D142" s="276" t="s">
        <v>2756</v>
      </c>
      <c r="E142" s="246" t="s">
        <v>2579</v>
      </c>
      <c r="F142" s="194">
        <v>40</v>
      </c>
      <c r="G142" s="153"/>
    </row>
    <row r="143" spans="1:7" x14ac:dyDescent="0.25">
      <c r="A143" s="342"/>
      <c r="B143" s="245">
        <v>46201</v>
      </c>
      <c r="C143" s="182">
        <v>2293</v>
      </c>
      <c r="D143" s="276" t="s">
        <v>2595</v>
      </c>
      <c r="E143" s="246" t="s">
        <v>2579</v>
      </c>
      <c r="F143" s="194">
        <v>40</v>
      </c>
      <c r="G143" s="153"/>
    </row>
    <row r="144" spans="1:7" x14ac:dyDescent="0.25">
      <c r="A144" s="342"/>
      <c r="B144" s="245">
        <v>46201</v>
      </c>
      <c r="C144" s="246">
        <v>2294</v>
      </c>
      <c r="D144" s="276" t="s">
        <v>2753</v>
      </c>
      <c r="E144" s="246" t="s">
        <v>2579</v>
      </c>
      <c r="F144" s="194">
        <v>30</v>
      </c>
      <c r="G144" s="153"/>
    </row>
    <row r="145" spans="1:13" x14ac:dyDescent="0.25">
      <c r="A145" s="342"/>
      <c r="B145" s="275">
        <v>46201</v>
      </c>
      <c r="C145" s="246">
        <v>2295</v>
      </c>
      <c r="D145" s="293" t="s">
        <v>2757</v>
      </c>
      <c r="E145" s="246" t="s">
        <v>2579</v>
      </c>
      <c r="F145" s="283">
        <v>50</v>
      </c>
      <c r="G145" s="153"/>
      <c r="H145" s="153"/>
    </row>
    <row r="146" spans="1:13" ht="15.75" thickBot="1" x14ac:dyDescent="0.3">
      <c r="A146" s="343"/>
      <c r="B146" s="216">
        <v>46201</v>
      </c>
      <c r="C146" s="214">
        <v>2296</v>
      </c>
      <c r="D146" s="277" t="s">
        <v>2757</v>
      </c>
      <c r="E146" s="264" t="s">
        <v>2579</v>
      </c>
      <c r="F146" s="215">
        <v>50</v>
      </c>
      <c r="G146" s="279">
        <f>SUM(F138:F146)</f>
        <v>380</v>
      </c>
      <c r="H146" s="153"/>
      <c r="I146" s="153">
        <f>SUM(G116+G120+G125+G130+G133+G137+G146)</f>
        <v>1370</v>
      </c>
    </row>
    <row r="147" spans="1:13" x14ac:dyDescent="0.25">
      <c r="A147" s="341" t="s">
        <v>2635</v>
      </c>
      <c r="B147" s="245">
        <v>46202</v>
      </c>
      <c r="C147" s="246">
        <v>2297</v>
      </c>
      <c r="D147" s="276" t="s">
        <v>2768</v>
      </c>
      <c r="E147" s="246" t="s">
        <v>2579</v>
      </c>
      <c r="F147" s="247">
        <v>40</v>
      </c>
      <c r="G147" s="153"/>
    </row>
    <row r="148" spans="1:13" ht="13.5" customHeight="1" thickBot="1" x14ac:dyDescent="0.3">
      <c r="A148" s="343"/>
      <c r="B148" s="213">
        <v>46202</v>
      </c>
      <c r="C148" s="264">
        <v>2298</v>
      </c>
      <c r="D148" s="277" t="s">
        <v>2668</v>
      </c>
      <c r="E148" s="264" t="s">
        <v>2579</v>
      </c>
      <c r="F148" s="215">
        <v>40</v>
      </c>
      <c r="G148" s="279">
        <f>SUM(F147:F148)</f>
        <v>80</v>
      </c>
    </row>
    <row r="149" spans="1:13" ht="14.25" customHeight="1" x14ac:dyDescent="0.25">
      <c r="A149" s="341" t="s">
        <v>2636</v>
      </c>
      <c r="B149" s="245">
        <v>46203</v>
      </c>
      <c r="C149" s="246">
        <v>2299</v>
      </c>
      <c r="D149" s="276" t="s">
        <v>2769</v>
      </c>
      <c r="E149" s="246" t="s">
        <v>2579</v>
      </c>
      <c r="F149" s="247">
        <v>40</v>
      </c>
      <c r="G149" s="153"/>
      <c r="H149" s="153"/>
    </row>
    <row r="150" spans="1:13" ht="16.5" customHeight="1" x14ac:dyDescent="0.25">
      <c r="A150" s="342"/>
      <c r="B150" s="245">
        <v>46203</v>
      </c>
      <c r="C150" s="246">
        <v>2300</v>
      </c>
      <c r="D150" s="276" t="s">
        <v>2770</v>
      </c>
      <c r="E150" s="246" t="s">
        <v>2579</v>
      </c>
      <c r="F150" s="194">
        <v>40</v>
      </c>
      <c r="G150" s="153"/>
    </row>
    <row r="151" spans="1:13" x14ac:dyDescent="0.25">
      <c r="A151" s="342"/>
      <c r="B151" s="245">
        <v>46203</v>
      </c>
      <c r="C151" s="246">
        <v>2301</v>
      </c>
      <c r="D151" s="276" t="s">
        <v>2771</v>
      </c>
      <c r="E151" s="246" t="s">
        <v>2579</v>
      </c>
      <c r="F151" s="194">
        <v>50</v>
      </c>
      <c r="G151" s="153"/>
    </row>
    <row r="152" spans="1:13" ht="15.75" thickBot="1" x14ac:dyDescent="0.3">
      <c r="A152" s="343"/>
      <c r="B152" s="216">
        <v>46203</v>
      </c>
      <c r="C152" s="214">
        <v>2302</v>
      </c>
      <c r="D152" s="277" t="s">
        <v>2745</v>
      </c>
      <c r="E152" s="264" t="s">
        <v>2579</v>
      </c>
      <c r="F152" s="215">
        <v>40</v>
      </c>
      <c r="G152" s="279">
        <f>SUM(F149:F152)</f>
        <v>170</v>
      </c>
    </row>
    <row r="153" spans="1:13" x14ac:dyDescent="0.25">
      <c r="A153" s="286"/>
      <c r="B153" s="245"/>
      <c r="C153" s="246"/>
      <c r="D153" s="268"/>
      <c r="E153" s="246"/>
      <c r="F153" s="247"/>
      <c r="G153" s="153"/>
    </row>
    <row r="154" spans="1:13" x14ac:dyDescent="0.25">
      <c r="A154" s="286"/>
      <c r="B154" s="183"/>
      <c r="C154" s="182"/>
      <c r="D154" s="266"/>
      <c r="E154" s="182"/>
      <c r="F154" s="218"/>
      <c r="M154" s="153"/>
    </row>
    <row r="155" spans="1:13" ht="15.75" thickBot="1" x14ac:dyDescent="0.3">
      <c r="A155" s="287"/>
      <c r="B155" s="216"/>
      <c r="C155" s="214"/>
      <c r="D155" s="267"/>
      <c r="E155" s="264"/>
      <c r="F155" s="265"/>
      <c r="M155" s="153"/>
    </row>
    <row r="156" spans="1:13" x14ac:dyDescent="0.25">
      <c r="A156" s="161"/>
      <c r="B156" s="182"/>
      <c r="C156" s="182"/>
      <c r="D156" s="173" t="s">
        <v>19</v>
      </c>
      <c r="E156" s="173"/>
      <c r="F156" s="231">
        <f>SUM(F39:F155)</f>
        <v>4230</v>
      </c>
    </row>
    <row r="157" spans="1:13" x14ac:dyDescent="0.25">
      <c r="A157" s="2"/>
      <c r="B157" s="2"/>
      <c r="C157" s="2"/>
      <c r="D157" s="2"/>
      <c r="E157" s="2"/>
      <c r="F157" s="2"/>
    </row>
    <row r="158" spans="1:13" x14ac:dyDescent="0.25">
      <c r="A158" s="2"/>
      <c r="B158" s="2"/>
      <c r="C158" s="2"/>
      <c r="D158" s="2"/>
      <c r="E158" s="2"/>
      <c r="F158" s="2"/>
    </row>
    <row r="159" spans="1:13" ht="15.75" x14ac:dyDescent="0.25">
      <c r="A159" s="2"/>
      <c r="B159" s="232"/>
      <c r="C159" s="232"/>
      <c r="D159" s="233" t="s">
        <v>2530</v>
      </c>
      <c r="E159" s="233"/>
      <c r="F159" s="232"/>
    </row>
    <row r="160" spans="1:13" ht="15.75" x14ac:dyDescent="0.25">
      <c r="A160" s="2"/>
      <c r="B160" s="234" t="s">
        <v>20</v>
      </c>
      <c r="C160" s="235" t="s">
        <v>21</v>
      </c>
      <c r="D160" s="234" t="s">
        <v>18</v>
      </c>
      <c r="E160" s="234" t="s">
        <v>72</v>
      </c>
      <c r="F160" s="236" t="s">
        <v>10</v>
      </c>
    </row>
    <row r="161" spans="1:7" ht="15.75" x14ac:dyDescent="0.25">
      <c r="A161" s="2"/>
      <c r="B161" s="43"/>
      <c r="C161" s="44"/>
      <c r="D161" s="45"/>
      <c r="E161" s="125"/>
      <c r="F161" s="128"/>
    </row>
    <row r="162" spans="1:7" ht="15.75" x14ac:dyDescent="0.25">
      <c r="A162" s="2"/>
      <c r="B162" s="43"/>
      <c r="C162" s="44"/>
      <c r="D162" s="45"/>
      <c r="E162" s="125"/>
      <c r="F162" s="128"/>
    </row>
    <row r="163" spans="1:7" ht="15.75" x14ac:dyDescent="0.25">
      <c r="A163" s="2"/>
      <c r="B163" s="43"/>
      <c r="C163" s="44"/>
      <c r="D163" s="45"/>
      <c r="E163" s="125"/>
      <c r="F163" s="128"/>
    </row>
    <row r="164" spans="1:7" ht="15.75" x14ac:dyDescent="0.25">
      <c r="A164" s="2"/>
      <c r="B164" s="43"/>
      <c r="C164" s="44"/>
      <c r="D164" s="45"/>
      <c r="E164" s="125"/>
      <c r="F164" s="128"/>
    </row>
    <row r="165" spans="1:7" ht="15.75" x14ac:dyDescent="0.25">
      <c r="A165" s="2"/>
      <c r="B165" s="43"/>
      <c r="C165" s="44"/>
      <c r="D165" s="45"/>
      <c r="E165" s="125"/>
      <c r="F165" s="128"/>
    </row>
    <row r="166" spans="1:7" x14ac:dyDescent="0.25">
      <c r="A166" s="2"/>
      <c r="B166" s="146"/>
      <c r="C166" s="146"/>
      <c r="D166" s="237" t="s">
        <v>19</v>
      </c>
      <c r="E166" s="237"/>
      <c r="F166" s="238">
        <f>SUM(F161:F165)</f>
        <v>0</v>
      </c>
    </row>
    <row r="167" spans="1:7" x14ac:dyDescent="0.25">
      <c r="A167" s="2"/>
      <c r="B167" s="2"/>
      <c r="C167" s="2"/>
      <c r="D167" s="2"/>
      <c r="E167" s="2"/>
      <c r="F167" s="2"/>
    </row>
    <row r="168" spans="1:7" ht="15.75" x14ac:dyDescent="0.25">
      <c r="A168" s="2"/>
      <c r="B168" s="239"/>
      <c r="C168" s="239"/>
      <c r="D168" s="240" t="s">
        <v>2529</v>
      </c>
      <c r="E168" s="240"/>
      <c r="F168" s="239"/>
    </row>
    <row r="169" spans="1:7" ht="15.75" x14ac:dyDescent="0.25">
      <c r="A169" s="2"/>
      <c r="B169" s="241" t="s">
        <v>20</v>
      </c>
      <c r="C169" s="242" t="s">
        <v>21</v>
      </c>
      <c r="D169" s="241" t="s">
        <v>18</v>
      </c>
      <c r="E169" s="241" t="s">
        <v>72</v>
      </c>
      <c r="F169" s="243" t="s">
        <v>10</v>
      </c>
    </row>
    <row r="170" spans="1:7" ht="15.75" x14ac:dyDescent="0.25">
      <c r="A170" s="2"/>
      <c r="B170" s="43"/>
      <c r="C170" s="44"/>
      <c r="D170" s="45"/>
      <c r="E170" s="125"/>
      <c r="F170" s="128"/>
      <c r="G170" s="153"/>
    </row>
    <row r="171" spans="1:7" ht="28.5" customHeight="1" x14ac:dyDescent="0.25">
      <c r="A171" s="2"/>
      <c r="B171" s="43"/>
      <c r="C171" s="44"/>
      <c r="D171" s="45"/>
      <c r="E171" s="125"/>
      <c r="F171" s="128"/>
      <c r="G171" s="153"/>
    </row>
    <row r="172" spans="1:7" ht="15.75" x14ac:dyDescent="0.25">
      <c r="A172" s="2"/>
      <c r="B172" s="43"/>
      <c r="C172" s="44"/>
      <c r="D172" s="45"/>
      <c r="E172" s="125"/>
      <c r="F172" s="128"/>
    </row>
    <row r="173" spans="1:7" ht="15.75" x14ac:dyDescent="0.25">
      <c r="A173" s="2"/>
      <c r="B173" s="43"/>
      <c r="C173" s="44"/>
      <c r="D173" s="45"/>
      <c r="E173" s="125"/>
      <c r="F173" s="128"/>
    </row>
    <row r="174" spans="1:7" ht="15.75" x14ac:dyDescent="0.25">
      <c r="A174" s="2"/>
      <c r="B174" s="43"/>
      <c r="C174" s="44"/>
      <c r="D174" s="45"/>
      <c r="E174" s="125"/>
      <c r="F174" s="128"/>
    </row>
    <row r="175" spans="1:7" ht="15.75" x14ac:dyDescent="0.25">
      <c r="A175" s="2"/>
      <c r="B175" s="43"/>
      <c r="C175" s="44"/>
      <c r="D175" s="45"/>
      <c r="E175" s="125"/>
      <c r="F175" s="128"/>
      <c r="G175" s="153"/>
    </row>
    <row r="176" spans="1:7" ht="15.75" x14ac:dyDescent="0.25">
      <c r="A176" s="2"/>
      <c r="B176" s="43"/>
      <c r="C176" s="44"/>
      <c r="D176" s="45"/>
      <c r="E176" s="125"/>
      <c r="F176" s="128"/>
      <c r="G176" s="153"/>
    </row>
    <row r="177" spans="1:7" ht="15.75" x14ac:dyDescent="0.25">
      <c r="A177" s="2"/>
      <c r="B177" s="43"/>
      <c r="C177" s="44"/>
      <c r="D177" s="45"/>
      <c r="E177" s="125"/>
      <c r="F177" s="128"/>
      <c r="G177" s="153"/>
    </row>
    <row r="178" spans="1:7" ht="15.75" x14ac:dyDescent="0.25">
      <c r="A178" s="2"/>
      <c r="B178" s="43"/>
      <c r="C178" s="44"/>
      <c r="D178" s="45"/>
      <c r="E178" s="125"/>
      <c r="F178" s="128"/>
      <c r="G178" s="153"/>
    </row>
    <row r="179" spans="1:7" ht="15.75" x14ac:dyDescent="0.25">
      <c r="A179" s="2"/>
      <c r="B179" s="43"/>
      <c r="C179" s="44"/>
      <c r="D179" s="45"/>
      <c r="E179" s="125"/>
      <c r="F179" s="128"/>
    </row>
    <row r="180" spans="1:7" ht="15.75" x14ac:dyDescent="0.25">
      <c r="A180" s="2"/>
      <c r="B180" s="43"/>
      <c r="C180" s="44"/>
      <c r="D180" s="45"/>
      <c r="E180" s="125"/>
      <c r="F180" s="128"/>
      <c r="G180" s="153"/>
    </row>
    <row r="181" spans="1:7" ht="15.75" x14ac:dyDescent="0.25">
      <c r="A181" s="2"/>
      <c r="B181" s="43"/>
      <c r="C181" s="44"/>
      <c r="D181" s="46"/>
      <c r="E181" s="126"/>
      <c r="F181" s="128"/>
      <c r="G181" s="153"/>
    </row>
    <row r="182" spans="1:7" ht="15.75" x14ac:dyDescent="0.25">
      <c r="A182" s="2"/>
      <c r="B182" s="43"/>
      <c r="C182" s="44"/>
      <c r="D182" s="46"/>
      <c r="E182" s="126"/>
      <c r="F182" s="128"/>
      <c r="G182" s="153"/>
    </row>
    <row r="183" spans="1:7" ht="15.75" x14ac:dyDescent="0.25">
      <c r="A183" s="2"/>
      <c r="B183" s="43"/>
      <c r="C183" s="44"/>
      <c r="D183" s="45"/>
      <c r="E183" s="125"/>
      <c r="F183" s="128"/>
      <c r="G183" s="153"/>
    </row>
    <row r="184" spans="1:7" ht="15.75" x14ac:dyDescent="0.25">
      <c r="A184" s="2"/>
      <c r="B184" s="43"/>
      <c r="C184" s="44"/>
      <c r="D184" s="45"/>
      <c r="E184" s="125"/>
      <c r="F184" s="128"/>
      <c r="G184" s="153"/>
    </row>
    <row r="185" spans="1:7" ht="15.75" x14ac:dyDescent="0.25">
      <c r="A185" s="2"/>
      <c r="B185" s="43"/>
      <c r="C185" s="44"/>
      <c r="D185" s="45"/>
      <c r="E185" s="44"/>
      <c r="F185" s="128"/>
    </row>
    <row r="186" spans="1:7" ht="15.75" x14ac:dyDescent="0.25">
      <c r="A186" s="2"/>
      <c r="B186" s="43"/>
      <c r="C186" s="44"/>
      <c r="D186" s="45"/>
      <c r="E186" s="44"/>
      <c r="F186" s="128"/>
    </row>
    <row r="187" spans="1:7" ht="15.75" x14ac:dyDescent="0.25">
      <c r="A187" s="2"/>
      <c r="B187" s="43"/>
      <c r="C187" s="44"/>
      <c r="D187" s="45"/>
      <c r="E187" s="44"/>
      <c r="F187" s="128"/>
    </row>
    <row r="188" spans="1:7" ht="16.5" thickBot="1" x14ac:dyDescent="0.3">
      <c r="A188" s="2"/>
      <c r="B188" s="43"/>
      <c r="C188" s="44"/>
      <c r="D188" s="45"/>
      <c r="E188" s="44"/>
      <c r="F188" s="128"/>
      <c r="G188" s="153"/>
    </row>
    <row r="189" spans="1:7" ht="15.75" thickBot="1" x14ac:dyDescent="0.3">
      <c r="B189" s="20"/>
      <c r="C189" s="21"/>
      <c r="D189" s="124" t="s">
        <v>19</v>
      </c>
      <c r="E189" s="15"/>
      <c r="F189" s="85">
        <f>SUM(F170:F188)</f>
        <v>0</v>
      </c>
    </row>
  </sheetData>
  <autoFilter ref="B12:F12" xr:uid="{5DC1803A-8EE9-4219-8901-F4BAB2D34F6C}"/>
  <mergeCells count="27">
    <mergeCell ref="A131:A133"/>
    <mergeCell ref="A134:A137"/>
    <mergeCell ref="A138:A146"/>
    <mergeCell ref="A149:A152"/>
    <mergeCell ref="A147:A148"/>
    <mergeCell ref="A113:A116"/>
    <mergeCell ref="A117:A120"/>
    <mergeCell ref="A121:A125"/>
    <mergeCell ref="A126:A130"/>
    <mergeCell ref="A104:A108"/>
    <mergeCell ref="A110:A112"/>
    <mergeCell ref="A94:A98"/>
    <mergeCell ref="A89:A93"/>
    <mergeCell ref="A99:A102"/>
    <mergeCell ref="A81:A84"/>
    <mergeCell ref="A85:A88"/>
    <mergeCell ref="A68:A70"/>
    <mergeCell ref="A71:A72"/>
    <mergeCell ref="A74:A77"/>
    <mergeCell ref="A78:A80"/>
    <mergeCell ref="A39:A42"/>
    <mergeCell ref="A43:A46"/>
    <mergeCell ref="A65:A67"/>
    <mergeCell ref="A61:A64"/>
    <mergeCell ref="A57:A60"/>
    <mergeCell ref="A52:A56"/>
    <mergeCell ref="A47:A51"/>
  </mergeCells>
  <phoneticPr fontId="24" type="noConversion"/>
  <pageMargins left="0.78740157480314965" right="0.39370078740157483" top="0.3543307086614173" bottom="0.19685039370078741" header="0.31496062992125984" footer="0"/>
  <pageSetup paperSize="9" scale="53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793A-DF25-46E5-931F-57DEC44AE431}">
  <sheetPr>
    <tabColor rgb="FF9966FF"/>
    <pageSetUpPr fitToPage="1"/>
  </sheetPr>
  <dimension ref="A2:L110"/>
  <sheetViews>
    <sheetView tabSelected="1" topLeftCell="A10" zoomScale="91" zoomScaleNormal="91" workbookViewId="0">
      <selection activeCell="H21" sqref="H21"/>
    </sheetView>
  </sheetViews>
  <sheetFormatPr baseColWidth="10" defaultRowHeight="15" x14ac:dyDescent="0.25"/>
  <cols>
    <col min="1" max="1" width="0.85546875" customWidth="1"/>
    <col min="2" max="2" width="11.85546875" bestFit="1" customWidth="1"/>
    <col min="3" max="3" width="9.140625" customWidth="1"/>
    <col min="4" max="4" width="68.140625" customWidth="1"/>
    <col min="5" max="5" width="10.28515625" customWidth="1"/>
    <col min="6" max="6" width="13.42578125" bestFit="1" customWidth="1"/>
    <col min="12" max="12" width="12.7109375" customWidth="1"/>
  </cols>
  <sheetData>
    <row r="2" spans="2:12" ht="18.75" x14ac:dyDescent="0.25">
      <c r="B2" s="352" t="s">
        <v>2531</v>
      </c>
      <c r="C2" s="353"/>
      <c r="D2" s="353"/>
      <c r="E2" s="353"/>
      <c r="F2" s="354"/>
    </row>
    <row r="3" spans="2:12" ht="15.75" x14ac:dyDescent="0.25">
      <c r="B3" s="23" t="s">
        <v>22</v>
      </c>
      <c r="C3" s="23" t="s">
        <v>71</v>
      </c>
      <c r="D3" s="23" t="s">
        <v>23</v>
      </c>
      <c r="E3" s="23" t="s">
        <v>72</v>
      </c>
      <c r="F3" s="24" t="s">
        <v>10</v>
      </c>
    </row>
    <row r="4" spans="2:12" ht="36.75" customHeight="1" x14ac:dyDescent="0.25">
      <c r="B4" s="115">
        <v>46174</v>
      </c>
      <c r="C4" s="116">
        <v>321</v>
      </c>
      <c r="D4" s="45" t="s">
        <v>2555</v>
      </c>
      <c r="E4" s="115" t="s">
        <v>2764</v>
      </c>
      <c r="F4" s="170">
        <v>37</v>
      </c>
      <c r="G4" s="6"/>
    </row>
    <row r="5" spans="2:12" ht="14.25" customHeight="1" x14ac:dyDescent="0.25">
      <c r="B5" s="115">
        <v>46174</v>
      </c>
      <c r="C5" s="116">
        <v>3605140</v>
      </c>
      <c r="D5" s="45" t="s">
        <v>2563</v>
      </c>
      <c r="E5" s="335" t="s">
        <v>2564</v>
      </c>
      <c r="F5" s="170">
        <v>77.400000000000006</v>
      </c>
      <c r="G5" s="6"/>
    </row>
    <row r="6" spans="2:12" ht="15.75" x14ac:dyDescent="0.25">
      <c r="B6" s="115">
        <v>46176</v>
      </c>
      <c r="C6" s="116" t="s">
        <v>2565</v>
      </c>
      <c r="D6" s="45" t="s">
        <v>2566</v>
      </c>
      <c r="E6" s="115" t="s">
        <v>2567</v>
      </c>
      <c r="F6" s="170">
        <v>50</v>
      </c>
      <c r="G6" s="6"/>
    </row>
    <row r="7" spans="2:12" ht="30" x14ac:dyDescent="0.25">
      <c r="B7" s="115">
        <v>46176</v>
      </c>
      <c r="C7" s="116" t="s">
        <v>2568</v>
      </c>
      <c r="D7" s="25" t="s">
        <v>2571</v>
      </c>
      <c r="E7" s="115" t="s">
        <v>2569</v>
      </c>
      <c r="F7" s="170">
        <v>75</v>
      </c>
    </row>
    <row r="8" spans="2:12" ht="15.75" x14ac:dyDescent="0.25">
      <c r="B8" s="301">
        <v>46176</v>
      </c>
      <c r="C8" s="302" t="s">
        <v>2650</v>
      </c>
      <c r="D8" s="306" t="s">
        <v>2683</v>
      </c>
      <c r="E8" s="301" t="s">
        <v>2764</v>
      </c>
      <c r="F8" s="303">
        <v>35</v>
      </c>
    </row>
    <row r="9" spans="2:12" ht="31.5" x14ac:dyDescent="0.25">
      <c r="B9" s="115">
        <v>46176</v>
      </c>
      <c r="C9" s="116" t="s">
        <v>2568</v>
      </c>
      <c r="D9" s="45" t="s">
        <v>2570</v>
      </c>
      <c r="E9" s="115" t="s">
        <v>2569</v>
      </c>
      <c r="F9" s="128">
        <v>15</v>
      </c>
      <c r="G9" s="6"/>
    </row>
    <row r="10" spans="2:12" ht="31.5" x14ac:dyDescent="0.25">
      <c r="B10" s="115">
        <v>46176</v>
      </c>
      <c r="C10" s="116">
        <v>322</v>
      </c>
      <c r="D10" s="45" t="s">
        <v>2572</v>
      </c>
      <c r="E10" s="115" t="s">
        <v>2573</v>
      </c>
      <c r="F10" s="170">
        <v>50</v>
      </c>
      <c r="G10" s="6"/>
      <c r="J10" s="337" t="s">
        <v>2590</v>
      </c>
      <c r="L10" s="6">
        <f>SUM(F13+F19+F41+F43+F60)</f>
        <v>589.5</v>
      </c>
    </row>
    <row r="11" spans="2:12" ht="31.5" x14ac:dyDescent="0.25">
      <c r="B11" s="115">
        <v>46176</v>
      </c>
      <c r="C11" s="116">
        <v>323</v>
      </c>
      <c r="D11" s="45" t="s">
        <v>2620</v>
      </c>
      <c r="E11" s="115" t="s">
        <v>2573</v>
      </c>
      <c r="F11" s="170">
        <v>200</v>
      </c>
      <c r="G11" s="6"/>
      <c r="J11" s="322" t="s">
        <v>2567</v>
      </c>
      <c r="L11" s="6">
        <f>SUM(F6+F25+F38)</f>
        <v>135</v>
      </c>
    </row>
    <row r="12" spans="2:12" ht="31.5" x14ac:dyDescent="0.25">
      <c r="B12" s="115">
        <v>46176</v>
      </c>
      <c r="C12" s="116">
        <v>324</v>
      </c>
      <c r="D12" s="45" t="s">
        <v>2574</v>
      </c>
      <c r="E12" s="115" t="s">
        <v>2575</v>
      </c>
      <c r="F12" s="170">
        <v>400</v>
      </c>
      <c r="G12" s="6"/>
      <c r="J12" t="s">
        <v>2573</v>
      </c>
      <c r="L12" s="6">
        <f>SUM(F10+F11+F14+F16+F27+F32+F39+F49+F52+F55+F57+F58+F62+F63+F65+F66+F68+F70+F72+F76)</f>
        <v>1025</v>
      </c>
    </row>
    <row r="13" spans="2:12" ht="15.75" x14ac:dyDescent="0.25">
      <c r="B13" s="301">
        <v>46178</v>
      </c>
      <c r="C13" s="302" t="s">
        <v>2650</v>
      </c>
      <c r="D13" s="305" t="s">
        <v>2682</v>
      </c>
      <c r="E13" s="301" t="s">
        <v>2590</v>
      </c>
      <c r="F13" s="303">
        <v>22.5</v>
      </c>
      <c r="G13" s="6"/>
      <c r="J13" s="323" t="s">
        <v>2730</v>
      </c>
      <c r="L13" s="6">
        <f>SUM(F35)</f>
        <v>2000</v>
      </c>
    </row>
    <row r="14" spans="2:12" ht="15" customHeight="1" x14ac:dyDescent="0.25">
      <c r="B14" s="115">
        <v>46178</v>
      </c>
      <c r="C14" s="116">
        <v>325</v>
      </c>
      <c r="D14" s="25" t="s">
        <v>2580</v>
      </c>
      <c r="E14" s="115" t="s">
        <v>2573</v>
      </c>
      <c r="F14" s="170">
        <v>20</v>
      </c>
      <c r="G14" s="6"/>
      <c r="J14" s="323"/>
      <c r="L14" s="6"/>
    </row>
    <row r="15" spans="2:12" ht="35.25" customHeight="1" x14ac:dyDescent="0.25">
      <c r="B15" s="301">
        <v>46181</v>
      </c>
      <c r="C15" s="302" t="s">
        <v>2650</v>
      </c>
      <c r="D15" s="306" t="s">
        <v>2772</v>
      </c>
      <c r="E15" s="301" t="s">
        <v>2590</v>
      </c>
      <c r="F15" s="303">
        <v>695</v>
      </c>
      <c r="G15" s="6"/>
      <c r="J15" s="323"/>
      <c r="L15" s="6"/>
    </row>
    <row r="16" spans="2:12" ht="30" x14ac:dyDescent="0.25">
      <c r="B16" s="115">
        <v>46181</v>
      </c>
      <c r="C16" s="116">
        <v>326</v>
      </c>
      <c r="D16" s="25" t="s">
        <v>2586</v>
      </c>
      <c r="E16" s="115" t="s">
        <v>2573</v>
      </c>
      <c r="F16" s="170">
        <v>15</v>
      </c>
      <c r="G16" s="6"/>
      <c r="J16" s="324" t="s">
        <v>2593</v>
      </c>
      <c r="L16" s="6">
        <f>SUM(F21+F28+F29+F34)</f>
        <v>800</v>
      </c>
    </row>
    <row r="17" spans="2:12" ht="31.5" x14ac:dyDescent="0.25">
      <c r="B17" s="115">
        <v>46181</v>
      </c>
      <c r="C17" s="116">
        <v>327</v>
      </c>
      <c r="D17" s="45" t="s">
        <v>2587</v>
      </c>
      <c r="E17" s="115" t="s">
        <v>2575</v>
      </c>
      <c r="F17" s="170">
        <v>100</v>
      </c>
      <c r="G17" s="6"/>
      <c r="J17" s="336" t="s">
        <v>2575</v>
      </c>
      <c r="L17" s="6">
        <f>SUM(F12+F17+F18+F23+F26+F31+F37+F46+F47+F48+F50+F53+F64+F67+F71+F74+F75)</f>
        <v>7440</v>
      </c>
    </row>
    <row r="18" spans="2:12" ht="31.5" x14ac:dyDescent="0.25">
      <c r="B18" s="115">
        <v>46181</v>
      </c>
      <c r="C18" s="116">
        <v>328</v>
      </c>
      <c r="D18" s="45" t="s">
        <v>2588</v>
      </c>
      <c r="E18" s="115" t="s">
        <v>2575</v>
      </c>
      <c r="F18" s="170">
        <v>100</v>
      </c>
      <c r="G18" s="6"/>
      <c r="J18" s="325" t="s">
        <v>2592</v>
      </c>
      <c r="L18" s="6">
        <f>SUM(F4+F8+F20+F40+F42+F44+F51+F54+F56+F61)</f>
        <v>644.5</v>
      </c>
    </row>
    <row r="19" spans="2:12" ht="15.75" x14ac:dyDescent="0.25">
      <c r="B19" s="115">
        <v>46181</v>
      </c>
      <c r="C19" s="116" t="s">
        <v>2565</v>
      </c>
      <c r="D19" s="45" t="s">
        <v>2589</v>
      </c>
      <c r="E19" s="115" t="s">
        <v>2590</v>
      </c>
      <c r="F19" s="170">
        <v>20</v>
      </c>
      <c r="G19" s="6"/>
      <c r="J19" s="326" t="s">
        <v>2618</v>
      </c>
      <c r="L19" s="6">
        <f>SUM(F24+F59+F73)</f>
        <v>1270</v>
      </c>
    </row>
    <row r="20" spans="2:12" ht="15.75" x14ac:dyDescent="0.25">
      <c r="B20" s="115">
        <v>46181</v>
      </c>
      <c r="C20" s="116" t="s">
        <v>2565</v>
      </c>
      <c r="D20" s="45" t="s">
        <v>2591</v>
      </c>
      <c r="E20" s="115" t="s">
        <v>2764</v>
      </c>
      <c r="F20" s="170">
        <v>18.5</v>
      </c>
      <c r="G20" s="6"/>
      <c r="J20" s="327" t="s">
        <v>2569</v>
      </c>
      <c r="L20" s="6">
        <f>SUM(F7+F9+F69)</f>
        <v>180</v>
      </c>
    </row>
    <row r="21" spans="2:12" ht="31.5" x14ac:dyDescent="0.25">
      <c r="B21" s="115">
        <v>46181</v>
      </c>
      <c r="C21" s="116">
        <v>329</v>
      </c>
      <c r="D21" s="45" t="s">
        <v>2614</v>
      </c>
      <c r="E21" s="115" t="s">
        <v>2593</v>
      </c>
      <c r="F21" s="170">
        <v>200</v>
      </c>
      <c r="G21" s="6"/>
      <c r="J21" s="328" t="s">
        <v>2564</v>
      </c>
      <c r="L21" s="6">
        <f>SUM(F5+F30)</f>
        <v>207.4</v>
      </c>
    </row>
    <row r="22" spans="2:12" ht="15.75" x14ac:dyDescent="0.25">
      <c r="B22" s="115">
        <v>46182</v>
      </c>
      <c r="C22" s="116">
        <v>330</v>
      </c>
      <c r="D22" s="125" t="s">
        <v>2582</v>
      </c>
      <c r="E22" s="115" t="s">
        <v>2582</v>
      </c>
      <c r="F22" s="170">
        <v>0</v>
      </c>
      <c r="G22" s="6"/>
    </row>
    <row r="23" spans="2:12" ht="31.5" x14ac:dyDescent="0.25">
      <c r="B23" s="115">
        <v>46182</v>
      </c>
      <c r="C23" s="116">
        <v>331</v>
      </c>
      <c r="D23" s="45" t="s">
        <v>2615</v>
      </c>
      <c r="E23" s="115" t="s">
        <v>2575</v>
      </c>
      <c r="F23" s="170">
        <v>160</v>
      </c>
      <c r="G23" s="6"/>
      <c r="L23" s="6">
        <f>SUM(L10:L21)</f>
        <v>14291.4</v>
      </c>
    </row>
    <row r="24" spans="2:12" ht="15.75" x14ac:dyDescent="0.25">
      <c r="B24" s="115">
        <v>46182</v>
      </c>
      <c r="C24" s="116" t="s">
        <v>2568</v>
      </c>
      <c r="D24" s="45" t="s">
        <v>2617</v>
      </c>
      <c r="E24" s="115" t="s">
        <v>2618</v>
      </c>
      <c r="F24" s="170">
        <v>800</v>
      </c>
    </row>
    <row r="25" spans="2:12" ht="16.5" customHeight="1" x14ac:dyDescent="0.25">
      <c r="B25" s="115">
        <v>46182</v>
      </c>
      <c r="C25" s="116" t="s">
        <v>2565</v>
      </c>
      <c r="D25" s="45" t="s">
        <v>2619</v>
      </c>
      <c r="E25" s="115" t="s">
        <v>2567</v>
      </c>
      <c r="F25" s="170">
        <v>50</v>
      </c>
    </row>
    <row r="26" spans="2:12" ht="15.75" x14ac:dyDescent="0.25">
      <c r="B26" s="115">
        <v>46183</v>
      </c>
      <c r="C26" s="116">
        <v>332</v>
      </c>
      <c r="D26" s="45" t="s">
        <v>2621</v>
      </c>
      <c r="E26" s="115" t="s">
        <v>2575</v>
      </c>
      <c r="F26" s="170">
        <v>50</v>
      </c>
      <c r="G26" s="6"/>
    </row>
    <row r="27" spans="2:12" ht="31.5" x14ac:dyDescent="0.25">
      <c r="B27" s="115">
        <v>46183</v>
      </c>
      <c r="C27" s="116">
        <v>333</v>
      </c>
      <c r="D27" s="45" t="s">
        <v>2622</v>
      </c>
      <c r="E27" s="115" t="s">
        <v>2573</v>
      </c>
      <c r="F27" s="170">
        <v>40</v>
      </c>
    </row>
    <row r="28" spans="2:12" ht="15.75" x14ac:dyDescent="0.25">
      <c r="B28" s="115">
        <v>46183</v>
      </c>
      <c r="C28" s="116">
        <v>334</v>
      </c>
      <c r="D28" s="45" t="s">
        <v>2623</v>
      </c>
      <c r="E28" s="115" t="s">
        <v>2593</v>
      </c>
      <c r="F28" s="219">
        <v>200</v>
      </c>
      <c r="G28" s="6"/>
    </row>
    <row r="29" spans="2:12" ht="31.5" x14ac:dyDescent="0.25">
      <c r="B29" s="115">
        <v>46183</v>
      </c>
      <c r="C29" s="116">
        <v>335</v>
      </c>
      <c r="D29" s="45" t="s">
        <v>2624</v>
      </c>
      <c r="E29" s="115" t="s">
        <v>2593</v>
      </c>
      <c r="F29" s="219">
        <v>200</v>
      </c>
      <c r="I29" s="6"/>
    </row>
    <row r="30" spans="2:12" ht="15.75" x14ac:dyDescent="0.25">
      <c r="B30" s="115">
        <v>46184</v>
      </c>
      <c r="C30" s="116" t="s">
        <v>2565</v>
      </c>
      <c r="D30" s="45" t="s">
        <v>2773</v>
      </c>
      <c r="E30" s="115" t="s">
        <v>2564</v>
      </c>
      <c r="F30" s="170">
        <v>130</v>
      </c>
      <c r="G30" s="6"/>
      <c r="I30" s="6"/>
    </row>
    <row r="31" spans="2:12" ht="31.5" x14ac:dyDescent="0.25">
      <c r="B31" s="115">
        <v>46185</v>
      </c>
      <c r="C31" s="116">
        <v>336</v>
      </c>
      <c r="D31" s="45" t="s">
        <v>2642</v>
      </c>
      <c r="E31" s="115" t="s">
        <v>2575</v>
      </c>
      <c r="F31" s="170">
        <v>50</v>
      </c>
    </row>
    <row r="32" spans="2:12" ht="31.5" x14ac:dyDescent="0.25">
      <c r="B32" s="115">
        <v>46185</v>
      </c>
      <c r="C32" s="116">
        <v>337</v>
      </c>
      <c r="D32" s="45" t="s">
        <v>2643</v>
      </c>
      <c r="E32" s="115" t="s">
        <v>2573</v>
      </c>
      <c r="F32" s="170">
        <v>100</v>
      </c>
    </row>
    <row r="33" spans="1:6" ht="15.75" x14ac:dyDescent="0.25">
      <c r="A33" s="130"/>
      <c r="B33" s="115">
        <v>46185</v>
      </c>
      <c r="C33" s="116">
        <v>338</v>
      </c>
      <c r="D33" s="125" t="s">
        <v>2582</v>
      </c>
      <c r="E33" s="115" t="s">
        <v>2582</v>
      </c>
      <c r="F33" s="170">
        <v>0</v>
      </c>
    </row>
    <row r="34" spans="1:6" ht="31.5" x14ac:dyDescent="0.25">
      <c r="B34" s="115">
        <v>46185</v>
      </c>
      <c r="C34" s="116">
        <v>339</v>
      </c>
      <c r="D34" s="45" t="s">
        <v>2645</v>
      </c>
      <c r="E34" s="115" t="s">
        <v>2593</v>
      </c>
      <c r="F34" s="170">
        <v>200</v>
      </c>
    </row>
    <row r="35" spans="1:6" ht="15.75" x14ac:dyDescent="0.25">
      <c r="B35" s="115">
        <v>46185</v>
      </c>
      <c r="C35" s="116">
        <v>340</v>
      </c>
      <c r="D35" s="45" t="s">
        <v>2646</v>
      </c>
      <c r="E35" s="115" t="s">
        <v>2730</v>
      </c>
      <c r="F35" s="170">
        <v>2000</v>
      </c>
    </row>
    <row r="36" spans="1:6" ht="15.75" x14ac:dyDescent="0.25">
      <c r="B36" s="115">
        <v>46186</v>
      </c>
      <c r="C36" s="116">
        <v>341</v>
      </c>
      <c r="D36" s="45" t="s">
        <v>2582</v>
      </c>
      <c r="E36" s="115" t="s">
        <v>2582</v>
      </c>
      <c r="F36" s="170">
        <v>0</v>
      </c>
    </row>
    <row r="37" spans="1:6" ht="31.5" x14ac:dyDescent="0.25">
      <c r="B37" s="115">
        <v>46186</v>
      </c>
      <c r="C37" s="116">
        <v>342</v>
      </c>
      <c r="D37" s="45" t="s">
        <v>2700</v>
      </c>
      <c r="E37" s="115" t="s">
        <v>2575</v>
      </c>
      <c r="F37" s="170">
        <v>1320</v>
      </c>
    </row>
    <row r="38" spans="1:6" ht="15.75" x14ac:dyDescent="0.25">
      <c r="B38" s="115">
        <v>46188</v>
      </c>
      <c r="C38" s="116" t="s">
        <v>2565</v>
      </c>
      <c r="D38" s="45" t="s">
        <v>2649</v>
      </c>
      <c r="E38" s="115" t="s">
        <v>2567</v>
      </c>
      <c r="F38" s="170">
        <v>35</v>
      </c>
    </row>
    <row r="39" spans="1:6" ht="31.5" x14ac:dyDescent="0.25">
      <c r="B39" s="115">
        <v>46188</v>
      </c>
      <c r="C39" s="116" t="s">
        <v>2650</v>
      </c>
      <c r="D39" s="45" t="s">
        <v>2720</v>
      </c>
      <c r="E39" s="115" t="s">
        <v>2573</v>
      </c>
      <c r="F39" s="170">
        <v>30</v>
      </c>
    </row>
    <row r="40" spans="1:6" ht="15.75" x14ac:dyDescent="0.25">
      <c r="B40" s="115">
        <v>46189</v>
      </c>
      <c r="C40" s="116" t="s">
        <v>2650</v>
      </c>
      <c r="D40" s="45" t="s">
        <v>2651</v>
      </c>
      <c r="E40" s="115" t="s">
        <v>2764</v>
      </c>
      <c r="F40" s="170">
        <v>24</v>
      </c>
    </row>
    <row r="41" spans="1:6" ht="31.5" x14ac:dyDescent="0.25">
      <c r="B41" s="115">
        <v>46189</v>
      </c>
      <c r="C41" s="116" t="s">
        <v>2650</v>
      </c>
      <c r="D41" s="45" t="s">
        <v>2652</v>
      </c>
      <c r="E41" s="115" t="s">
        <v>2590</v>
      </c>
      <c r="F41" s="170">
        <v>60</v>
      </c>
    </row>
    <row r="42" spans="1:6" ht="15.75" x14ac:dyDescent="0.25">
      <c r="B42" s="115">
        <v>46189</v>
      </c>
      <c r="C42" s="116" t="s">
        <v>2650</v>
      </c>
      <c r="D42" s="45" t="s">
        <v>2653</v>
      </c>
      <c r="E42" s="115" t="s">
        <v>2764</v>
      </c>
      <c r="F42" s="170">
        <v>39</v>
      </c>
    </row>
    <row r="43" spans="1:6" ht="15.75" x14ac:dyDescent="0.25">
      <c r="B43" s="301">
        <v>46190</v>
      </c>
      <c r="C43" s="302" t="s">
        <v>2650</v>
      </c>
      <c r="D43" s="305" t="s">
        <v>2680</v>
      </c>
      <c r="E43" s="301" t="s">
        <v>2590</v>
      </c>
      <c r="F43" s="303">
        <v>43</v>
      </c>
    </row>
    <row r="44" spans="1:6" ht="15.75" x14ac:dyDescent="0.25">
      <c r="B44" s="301">
        <v>46190</v>
      </c>
      <c r="C44" s="302" t="s">
        <v>2650</v>
      </c>
      <c r="D44" s="305" t="s">
        <v>2681</v>
      </c>
      <c r="E44" s="301" t="s">
        <v>2765</v>
      </c>
      <c r="F44" s="303">
        <v>112</v>
      </c>
    </row>
    <row r="45" spans="1:6" ht="15.75" x14ac:dyDescent="0.25">
      <c r="B45" s="301">
        <v>46191</v>
      </c>
      <c r="C45" s="302">
        <v>343</v>
      </c>
      <c r="D45" s="304" t="s">
        <v>2582</v>
      </c>
      <c r="E45" s="301" t="s">
        <v>2582</v>
      </c>
      <c r="F45" s="303">
        <v>0</v>
      </c>
    </row>
    <row r="46" spans="1:6" ht="31.5" x14ac:dyDescent="0.25">
      <c r="B46" s="115">
        <v>46191</v>
      </c>
      <c r="C46" s="116">
        <v>344</v>
      </c>
      <c r="D46" s="45" t="s">
        <v>2677</v>
      </c>
      <c r="E46" s="115" t="s">
        <v>2575</v>
      </c>
      <c r="F46" s="170">
        <v>340</v>
      </c>
    </row>
    <row r="47" spans="1:6" ht="31.5" x14ac:dyDescent="0.25">
      <c r="B47" s="115">
        <v>46192</v>
      </c>
      <c r="C47" s="116">
        <v>345</v>
      </c>
      <c r="D47" s="45" t="s">
        <v>2678</v>
      </c>
      <c r="E47" s="115" t="s">
        <v>2575</v>
      </c>
      <c r="F47" s="170">
        <v>70</v>
      </c>
    </row>
    <row r="48" spans="1:6" ht="15.75" x14ac:dyDescent="0.25">
      <c r="B48" s="115">
        <v>46192</v>
      </c>
      <c r="C48" s="116">
        <v>346</v>
      </c>
      <c r="D48" s="45" t="s">
        <v>2679</v>
      </c>
      <c r="E48" s="115" t="s">
        <v>2575</v>
      </c>
      <c r="F48" s="170">
        <v>70</v>
      </c>
    </row>
    <row r="49" spans="2:11" ht="31.5" x14ac:dyDescent="0.25">
      <c r="B49" s="301">
        <v>46195</v>
      </c>
      <c r="C49" s="302">
        <v>347</v>
      </c>
      <c r="D49" s="305" t="s">
        <v>2687</v>
      </c>
      <c r="E49" s="301" t="s">
        <v>2573</v>
      </c>
      <c r="F49" s="303">
        <v>30</v>
      </c>
    </row>
    <row r="50" spans="2:11" ht="15.75" x14ac:dyDescent="0.25">
      <c r="B50" s="115">
        <v>46196</v>
      </c>
      <c r="C50" s="116">
        <v>348</v>
      </c>
      <c r="D50" s="45" t="s">
        <v>2685</v>
      </c>
      <c r="E50" s="115" t="s">
        <v>2575</v>
      </c>
      <c r="F50" s="170">
        <v>320</v>
      </c>
      <c r="H50">
        <v>640</v>
      </c>
      <c r="K50" t="s">
        <v>51</v>
      </c>
    </row>
    <row r="51" spans="2:11" ht="15.75" x14ac:dyDescent="0.25">
      <c r="B51" s="301">
        <v>46197</v>
      </c>
      <c r="C51" s="302" t="s">
        <v>2565</v>
      </c>
      <c r="D51" s="305" t="s">
        <v>2702</v>
      </c>
      <c r="E51" s="301" t="s">
        <v>2764</v>
      </c>
      <c r="F51" s="303">
        <v>70</v>
      </c>
    </row>
    <row r="52" spans="2:11" ht="30" x14ac:dyDescent="0.25">
      <c r="B52" s="115">
        <v>46197</v>
      </c>
      <c r="C52" s="116">
        <v>349</v>
      </c>
      <c r="D52" s="25" t="s">
        <v>2699</v>
      </c>
      <c r="E52" s="115" t="s">
        <v>2573</v>
      </c>
      <c r="F52" s="26">
        <v>40</v>
      </c>
      <c r="I52" t="s">
        <v>51</v>
      </c>
    </row>
    <row r="53" spans="2:11" ht="31.5" customHeight="1" x14ac:dyDescent="0.25">
      <c r="B53" s="115">
        <v>46197</v>
      </c>
      <c r="C53" s="116">
        <v>350</v>
      </c>
      <c r="D53" s="25" t="s">
        <v>2701</v>
      </c>
      <c r="E53" s="115" t="s">
        <v>2575</v>
      </c>
      <c r="F53" s="170">
        <v>360</v>
      </c>
    </row>
    <row r="54" spans="2:11" ht="31.5" x14ac:dyDescent="0.25">
      <c r="B54" s="115">
        <v>46198</v>
      </c>
      <c r="C54" s="116" t="s">
        <v>2650</v>
      </c>
      <c r="D54" s="45" t="s">
        <v>2703</v>
      </c>
      <c r="E54" s="115" t="s">
        <v>2764</v>
      </c>
      <c r="F54" s="170">
        <v>273</v>
      </c>
    </row>
    <row r="55" spans="2:11" ht="31.5" x14ac:dyDescent="0.25">
      <c r="B55" s="115">
        <v>46198</v>
      </c>
      <c r="C55" s="116">
        <v>351</v>
      </c>
      <c r="D55" s="45" t="s">
        <v>2707</v>
      </c>
      <c r="E55" s="115" t="s">
        <v>2573</v>
      </c>
      <c r="F55" s="170">
        <v>60</v>
      </c>
      <c r="G55" s="6"/>
      <c r="H55" s="6"/>
    </row>
    <row r="56" spans="2:11" ht="15.75" x14ac:dyDescent="0.25">
      <c r="B56" s="115">
        <v>46198</v>
      </c>
      <c r="C56" s="116" t="s">
        <v>2650</v>
      </c>
      <c r="D56" s="25" t="s">
        <v>2708</v>
      </c>
      <c r="E56" s="115" t="s">
        <v>2764</v>
      </c>
      <c r="F56" s="26">
        <v>33</v>
      </c>
      <c r="G56" s="6"/>
      <c r="H56" s="6"/>
    </row>
    <row r="57" spans="2:11" ht="30" x14ac:dyDescent="0.25">
      <c r="B57" s="301">
        <v>46198</v>
      </c>
      <c r="C57" s="302">
        <v>352</v>
      </c>
      <c r="D57" s="306" t="s">
        <v>2712</v>
      </c>
      <c r="E57" s="301" t="s">
        <v>2573</v>
      </c>
      <c r="F57" s="319">
        <v>30</v>
      </c>
      <c r="G57" s="6"/>
      <c r="H57" s="6"/>
    </row>
    <row r="58" spans="2:11" ht="15.75" x14ac:dyDescent="0.25">
      <c r="B58" s="115">
        <v>46198</v>
      </c>
      <c r="C58" s="116">
        <v>353</v>
      </c>
      <c r="D58" s="25" t="s">
        <v>2711</v>
      </c>
      <c r="E58" s="115" t="s">
        <v>2573</v>
      </c>
      <c r="F58" s="26">
        <v>30</v>
      </c>
      <c r="G58" s="6"/>
      <c r="H58" s="6"/>
    </row>
    <row r="59" spans="2:11" ht="15.75" x14ac:dyDescent="0.25">
      <c r="B59" s="115">
        <v>46198</v>
      </c>
      <c r="C59" s="116">
        <v>354</v>
      </c>
      <c r="D59" s="25" t="s">
        <v>2709</v>
      </c>
      <c r="E59" s="115" t="s">
        <v>2618</v>
      </c>
      <c r="F59" s="26">
        <v>400</v>
      </c>
      <c r="G59" s="6"/>
      <c r="H59" s="6"/>
    </row>
    <row r="60" spans="2:11" ht="30" x14ac:dyDescent="0.25">
      <c r="B60" s="115">
        <v>46198</v>
      </c>
      <c r="C60" s="116">
        <v>355</v>
      </c>
      <c r="D60" s="25" t="s">
        <v>2710</v>
      </c>
      <c r="E60" s="115" t="s">
        <v>2590</v>
      </c>
      <c r="F60" s="26">
        <v>444</v>
      </c>
      <c r="G60" s="6"/>
      <c r="H60" s="6"/>
    </row>
    <row r="61" spans="2:11" ht="15.75" x14ac:dyDescent="0.25">
      <c r="B61" s="301">
        <v>46198</v>
      </c>
      <c r="C61" s="302" t="s">
        <v>2650</v>
      </c>
      <c r="D61" s="306" t="s">
        <v>2715</v>
      </c>
      <c r="E61" s="301" t="s">
        <v>2764</v>
      </c>
      <c r="F61" s="319">
        <v>3</v>
      </c>
      <c r="G61" s="6"/>
      <c r="H61" s="6"/>
    </row>
    <row r="62" spans="2:11" ht="15.75" x14ac:dyDescent="0.25">
      <c r="B62" s="115">
        <v>46199</v>
      </c>
      <c r="C62" s="116">
        <v>356</v>
      </c>
      <c r="D62" s="25" t="s">
        <v>2713</v>
      </c>
      <c r="E62" s="115" t="s">
        <v>2573</v>
      </c>
      <c r="F62" s="26">
        <v>50</v>
      </c>
      <c r="G62" s="6"/>
      <c r="H62" s="6"/>
    </row>
    <row r="63" spans="2:11" ht="30" x14ac:dyDescent="0.25">
      <c r="B63" s="301">
        <v>46199</v>
      </c>
      <c r="C63" s="302">
        <v>357</v>
      </c>
      <c r="D63" s="306" t="s">
        <v>2716</v>
      </c>
      <c r="E63" s="301" t="s">
        <v>2573</v>
      </c>
      <c r="F63" s="319">
        <v>10</v>
      </c>
      <c r="G63" s="6"/>
      <c r="H63" s="6"/>
    </row>
    <row r="64" spans="2:11" ht="30" x14ac:dyDescent="0.25">
      <c r="B64" s="301">
        <v>46203</v>
      </c>
      <c r="C64" s="302">
        <v>358</v>
      </c>
      <c r="D64" s="306" t="s">
        <v>2718</v>
      </c>
      <c r="E64" s="301" t="s">
        <v>2575</v>
      </c>
      <c r="F64" s="319">
        <v>220</v>
      </c>
      <c r="G64" s="6"/>
      <c r="H64" s="6"/>
    </row>
    <row r="65" spans="2:11" ht="15.75" x14ac:dyDescent="0.25">
      <c r="B65" s="301">
        <v>46203</v>
      </c>
      <c r="C65" s="302">
        <v>359</v>
      </c>
      <c r="D65" s="306" t="s">
        <v>2719</v>
      </c>
      <c r="E65" s="301" t="s">
        <v>2573</v>
      </c>
      <c r="F65" s="319">
        <v>30</v>
      </c>
      <c r="G65" s="6"/>
      <c r="H65" s="6"/>
    </row>
    <row r="66" spans="2:11" ht="30" x14ac:dyDescent="0.25">
      <c r="B66" s="301">
        <v>46203</v>
      </c>
      <c r="C66" s="302">
        <v>360</v>
      </c>
      <c r="D66" s="306" t="s">
        <v>2721</v>
      </c>
      <c r="E66" s="301" t="s">
        <v>2573</v>
      </c>
      <c r="F66" s="319">
        <v>15</v>
      </c>
      <c r="G66" s="6"/>
      <c r="H66" s="6"/>
    </row>
    <row r="67" spans="2:11" ht="30" x14ac:dyDescent="0.25">
      <c r="B67" s="115">
        <v>46203</v>
      </c>
      <c r="C67" s="116">
        <v>361</v>
      </c>
      <c r="D67" s="25" t="s">
        <v>2722</v>
      </c>
      <c r="E67" s="115" t="s">
        <v>2575</v>
      </c>
      <c r="F67" s="26">
        <v>1500</v>
      </c>
      <c r="G67" s="6"/>
      <c r="H67" s="6"/>
    </row>
    <row r="68" spans="2:11" ht="30" x14ac:dyDescent="0.25">
      <c r="B68" s="115">
        <v>46203</v>
      </c>
      <c r="C68" s="116">
        <v>362</v>
      </c>
      <c r="D68" s="25" t="s">
        <v>2723</v>
      </c>
      <c r="E68" s="115" t="s">
        <v>2573</v>
      </c>
      <c r="F68" s="26">
        <v>40</v>
      </c>
      <c r="G68" s="6"/>
      <c r="H68" s="6"/>
    </row>
    <row r="69" spans="2:11" ht="15.75" x14ac:dyDescent="0.25">
      <c r="B69" s="301">
        <v>46203</v>
      </c>
      <c r="C69" s="302" t="s">
        <v>2568</v>
      </c>
      <c r="D69" s="306" t="s">
        <v>2724</v>
      </c>
      <c r="E69" s="301" t="s">
        <v>2569</v>
      </c>
      <c r="F69" s="319">
        <v>90</v>
      </c>
      <c r="G69" s="6"/>
      <c r="H69" s="6"/>
    </row>
    <row r="70" spans="2:11" ht="15.75" x14ac:dyDescent="0.25">
      <c r="B70" s="301">
        <v>46203</v>
      </c>
      <c r="C70" s="302">
        <v>363</v>
      </c>
      <c r="D70" s="306" t="s">
        <v>2733</v>
      </c>
      <c r="E70" s="301" t="s">
        <v>2573</v>
      </c>
      <c r="F70" s="319">
        <v>100</v>
      </c>
      <c r="G70" s="6"/>
      <c r="H70" s="6"/>
    </row>
    <row r="71" spans="2:11" ht="30" x14ac:dyDescent="0.25">
      <c r="B71" s="301">
        <v>46203</v>
      </c>
      <c r="C71" s="302">
        <v>364</v>
      </c>
      <c r="D71" s="306" t="s">
        <v>2734</v>
      </c>
      <c r="E71" s="301" t="s">
        <v>2575</v>
      </c>
      <c r="F71" s="319">
        <v>280</v>
      </c>
      <c r="G71" s="6"/>
      <c r="H71" s="6"/>
    </row>
    <row r="72" spans="2:11" ht="30" x14ac:dyDescent="0.25">
      <c r="B72" s="301">
        <v>46203</v>
      </c>
      <c r="C72" s="302">
        <v>365</v>
      </c>
      <c r="D72" s="306" t="s">
        <v>2735</v>
      </c>
      <c r="E72" s="301" t="s">
        <v>2573</v>
      </c>
      <c r="F72" s="319">
        <v>100</v>
      </c>
      <c r="G72" s="6"/>
      <c r="H72" s="6"/>
    </row>
    <row r="73" spans="2:11" ht="30" x14ac:dyDescent="0.25">
      <c r="B73" s="115">
        <v>46203</v>
      </c>
      <c r="C73" s="116">
        <v>366</v>
      </c>
      <c r="D73" s="25" t="s">
        <v>2736</v>
      </c>
      <c r="E73" s="115" t="s">
        <v>2618</v>
      </c>
      <c r="F73" s="26">
        <v>70</v>
      </c>
      <c r="G73" s="6"/>
      <c r="H73" s="6"/>
    </row>
    <row r="74" spans="2:11" ht="30" x14ac:dyDescent="0.25">
      <c r="B74" s="301">
        <v>46203</v>
      </c>
      <c r="C74" s="302">
        <v>367</v>
      </c>
      <c r="D74" s="306" t="s">
        <v>2737</v>
      </c>
      <c r="E74" s="301" t="s">
        <v>2575</v>
      </c>
      <c r="F74" s="319">
        <v>1800</v>
      </c>
      <c r="G74" s="6"/>
      <c r="H74" s="6"/>
    </row>
    <row r="75" spans="2:11" ht="15.75" x14ac:dyDescent="0.25">
      <c r="B75" s="115">
        <v>46203</v>
      </c>
      <c r="C75" s="116">
        <v>368</v>
      </c>
      <c r="D75" s="25" t="s">
        <v>2738</v>
      </c>
      <c r="E75" s="115" t="s">
        <v>2575</v>
      </c>
      <c r="F75" s="26">
        <v>300</v>
      </c>
      <c r="G75" s="6"/>
      <c r="H75" s="6"/>
    </row>
    <row r="76" spans="2:11" ht="30" x14ac:dyDescent="0.25">
      <c r="B76" s="301">
        <v>46203</v>
      </c>
      <c r="C76" s="302">
        <v>369</v>
      </c>
      <c r="D76" s="306" t="s">
        <v>2739</v>
      </c>
      <c r="E76" s="301" t="s">
        <v>2573</v>
      </c>
      <c r="F76" s="319">
        <v>35</v>
      </c>
      <c r="G76" s="6"/>
      <c r="H76" s="6"/>
    </row>
    <row r="77" spans="2:11" ht="15.75" x14ac:dyDescent="0.25">
      <c r="B77" s="115"/>
      <c r="C77" s="116"/>
      <c r="D77" s="25"/>
      <c r="E77" s="43"/>
      <c r="F77" s="26"/>
      <c r="G77" s="6"/>
      <c r="H77" s="6"/>
    </row>
    <row r="78" spans="2:11" ht="18" thickBot="1" x14ac:dyDescent="0.3">
      <c r="B78" s="147"/>
      <c r="C78" s="148"/>
      <c r="D78" s="149" t="s">
        <v>24</v>
      </c>
      <c r="E78" s="148"/>
      <c r="F78" s="150">
        <f>SUM(F4:F77)</f>
        <v>14986.4</v>
      </c>
      <c r="G78" s="6"/>
      <c r="H78" s="6"/>
      <c r="K78" t="s">
        <v>2387</v>
      </c>
    </row>
    <row r="79" spans="2:11" x14ac:dyDescent="0.25">
      <c r="F79" s="6"/>
    </row>
    <row r="83" spans="2:7" ht="15.75" x14ac:dyDescent="0.25">
      <c r="B83" s="355" t="s">
        <v>2532</v>
      </c>
      <c r="C83" s="355"/>
      <c r="D83" s="355"/>
      <c r="E83" s="355"/>
      <c r="F83" s="355"/>
    </row>
    <row r="84" spans="2:7" ht="15.75" x14ac:dyDescent="0.25">
      <c r="B84" s="168" t="s">
        <v>22</v>
      </c>
      <c r="C84" s="168" t="s">
        <v>71</v>
      </c>
      <c r="D84" s="168" t="s">
        <v>23</v>
      </c>
      <c r="E84" s="168" t="s">
        <v>72</v>
      </c>
      <c r="F84" s="169" t="s">
        <v>10</v>
      </c>
    </row>
    <row r="85" spans="2:7" ht="15.75" x14ac:dyDescent="0.25">
      <c r="B85" s="115"/>
      <c r="C85" s="116"/>
      <c r="D85" s="45"/>
      <c r="E85" s="115"/>
      <c r="F85" s="170"/>
    </row>
    <row r="86" spans="2:7" ht="15.75" x14ac:dyDescent="0.25">
      <c r="B86" s="115"/>
      <c r="C86" s="116"/>
      <c r="D86" s="45"/>
      <c r="E86" s="115"/>
      <c r="F86" s="170"/>
    </row>
    <row r="87" spans="2:7" ht="15.75" x14ac:dyDescent="0.25">
      <c r="B87" s="115"/>
      <c r="C87" s="116"/>
      <c r="D87" s="45"/>
      <c r="E87" s="115"/>
      <c r="F87" s="26"/>
      <c r="G87" s="6"/>
    </row>
    <row r="88" spans="2:7" ht="15.75" x14ac:dyDescent="0.25">
      <c r="B88" s="115"/>
      <c r="C88" s="116"/>
      <c r="D88" s="45"/>
      <c r="E88" s="115"/>
      <c r="F88" s="26"/>
    </row>
    <row r="89" spans="2:7" ht="15.75" x14ac:dyDescent="0.25">
      <c r="B89" s="115"/>
      <c r="C89" s="116"/>
      <c r="D89" s="45"/>
      <c r="E89" s="115"/>
      <c r="F89" s="170"/>
      <c r="G89" s="6"/>
    </row>
    <row r="90" spans="2:7" ht="15.75" x14ac:dyDescent="0.25">
      <c r="B90" s="115"/>
      <c r="C90" s="116"/>
      <c r="D90" s="45"/>
      <c r="E90" s="115"/>
      <c r="F90" s="170"/>
    </row>
    <row r="91" spans="2:7" ht="15.75" x14ac:dyDescent="0.25">
      <c r="B91" s="115"/>
      <c r="C91" s="116"/>
      <c r="D91" s="45"/>
      <c r="E91" s="115"/>
      <c r="F91" s="170"/>
    </row>
    <row r="92" spans="2:7" ht="15.75" x14ac:dyDescent="0.25">
      <c r="B92" s="115"/>
      <c r="C92" s="116"/>
      <c r="D92" s="45"/>
      <c r="E92" s="115"/>
      <c r="F92" s="170"/>
    </row>
    <row r="93" spans="2:7" ht="15.75" x14ac:dyDescent="0.25">
      <c r="B93" s="115"/>
      <c r="C93" s="116"/>
      <c r="D93" s="45"/>
      <c r="E93" s="115"/>
      <c r="F93" s="170"/>
    </row>
    <row r="94" spans="2:7" ht="15.75" x14ac:dyDescent="0.25">
      <c r="B94" s="115"/>
      <c r="C94" s="116"/>
      <c r="D94" s="45"/>
      <c r="E94" s="115"/>
      <c r="F94" s="26"/>
    </row>
    <row r="95" spans="2:7" ht="15.75" x14ac:dyDescent="0.25">
      <c r="B95" s="115"/>
      <c r="C95" s="116"/>
      <c r="D95" s="45"/>
      <c r="E95" s="115"/>
      <c r="F95" s="26"/>
    </row>
    <row r="96" spans="2:7" ht="15.75" x14ac:dyDescent="0.25">
      <c r="B96" s="115"/>
      <c r="C96" s="116"/>
      <c r="D96" s="45"/>
      <c r="E96" s="115"/>
      <c r="F96" s="26"/>
    </row>
    <row r="97" spans="2:8" ht="15.75" x14ac:dyDescent="0.25">
      <c r="B97" s="115"/>
      <c r="C97" s="116"/>
      <c r="D97" s="45"/>
      <c r="E97" s="115"/>
      <c r="F97" s="26"/>
    </row>
    <row r="98" spans="2:8" ht="15.75" x14ac:dyDescent="0.25">
      <c r="B98" s="115"/>
      <c r="C98" s="116"/>
      <c r="D98" s="45"/>
      <c r="E98" s="115"/>
      <c r="F98" s="26"/>
    </row>
    <row r="99" spans="2:8" ht="15.75" x14ac:dyDescent="0.25">
      <c r="B99" s="115"/>
      <c r="C99" s="116"/>
      <c r="D99" s="45"/>
      <c r="E99" s="115"/>
      <c r="F99" s="26"/>
      <c r="G99" s="6"/>
      <c r="H99" s="6"/>
    </row>
    <row r="100" spans="2:8" ht="15.75" x14ac:dyDescent="0.25">
      <c r="B100" s="115"/>
      <c r="C100" s="116"/>
      <c r="D100" s="45"/>
      <c r="E100" s="115"/>
      <c r="F100" s="170"/>
      <c r="G100" s="6"/>
    </row>
    <row r="101" spans="2:8" ht="17.25" x14ac:dyDescent="0.3">
      <c r="B101" s="40"/>
      <c r="C101" s="79"/>
      <c r="D101" s="41" t="s">
        <v>2299</v>
      </c>
      <c r="E101" s="79"/>
      <c r="F101" s="86">
        <f>SUM(F85:F100)</f>
        <v>0</v>
      </c>
    </row>
    <row r="104" spans="2:8" ht="15.75" x14ac:dyDescent="0.25">
      <c r="B104" s="47"/>
      <c r="C104" s="48"/>
      <c r="D104" s="48" t="s">
        <v>2301</v>
      </c>
      <c r="E104" s="48"/>
      <c r="F104" s="49"/>
    </row>
    <row r="105" spans="2:8" ht="15.75" x14ac:dyDescent="0.25">
      <c r="B105" s="28" t="s">
        <v>22</v>
      </c>
      <c r="C105" s="28" t="s">
        <v>2302</v>
      </c>
      <c r="D105" s="28" t="s">
        <v>23</v>
      </c>
      <c r="E105" s="28"/>
      <c r="F105" s="39" t="s">
        <v>10</v>
      </c>
    </row>
    <row r="106" spans="2:8" ht="15.75" x14ac:dyDescent="0.25">
      <c r="B106" s="27"/>
      <c r="C106" s="27"/>
      <c r="D106" s="29"/>
      <c r="E106" s="27"/>
      <c r="F106" s="30"/>
    </row>
    <row r="107" spans="2:8" ht="15.75" x14ac:dyDescent="0.25">
      <c r="B107" s="27"/>
      <c r="C107" s="27"/>
      <c r="D107" s="29"/>
      <c r="E107" s="27"/>
      <c r="F107" s="30"/>
    </row>
    <row r="108" spans="2:8" ht="15.75" x14ac:dyDescent="0.25">
      <c r="B108" s="27"/>
      <c r="C108" s="27"/>
      <c r="D108" s="29"/>
      <c r="E108" s="27"/>
      <c r="F108" s="30"/>
    </row>
    <row r="109" spans="2:8" ht="15.75" x14ac:dyDescent="0.25">
      <c r="B109" s="27"/>
      <c r="C109" s="27"/>
      <c r="D109" s="29"/>
      <c r="E109" s="27"/>
      <c r="F109" s="30"/>
    </row>
    <row r="110" spans="2:8" ht="17.25" x14ac:dyDescent="0.3">
      <c r="B110" s="42"/>
      <c r="C110" s="80"/>
      <c r="D110" s="41" t="s">
        <v>25</v>
      </c>
      <c r="E110" s="80"/>
      <c r="F110" s="86">
        <f>SUBTOTAL(109,F106:F109)</f>
        <v>0</v>
      </c>
    </row>
  </sheetData>
  <autoFilter ref="B3:F78" xr:uid="{54C2793A-DF25-46E5-931F-57DEC44AE431}"/>
  <mergeCells count="2">
    <mergeCell ref="B2:F2"/>
    <mergeCell ref="B83:F83"/>
  </mergeCells>
  <pageMargins left="0.59055118110236227" right="0" top="0.19685039370078741" bottom="0" header="0" footer="0"/>
  <pageSetup scale="53" fitToHeight="0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EE2E-6F42-4688-AC50-591934050E0A}">
  <sheetPr>
    <pageSetUpPr fitToPage="1"/>
  </sheetPr>
  <dimension ref="B1:I36"/>
  <sheetViews>
    <sheetView topLeftCell="A16" workbookViewId="0">
      <selection activeCell="B1" sqref="B1:H36"/>
    </sheetView>
  </sheetViews>
  <sheetFormatPr baseColWidth="10" defaultRowHeight="15" x14ac:dyDescent="0.25"/>
  <cols>
    <col min="1" max="1" width="2.28515625" customWidth="1"/>
    <col min="2" max="2" width="3.85546875" customWidth="1"/>
    <col min="4" max="4" width="12.140625" customWidth="1"/>
    <col min="6" max="6" width="26.5703125" customWidth="1"/>
    <col min="7" max="7" width="15.42578125" bestFit="1" customWidth="1"/>
    <col min="8" max="8" width="3.85546875" customWidth="1"/>
  </cols>
  <sheetData>
    <row r="1" spans="2:9" ht="21" x14ac:dyDescent="0.25">
      <c r="D1" s="53" t="s">
        <v>2758</v>
      </c>
    </row>
    <row r="2" spans="2:9" ht="10.5" customHeight="1" x14ac:dyDescent="0.25">
      <c r="D2" s="53"/>
    </row>
    <row r="3" spans="2:9" x14ac:dyDescent="0.25">
      <c r="B3" s="54"/>
      <c r="C3" s="55"/>
      <c r="D3" s="55"/>
      <c r="E3" s="55"/>
      <c r="F3" s="55"/>
      <c r="G3" s="55"/>
      <c r="H3" s="56"/>
    </row>
    <row r="4" spans="2:9" ht="18.75" x14ac:dyDescent="0.3">
      <c r="B4" s="57"/>
      <c r="C4" s="59"/>
      <c r="D4" s="60"/>
      <c r="E4" s="61" t="s">
        <v>58</v>
      </c>
      <c r="F4" s="61"/>
      <c r="G4" s="61" t="s">
        <v>10</v>
      </c>
      <c r="H4" s="58"/>
      <c r="I4" t="s">
        <v>2323</v>
      </c>
    </row>
    <row r="5" spans="2:9" ht="18.75" x14ac:dyDescent="0.25">
      <c r="B5" s="57"/>
      <c r="C5" s="62" t="s">
        <v>59</v>
      </c>
      <c r="D5" s="63"/>
      <c r="E5" s="63"/>
      <c r="F5" s="63"/>
      <c r="H5" s="58"/>
    </row>
    <row r="6" spans="2:9" ht="14.25" customHeight="1" x14ac:dyDescent="0.25">
      <c r="B6" s="57"/>
      <c r="D6" s="64" t="s">
        <v>60</v>
      </c>
      <c r="E6" s="65">
        <v>147</v>
      </c>
      <c r="F6" s="66">
        <v>4397.5</v>
      </c>
      <c r="G6" s="356">
        <f>F5+F6+F7+F8+F9+F10+F11</f>
        <v>8875</v>
      </c>
      <c r="H6" s="58"/>
    </row>
    <row r="7" spans="2:9" ht="14.25" customHeight="1" x14ac:dyDescent="0.25">
      <c r="B7" s="57"/>
      <c r="D7" s="67" t="s">
        <v>61</v>
      </c>
      <c r="E7" s="65">
        <v>132</v>
      </c>
      <c r="F7" s="66">
        <v>3615.5</v>
      </c>
      <c r="G7" s="356"/>
      <c r="H7" s="58"/>
    </row>
    <row r="8" spans="2:9" ht="14.25" customHeight="1" x14ac:dyDescent="0.25">
      <c r="B8" s="57"/>
      <c r="D8" s="64" t="s">
        <v>62</v>
      </c>
      <c r="E8" s="65">
        <v>25</v>
      </c>
      <c r="F8" s="66">
        <v>604</v>
      </c>
      <c r="G8" s="356"/>
      <c r="H8" s="58"/>
    </row>
    <row r="9" spans="2:9" ht="14.25" customHeight="1" x14ac:dyDescent="0.25">
      <c r="B9" s="57"/>
      <c r="D9" s="64" t="s">
        <v>63</v>
      </c>
      <c r="E9" s="65">
        <v>11</v>
      </c>
      <c r="F9" s="66">
        <v>214</v>
      </c>
      <c r="G9" s="356"/>
      <c r="H9" s="58"/>
    </row>
    <row r="10" spans="2:9" ht="14.25" customHeight="1" x14ac:dyDescent="0.25">
      <c r="B10" s="57"/>
      <c r="D10" s="64" t="s">
        <v>64</v>
      </c>
      <c r="E10" s="65">
        <v>1</v>
      </c>
      <c r="F10" s="66">
        <v>6.5</v>
      </c>
      <c r="G10" s="356"/>
      <c r="H10" s="58"/>
    </row>
    <row r="11" spans="2:9" ht="14.25" customHeight="1" x14ac:dyDescent="0.25">
      <c r="B11" s="57"/>
      <c r="D11" s="64" t="s">
        <v>65</v>
      </c>
      <c r="E11" s="65">
        <v>4</v>
      </c>
      <c r="F11" s="66">
        <v>37.5</v>
      </c>
      <c r="G11" s="356"/>
      <c r="H11" s="58"/>
    </row>
    <row r="12" spans="2:9" ht="14.25" customHeight="1" x14ac:dyDescent="0.25">
      <c r="B12" s="57"/>
      <c r="C12" s="63"/>
      <c r="D12" s="62" t="s">
        <v>1310</v>
      </c>
      <c r="E12" s="62">
        <f>SUM(E6:E11)</f>
        <v>320</v>
      </c>
      <c r="F12" s="78"/>
      <c r="G12" s="68"/>
      <c r="H12" s="58"/>
    </row>
    <row r="13" spans="2:9" ht="18.75" customHeight="1" x14ac:dyDescent="0.25">
      <c r="B13" s="57"/>
      <c r="C13" s="357" t="s">
        <v>1313</v>
      </c>
      <c r="D13" s="357"/>
      <c r="E13" s="357"/>
      <c r="F13" s="357"/>
      <c r="G13" s="153">
        <v>3629</v>
      </c>
      <c r="H13" s="58"/>
    </row>
    <row r="14" spans="2:9" ht="18.75" x14ac:dyDescent="0.25">
      <c r="B14" s="57"/>
      <c r="C14" s="62" t="s">
        <v>2725</v>
      </c>
      <c r="D14" s="63"/>
      <c r="E14" s="63"/>
      <c r="F14" s="63"/>
      <c r="G14" s="68">
        <v>300</v>
      </c>
      <c r="H14" s="58"/>
    </row>
    <row r="15" spans="2:9" ht="18.75" x14ac:dyDescent="0.25">
      <c r="B15" s="57"/>
      <c r="C15" s="62" t="s">
        <v>1312</v>
      </c>
      <c r="D15" s="63"/>
      <c r="E15" s="63"/>
      <c r="F15" s="63"/>
      <c r="G15" s="68">
        <v>422.5</v>
      </c>
      <c r="H15" s="58"/>
    </row>
    <row r="16" spans="2:9" ht="18.75" x14ac:dyDescent="0.25">
      <c r="B16" s="57"/>
      <c r="C16" s="62" t="s">
        <v>2269</v>
      </c>
      <c r="D16" s="63"/>
      <c r="E16" s="63"/>
      <c r="F16" s="63"/>
      <c r="G16" s="68">
        <v>4230</v>
      </c>
      <c r="H16" s="58"/>
    </row>
    <row r="17" spans="2:8" ht="18.75" x14ac:dyDescent="0.25">
      <c r="B17" s="57"/>
      <c r="C17" s="62" t="s">
        <v>66</v>
      </c>
      <c r="D17" s="63"/>
      <c r="E17" s="63"/>
      <c r="F17" s="63"/>
      <c r="G17" s="68">
        <v>56</v>
      </c>
      <c r="H17" s="58"/>
    </row>
    <row r="18" spans="2:8" ht="18.75" x14ac:dyDescent="0.25">
      <c r="B18" s="57"/>
      <c r="C18" s="63"/>
      <c r="D18" s="63"/>
      <c r="E18" s="63"/>
      <c r="F18" s="69" t="s">
        <v>67</v>
      </c>
      <c r="G18" s="70">
        <f>SUM(G6:G17)</f>
        <v>17512.5</v>
      </c>
      <c r="H18" s="58"/>
    </row>
    <row r="19" spans="2:8" ht="18.75" x14ac:dyDescent="0.25">
      <c r="B19" s="57"/>
      <c r="C19" s="63"/>
      <c r="D19" s="63"/>
      <c r="E19" s="63"/>
      <c r="F19" s="63"/>
      <c r="G19" s="63"/>
      <c r="H19" s="58"/>
    </row>
    <row r="20" spans="2:8" ht="18.75" x14ac:dyDescent="0.25">
      <c r="B20" s="57"/>
      <c r="C20" s="71"/>
      <c r="D20" s="72"/>
      <c r="E20" s="71" t="s">
        <v>68</v>
      </c>
      <c r="F20" s="72"/>
      <c r="G20" s="61" t="s">
        <v>10</v>
      </c>
      <c r="H20" s="58"/>
    </row>
    <row r="21" spans="2:8" ht="18.75" x14ac:dyDescent="0.25">
      <c r="B21" s="57"/>
      <c r="C21" s="358" t="s">
        <v>2726</v>
      </c>
      <c r="D21" s="358"/>
      <c r="E21" s="358"/>
      <c r="F21" s="358"/>
      <c r="G21" s="77">
        <v>1284.5</v>
      </c>
      <c r="H21" s="58"/>
    </row>
    <row r="22" spans="2:8" ht="23.25" customHeight="1" x14ac:dyDescent="0.25">
      <c r="B22" s="57"/>
      <c r="C22" s="358" t="s">
        <v>2763</v>
      </c>
      <c r="D22" s="358"/>
      <c r="E22" s="358"/>
      <c r="F22" s="358"/>
      <c r="G22" s="77">
        <v>135</v>
      </c>
      <c r="H22" s="58"/>
    </row>
    <row r="23" spans="2:8" ht="45" customHeight="1" x14ac:dyDescent="0.25">
      <c r="B23" s="57"/>
      <c r="C23" s="321" t="s">
        <v>2766</v>
      </c>
      <c r="D23" s="334"/>
      <c r="E23" s="73"/>
      <c r="F23" s="73"/>
      <c r="G23" s="77">
        <v>644.5</v>
      </c>
      <c r="H23" s="58"/>
    </row>
    <row r="24" spans="2:8" ht="18.75" x14ac:dyDescent="0.25">
      <c r="B24" s="57"/>
      <c r="C24" s="359" t="s">
        <v>2727</v>
      </c>
      <c r="D24" s="359"/>
      <c r="E24" s="359"/>
      <c r="F24" s="359"/>
      <c r="G24" s="77">
        <v>1025</v>
      </c>
      <c r="H24" s="58"/>
    </row>
    <row r="25" spans="2:8" ht="18.75" x14ac:dyDescent="0.25">
      <c r="B25" s="57"/>
      <c r="C25" s="360" t="s">
        <v>2762</v>
      </c>
      <c r="D25" s="360"/>
      <c r="E25" s="360"/>
      <c r="F25" s="360"/>
      <c r="G25" s="77">
        <v>1270</v>
      </c>
      <c r="H25" s="58"/>
    </row>
    <row r="26" spans="2:8" ht="31.5" customHeight="1" x14ac:dyDescent="0.25">
      <c r="B26" s="57"/>
      <c r="C26" s="358" t="s">
        <v>2728</v>
      </c>
      <c r="D26" s="358"/>
      <c r="E26" s="358"/>
      <c r="F26" s="358"/>
      <c r="G26" s="77">
        <v>2000</v>
      </c>
      <c r="H26" s="58"/>
    </row>
    <row r="27" spans="2:8" ht="27.75" customHeight="1" x14ac:dyDescent="0.25">
      <c r="B27" s="57"/>
      <c r="C27" s="73" t="s">
        <v>2729</v>
      </c>
      <c r="D27" s="73"/>
      <c r="E27" s="73"/>
      <c r="F27" s="73"/>
      <c r="G27" s="77">
        <v>800</v>
      </c>
      <c r="H27" s="58"/>
    </row>
    <row r="28" spans="2:8" ht="27" customHeight="1" x14ac:dyDescent="0.25">
      <c r="B28" s="57"/>
      <c r="C28" s="359" t="s">
        <v>2761</v>
      </c>
      <c r="D28" s="359"/>
      <c r="E28" s="359"/>
      <c r="F28" s="359"/>
      <c r="G28" s="77">
        <v>7440</v>
      </c>
      <c r="H28" s="58"/>
    </row>
    <row r="29" spans="2:8" ht="44.25" customHeight="1" x14ac:dyDescent="0.25">
      <c r="B29" s="57"/>
      <c r="C29" s="358" t="s">
        <v>2760</v>
      </c>
      <c r="D29" s="358"/>
      <c r="E29" s="358"/>
      <c r="F29" s="358"/>
      <c r="G29" s="77">
        <v>207.4</v>
      </c>
      <c r="H29" s="58"/>
    </row>
    <row r="30" spans="2:8" ht="34.5" customHeight="1" x14ac:dyDescent="0.25">
      <c r="B30" s="57"/>
      <c r="C30" s="359" t="s">
        <v>2759</v>
      </c>
      <c r="D30" s="359"/>
      <c r="E30" s="359"/>
      <c r="F30" s="359"/>
      <c r="G30" s="77">
        <v>180</v>
      </c>
      <c r="H30" s="58"/>
    </row>
    <row r="31" spans="2:8" ht="18.75" x14ac:dyDescent="0.25">
      <c r="B31" s="57"/>
      <c r="C31" s="73"/>
      <c r="D31" s="73"/>
      <c r="E31" s="73"/>
      <c r="F31" s="73"/>
      <c r="G31" s="68"/>
      <c r="H31" s="58"/>
    </row>
    <row r="32" spans="2:8" ht="31.5" customHeight="1" x14ac:dyDescent="0.25">
      <c r="B32" s="57"/>
      <c r="C32" s="73"/>
      <c r="D32" s="73"/>
      <c r="E32" s="73"/>
      <c r="F32" s="69" t="s">
        <v>27</v>
      </c>
      <c r="G32" s="70">
        <f>SUM(G21:G30)</f>
        <v>14986.4</v>
      </c>
      <c r="H32" s="58"/>
    </row>
    <row r="33" spans="2:8" ht="18.75" x14ac:dyDescent="0.25">
      <c r="B33" s="57"/>
      <c r="C33" s="73"/>
      <c r="D33" s="73"/>
      <c r="E33" s="73"/>
      <c r="F33" s="73"/>
      <c r="G33" s="68"/>
      <c r="H33" s="58"/>
    </row>
    <row r="34" spans="2:8" ht="21" x14ac:dyDescent="0.25">
      <c r="B34" s="57"/>
      <c r="C34" s="64"/>
      <c r="D34" s="63"/>
      <c r="E34" s="63"/>
      <c r="F34" s="74" t="s">
        <v>69</v>
      </c>
      <c r="G34" s="75">
        <f>G18-G32</f>
        <v>2526.1000000000004</v>
      </c>
      <c r="H34" s="58"/>
    </row>
    <row r="35" spans="2:8" ht="15.75" thickBot="1" x14ac:dyDescent="0.3">
      <c r="B35" s="329"/>
      <c r="C35" s="272"/>
      <c r="D35" s="272"/>
      <c r="E35" s="272"/>
      <c r="F35" s="272"/>
      <c r="G35" s="272"/>
      <c r="H35" s="330"/>
    </row>
    <row r="36" spans="2:8" ht="21" x14ac:dyDescent="0.25">
      <c r="C36" s="64"/>
      <c r="D36" s="63"/>
      <c r="E36" s="331"/>
      <c r="F36" s="332"/>
      <c r="G36" s="333"/>
      <c r="H36" s="127"/>
    </row>
  </sheetData>
  <mergeCells count="10">
    <mergeCell ref="G6:G11"/>
    <mergeCell ref="C13:F13"/>
    <mergeCell ref="C21:F21"/>
    <mergeCell ref="C22:F22"/>
    <mergeCell ref="C30:F30"/>
    <mergeCell ref="C25:F25"/>
    <mergeCell ref="C26:F26"/>
    <mergeCell ref="C29:F29"/>
    <mergeCell ref="C28:F28"/>
    <mergeCell ref="C24:F24"/>
  </mergeCells>
  <pageMargins left="1.1023622047244095" right="0.70866141732283472" top="0.74803149606299213" bottom="0.74803149606299213" header="0.31496062992125984" footer="0.31496062992125984"/>
  <pageSetup scale="86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5372-08A5-460E-8DF3-1BB34C2D5151}">
  <sheetPr filterMode="1">
    <pageSetUpPr fitToPage="1"/>
  </sheetPr>
  <dimension ref="A1:H183"/>
  <sheetViews>
    <sheetView topLeftCell="A10" zoomScaleNormal="100" workbookViewId="0">
      <selection activeCell="D43" sqref="D43"/>
    </sheetView>
  </sheetViews>
  <sheetFormatPr baseColWidth="10" defaultRowHeight="15" x14ac:dyDescent="0.25"/>
  <cols>
    <col min="1" max="1" width="7" customWidth="1"/>
    <col min="2" max="2" width="9.28515625" customWidth="1"/>
    <col min="3" max="3" width="10.5703125" customWidth="1"/>
    <col min="4" max="4" width="46.140625" customWidth="1"/>
    <col min="5" max="5" width="29" customWidth="1"/>
    <col min="6" max="6" width="39.5703125" customWidth="1"/>
    <col min="7" max="7" width="3" hidden="1" customWidth="1"/>
    <col min="8" max="8" width="11.42578125" customWidth="1"/>
  </cols>
  <sheetData>
    <row r="1" spans="1:8" x14ac:dyDescent="0.25">
      <c r="A1" s="361" t="s">
        <v>2303</v>
      </c>
      <c r="B1" s="361"/>
      <c r="C1" s="361"/>
      <c r="D1" s="361"/>
      <c r="E1" s="361"/>
      <c r="F1" s="361"/>
    </row>
    <row r="3" spans="1:8" ht="44.25" customHeight="1" x14ac:dyDescent="0.25">
      <c r="A3" s="175" t="s">
        <v>2304</v>
      </c>
      <c r="B3" s="175" t="s">
        <v>2</v>
      </c>
      <c r="C3" s="175" t="s">
        <v>3</v>
      </c>
      <c r="D3" s="175" t="s">
        <v>4</v>
      </c>
      <c r="E3" s="175" t="s">
        <v>2305</v>
      </c>
      <c r="F3" s="175" t="s">
        <v>1314</v>
      </c>
    </row>
    <row r="4" spans="1:8" x14ac:dyDescent="0.25">
      <c r="A4" s="256" t="s">
        <v>1367</v>
      </c>
      <c r="B4" s="253" t="s">
        <v>1366</v>
      </c>
      <c r="C4" s="254" t="s">
        <v>16</v>
      </c>
      <c r="D4" s="256" t="s">
        <v>1365</v>
      </c>
      <c r="E4" s="253" t="s">
        <v>56</v>
      </c>
      <c r="F4" s="259" t="s">
        <v>2461</v>
      </c>
      <c r="H4" s="2" t="s">
        <v>2525</v>
      </c>
    </row>
    <row r="5" spans="1:8" ht="15.75" customHeight="1" x14ac:dyDescent="0.25">
      <c r="A5" s="257" t="s">
        <v>201</v>
      </c>
      <c r="B5" s="254" t="s">
        <v>202</v>
      </c>
      <c r="C5" s="254" t="s">
        <v>13</v>
      </c>
      <c r="D5" s="257" t="s">
        <v>203</v>
      </c>
      <c r="E5" s="254" t="s">
        <v>204</v>
      </c>
      <c r="F5" s="259" t="s">
        <v>2460</v>
      </c>
      <c r="H5" s="2" t="s">
        <v>2525</v>
      </c>
    </row>
    <row r="6" spans="1:8" x14ac:dyDescent="0.25">
      <c r="A6" s="257" t="s">
        <v>1395</v>
      </c>
      <c r="B6" s="254" t="s">
        <v>1396</v>
      </c>
      <c r="C6" s="254" t="s">
        <v>13</v>
      </c>
      <c r="D6" s="257" t="s">
        <v>1397</v>
      </c>
      <c r="E6" s="254" t="s">
        <v>43</v>
      </c>
      <c r="F6" s="259" t="s">
        <v>2462</v>
      </c>
      <c r="H6" s="2" t="s">
        <v>2525</v>
      </c>
    </row>
    <row r="7" spans="1:8" x14ac:dyDescent="0.25">
      <c r="A7" s="257" t="s">
        <v>225</v>
      </c>
      <c r="B7" s="254" t="s">
        <v>226</v>
      </c>
      <c r="C7" s="254" t="s">
        <v>13</v>
      </c>
      <c r="D7" s="257" t="s">
        <v>227</v>
      </c>
      <c r="E7" s="254" t="s">
        <v>43</v>
      </c>
      <c r="F7" s="259" t="s">
        <v>2463</v>
      </c>
      <c r="H7" s="2" t="s">
        <v>2525</v>
      </c>
    </row>
    <row r="8" spans="1:8" x14ac:dyDescent="0.25">
      <c r="A8" s="257" t="s">
        <v>1401</v>
      </c>
      <c r="B8" s="254" t="s">
        <v>1402</v>
      </c>
      <c r="C8" s="254" t="s">
        <v>13</v>
      </c>
      <c r="D8" s="257" t="s">
        <v>1403</v>
      </c>
      <c r="E8" s="254" t="s">
        <v>43</v>
      </c>
      <c r="F8" s="259" t="s">
        <v>2465</v>
      </c>
      <c r="H8" s="2" t="s">
        <v>2525</v>
      </c>
    </row>
    <row r="9" spans="1:8" x14ac:dyDescent="0.25">
      <c r="A9" s="257" t="s">
        <v>1407</v>
      </c>
      <c r="B9" s="254" t="s">
        <v>1408</v>
      </c>
      <c r="C9" s="254" t="s">
        <v>13</v>
      </c>
      <c r="D9" s="257" t="s">
        <v>1409</v>
      </c>
      <c r="E9" s="254" t="s">
        <v>43</v>
      </c>
      <c r="F9" s="259" t="s">
        <v>2464</v>
      </c>
      <c r="H9" s="2" t="s">
        <v>2525</v>
      </c>
    </row>
    <row r="10" spans="1:8" x14ac:dyDescent="0.25">
      <c r="A10" s="257" t="s">
        <v>279</v>
      </c>
      <c r="B10" s="254" t="s">
        <v>280</v>
      </c>
      <c r="C10" s="254" t="s">
        <v>13</v>
      </c>
      <c r="D10" s="257" t="s">
        <v>281</v>
      </c>
      <c r="E10" s="254" t="s">
        <v>43</v>
      </c>
      <c r="F10" s="259" t="s">
        <v>2462</v>
      </c>
      <c r="H10" s="2" t="s">
        <v>2525</v>
      </c>
    </row>
    <row r="11" spans="1:8" x14ac:dyDescent="0.25">
      <c r="A11" s="257" t="s">
        <v>1422</v>
      </c>
      <c r="B11" s="254" t="s">
        <v>1423</v>
      </c>
      <c r="C11" s="254" t="s">
        <v>12</v>
      </c>
      <c r="D11" s="257" t="s">
        <v>1424</v>
      </c>
      <c r="E11" s="254" t="s">
        <v>47</v>
      </c>
      <c r="F11" s="259" t="s">
        <v>2466</v>
      </c>
      <c r="H11" s="2" t="s">
        <v>2525</v>
      </c>
    </row>
    <row r="12" spans="1:8" x14ac:dyDescent="0.25">
      <c r="A12" s="257" t="s">
        <v>2008</v>
      </c>
      <c r="B12" s="254" t="s">
        <v>2009</v>
      </c>
      <c r="C12" s="254" t="s">
        <v>12</v>
      </c>
      <c r="D12" s="257" t="s">
        <v>2010</v>
      </c>
      <c r="E12" s="254" t="s">
        <v>316</v>
      </c>
      <c r="F12" s="259" t="s">
        <v>2462</v>
      </c>
      <c r="H12" s="2" t="s">
        <v>2525</v>
      </c>
    </row>
    <row r="13" spans="1:8" x14ac:dyDescent="0.25">
      <c r="A13" s="257" t="s">
        <v>320</v>
      </c>
      <c r="B13" s="254" t="s">
        <v>321</v>
      </c>
      <c r="C13" s="254" t="s">
        <v>12</v>
      </c>
      <c r="D13" s="257" t="s">
        <v>322</v>
      </c>
      <c r="E13" s="254" t="s">
        <v>46</v>
      </c>
      <c r="F13" s="259" t="s">
        <v>2468</v>
      </c>
      <c r="H13" s="2" t="s">
        <v>2525</v>
      </c>
    </row>
    <row r="14" spans="1:8" x14ac:dyDescent="0.25">
      <c r="A14" s="257" t="s">
        <v>1446</v>
      </c>
      <c r="B14" s="254" t="s">
        <v>1447</v>
      </c>
      <c r="C14" s="254" t="s">
        <v>12</v>
      </c>
      <c r="D14" s="257" t="s">
        <v>1448</v>
      </c>
      <c r="E14" s="254" t="s">
        <v>316</v>
      </c>
      <c r="F14" s="259" t="s">
        <v>2467</v>
      </c>
      <c r="H14" s="2" t="s">
        <v>2525</v>
      </c>
    </row>
    <row r="15" spans="1:8" x14ac:dyDescent="0.25">
      <c r="A15" s="257" t="s">
        <v>371</v>
      </c>
      <c r="B15" s="254" t="s">
        <v>372</v>
      </c>
      <c r="C15" s="254" t="s">
        <v>12</v>
      </c>
      <c r="D15" s="257" t="s">
        <v>373</v>
      </c>
      <c r="E15" s="254" t="s">
        <v>43</v>
      </c>
      <c r="F15" s="259" t="s">
        <v>2466</v>
      </c>
      <c r="H15" s="2" t="s">
        <v>2525</v>
      </c>
    </row>
    <row r="16" spans="1:8" ht="16.5" customHeight="1" x14ac:dyDescent="0.25">
      <c r="A16" s="257" t="s">
        <v>1466</v>
      </c>
      <c r="B16" s="254" t="s">
        <v>1467</v>
      </c>
      <c r="C16" s="254" t="s">
        <v>12</v>
      </c>
      <c r="D16" s="257" t="s">
        <v>1468</v>
      </c>
      <c r="E16" s="254" t="s">
        <v>90</v>
      </c>
      <c r="F16" s="259" t="s">
        <v>2469</v>
      </c>
      <c r="H16" s="2" t="s">
        <v>2525</v>
      </c>
    </row>
    <row r="17" spans="1:8" x14ac:dyDescent="0.25">
      <c r="A17" s="257" t="s">
        <v>396</v>
      </c>
      <c r="B17" s="254" t="s">
        <v>397</v>
      </c>
      <c r="C17" s="254" t="s">
        <v>12</v>
      </c>
      <c r="D17" s="257" t="s">
        <v>398</v>
      </c>
      <c r="E17" s="254" t="s">
        <v>44</v>
      </c>
      <c r="F17" s="259" t="s">
        <v>2462</v>
      </c>
      <c r="H17" s="2" t="s">
        <v>2525</v>
      </c>
    </row>
    <row r="18" spans="1:8" x14ac:dyDescent="0.25">
      <c r="A18" s="257" t="s">
        <v>409</v>
      </c>
      <c r="B18" s="254" t="s">
        <v>410</v>
      </c>
      <c r="C18" s="254" t="s">
        <v>12</v>
      </c>
      <c r="D18" s="257" t="s">
        <v>411</v>
      </c>
      <c r="E18" s="254" t="s">
        <v>305</v>
      </c>
      <c r="F18" s="259" t="s">
        <v>2463</v>
      </c>
      <c r="H18" s="2" t="s">
        <v>2525</v>
      </c>
    </row>
    <row r="19" spans="1:8" x14ac:dyDescent="0.25">
      <c r="A19" s="257" t="s">
        <v>2025</v>
      </c>
      <c r="B19" s="254" t="s">
        <v>2026</v>
      </c>
      <c r="C19" s="254" t="s">
        <v>12</v>
      </c>
      <c r="D19" s="257" t="s">
        <v>2027</v>
      </c>
      <c r="E19" s="254" t="s">
        <v>1462</v>
      </c>
      <c r="F19" s="259" t="s">
        <v>2470</v>
      </c>
      <c r="H19" s="2" t="s">
        <v>2525</v>
      </c>
    </row>
    <row r="20" spans="1:8" x14ac:dyDescent="0.25">
      <c r="A20" s="257" t="s">
        <v>1484</v>
      </c>
      <c r="B20" s="254" t="s">
        <v>1485</v>
      </c>
      <c r="C20" s="254" t="s">
        <v>12</v>
      </c>
      <c r="D20" s="257" t="s">
        <v>1486</v>
      </c>
      <c r="E20" s="254" t="s">
        <v>44</v>
      </c>
      <c r="F20" s="259" t="s">
        <v>2471</v>
      </c>
      <c r="H20" s="2" t="s">
        <v>2525</v>
      </c>
    </row>
    <row r="21" spans="1:8" ht="15.75" customHeight="1" x14ac:dyDescent="0.25">
      <c r="A21" s="257" t="s">
        <v>1498</v>
      </c>
      <c r="B21" s="254" t="s">
        <v>1499</v>
      </c>
      <c r="C21" s="254" t="s">
        <v>12</v>
      </c>
      <c r="D21" s="257" t="s">
        <v>1500</v>
      </c>
      <c r="E21" s="254" t="s">
        <v>329</v>
      </c>
      <c r="F21" s="259" t="s">
        <v>2472</v>
      </c>
      <c r="H21" s="2" t="s">
        <v>2525</v>
      </c>
    </row>
    <row r="22" spans="1:8" ht="17.25" customHeight="1" x14ac:dyDescent="0.25">
      <c r="A22" s="257" t="s">
        <v>1501</v>
      </c>
      <c r="B22" s="254" t="s">
        <v>1502</v>
      </c>
      <c r="C22" s="254" t="s">
        <v>12</v>
      </c>
      <c r="D22" s="257" t="s">
        <v>1503</v>
      </c>
      <c r="E22" s="254" t="s">
        <v>1504</v>
      </c>
      <c r="F22" s="259" t="s">
        <v>2473</v>
      </c>
      <c r="H22" s="2" t="s">
        <v>2525</v>
      </c>
    </row>
    <row r="23" spans="1:8" x14ac:dyDescent="0.25">
      <c r="A23" s="257" t="s">
        <v>1511</v>
      </c>
      <c r="B23" s="254" t="s">
        <v>1512</v>
      </c>
      <c r="C23" s="254" t="s">
        <v>12</v>
      </c>
      <c r="D23" s="257" t="s">
        <v>1513</v>
      </c>
      <c r="E23" s="254" t="s">
        <v>46</v>
      </c>
      <c r="F23" s="259" t="s">
        <v>2466</v>
      </c>
      <c r="H23" s="2" t="s">
        <v>2525</v>
      </c>
    </row>
    <row r="24" spans="1:8" ht="16.5" customHeight="1" x14ac:dyDescent="0.25">
      <c r="A24" s="257" t="s">
        <v>2042</v>
      </c>
      <c r="B24" s="254" t="s">
        <v>2043</v>
      </c>
      <c r="C24" s="254" t="s">
        <v>12</v>
      </c>
      <c r="D24" s="257" t="s">
        <v>2044</v>
      </c>
      <c r="E24" s="254" t="s">
        <v>1525</v>
      </c>
      <c r="F24" s="259" t="s">
        <v>2473</v>
      </c>
      <c r="H24" s="2" t="s">
        <v>2525</v>
      </c>
    </row>
    <row r="25" spans="1:8" x14ac:dyDescent="0.25">
      <c r="A25" s="257" t="s">
        <v>1529</v>
      </c>
      <c r="B25" s="254" t="s">
        <v>1530</v>
      </c>
      <c r="C25" s="254" t="s">
        <v>12</v>
      </c>
      <c r="D25" s="257" t="s">
        <v>1531</v>
      </c>
      <c r="E25" s="254" t="s">
        <v>1532</v>
      </c>
      <c r="F25" s="259" t="s">
        <v>2474</v>
      </c>
      <c r="H25" s="2" t="s">
        <v>2525</v>
      </c>
    </row>
    <row r="26" spans="1:8" x14ac:dyDescent="0.25">
      <c r="A26" s="257" t="s">
        <v>516</v>
      </c>
      <c r="B26" s="254" t="s">
        <v>517</v>
      </c>
      <c r="C26" s="254" t="s">
        <v>12</v>
      </c>
      <c r="D26" s="257" t="s">
        <v>518</v>
      </c>
      <c r="E26" s="254" t="s">
        <v>125</v>
      </c>
      <c r="F26" s="259" t="s">
        <v>2475</v>
      </c>
      <c r="H26" s="2" t="s">
        <v>2525</v>
      </c>
    </row>
    <row r="27" spans="1:8" x14ac:dyDescent="0.25">
      <c r="A27" s="257" t="s">
        <v>2057</v>
      </c>
      <c r="B27" s="254" t="s">
        <v>2058</v>
      </c>
      <c r="C27" s="254" t="s">
        <v>12</v>
      </c>
      <c r="D27" s="257" t="s">
        <v>2059</v>
      </c>
      <c r="E27" s="254" t="s">
        <v>49</v>
      </c>
      <c r="F27" s="259" t="s">
        <v>2466</v>
      </c>
      <c r="H27" s="2" t="s">
        <v>2525</v>
      </c>
    </row>
    <row r="28" spans="1:8" x14ac:dyDescent="0.25">
      <c r="A28" s="257" t="s">
        <v>1540</v>
      </c>
      <c r="B28" s="254" t="s">
        <v>1541</v>
      </c>
      <c r="C28" s="254" t="s">
        <v>12</v>
      </c>
      <c r="D28" s="257" t="s">
        <v>1542</v>
      </c>
      <c r="E28" s="254" t="s">
        <v>1543</v>
      </c>
      <c r="F28" s="259" t="s">
        <v>2466</v>
      </c>
      <c r="H28" s="2" t="s">
        <v>2525</v>
      </c>
    </row>
    <row r="29" spans="1:8" x14ac:dyDescent="0.25">
      <c r="A29" s="257" t="s">
        <v>1550</v>
      </c>
      <c r="B29" s="254" t="s">
        <v>1551</v>
      </c>
      <c r="C29" s="254" t="s">
        <v>12</v>
      </c>
      <c r="D29" s="257" t="s">
        <v>1552</v>
      </c>
      <c r="E29" s="254" t="s">
        <v>125</v>
      </c>
      <c r="F29" s="259" t="s">
        <v>2476</v>
      </c>
      <c r="H29" s="2" t="s">
        <v>2525</v>
      </c>
    </row>
    <row r="30" spans="1:8" x14ac:dyDescent="0.25">
      <c r="A30" s="257" t="s">
        <v>1553</v>
      </c>
      <c r="B30" s="254" t="s">
        <v>1554</v>
      </c>
      <c r="C30" s="254" t="s">
        <v>12</v>
      </c>
      <c r="D30" s="257" t="s">
        <v>1552</v>
      </c>
      <c r="E30" s="254" t="s">
        <v>125</v>
      </c>
      <c r="F30" s="259" t="s">
        <v>2477</v>
      </c>
      <c r="H30" s="2" t="s">
        <v>2525</v>
      </c>
    </row>
    <row r="31" spans="1:8" x14ac:dyDescent="0.25">
      <c r="A31" s="257" t="s">
        <v>1555</v>
      </c>
      <c r="B31" s="254" t="s">
        <v>1556</v>
      </c>
      <c r="C31" s="254" t="s">
        <v>12</v>
      </c>
      <c r="D31" s="257" t="s">
        <v>1557</v>
      </c>
      <c r="E31" s="254" t="s">
        <v>1558</v>
      </c>
      <c r="F31" s="257" t="s">
        <v>2478</v>
      </c>
      <c r="H31" s="2" t="s">
        <v>2525</v>
      </c>
    </row>
    <row r="32" spans="1:8" x14ac:dyDescent="0.25">
      <c r="A32" s="257" t="s">
        <v>2063</v>
      </c>
      <c r="B32" s="254" t="s">
        <v>2064</v>
      </c>
      <c r="C32" s="254" t="s">
        <v>12</v>
      </c>
      <c r="D32" s="257" t="s">
        <v>2065</v>
      </c>
      <c r="E32" s="254" t="s">
        <v>2066</v>
      </c>
      <c r="F32" s="259" t="s">
        <v>2479</v>
      </c>
      <c r="H32" s="2" t="s">
        <v>2525</v>
      </c>
    </row>
    <row r="33" spans="1:8" x14ac:dyDescent="0.25">
      <c r="A33" s="257" t="s">
        <v>1562</v>
      </c>
      <c r="B33" s="254" t="s">
        <v>1563</v>
      </c>
      <c r="C33" s="254" t="s">
        <v>12</v>
      </c>
      <c r="D33" s="257" t="s">
        <v>1564</v>
      </c>
      <c r="E33" s="254" t="s">
        <v>191</v>
      </c>
      <c r="F33" s="259" t="s">
        <v>2480</v>
      </c>
      <c r="H33" s="2" t="s">
        <v>2525</v>
      </c>
    </row>
    <row r="34" spans="1:8" x14ac:dyDescent="0.25">
      <c r="A34" s="257" t="s">
        <v>2073</v>
      </c>
      <c r="B34" s="254" t="s">
        <v>2074</v>
      </c>
      <c r="C34" s="254" t="s">
        <v>12</v>
      </c>
      <c r="D34" s="257" t="s">
        <v>2075</v>
      </c>
      <c r="E34" s="254" t="s">
        <v>113</v>
      </c>
      <c r="F34" s="259" t="s">
        <v>2466</v>
      </c>
      <c r="H34" s="2" t="s">
        <v>2525</v>
      </c>
    </row>
    <row r="35" spans="1:8" x14ac:dyDescent="0.25">
      <c r="A35" s="257" t="s">
        <v>1568</v>
      </c>
      <c r="B35" s="254" t="s">
        <v>1569</v>
      </c>
      <c r="C35" s="254" t="s">
        <v>12</v>
      </c>
      <c r="D35" s="257" t="s">
        <v>1570</v>
      </c>
      <c r="E35" s="254" t="s">
        <v>125</v>
      </c>
      <c r="F35" s="257" t="s">
        <v>2481</v>
      </c>
      <c r="H35" s="2" t="s">
        <v>2525</v>
      </c>
    </row>
    <row r="36" spans="1:8" x14ac:dyDescent="0.25">
      <c r="A36" s="257" t="s">
        <v>574</v>
      </c>
      <c r="B36" s="254" t="s">
        <v>575</v>
      </c>
      <c r="C36" s="254" t="s">
        <v>12</v>
      </c>
      <c r="D36" s="257" t="s">
        <v>576</v>
      </c>
      <c r="E36" s="254" t="s">
        <v>46</v>
      </c>
      <c r="F36" s="259" t="s">
        <v>2482</v>
      </c>
      <c r="H36" s="2" t="s">
        <v>2525</v>
      </c>
    </row>
    <row r="37" spans="1:8" x14ac:dyDescent="0.25">
      <c r="A37" s="257" t="s">
        <v>577</v>
      </c>
      <c r="B37" s="254" t="s">
        <v>578</v>
      </c>
      <c r="C37" s="254" t="s">
        <v>12</v>
      </c>
      <c r="D37" s="257" t="s">
        <v>579</v>
      </c>
      <c r="E37" s="254" t="s">
        <v>44</v>
      </c>
      <c r="F37" s="257" t="s">
        <v>2483</v>
      </c>
      <c r="H37" s="2" t="s">
        <v>2525</v>
      </c>
    </row>
    <row r="38" spans="1:8" x14ac:dyDescent="0.25">
      <c r="A38" s="257" t="s">
        <v>1591</v>
      </c>
      <c r="B38" s="254" t="s">
        <v>1592</v>
      </c>
      <c r="C38" s="254" t="s">
        <v>12</v>
      </c>
      <c r="D38" s="257" t="s">
        <v>1593</v>
      </c>
      <c r="E38" s="254" t="s">
        <v>315</v>
      </c>
      <c r="F38" s="259" t="s">
        <v>2484</v>
      </c>
      <c r="H38" s="2" t="s">
        <v>2525</v>
      </c>
    </row>
    <row r="39" spans="1:8" x14ac:dyDescent="0.25">
      <c r="A39" s="257" t="s">
        <v>2082</v>
      </c>
      <c r="B39" s="254" t="s">
        <v>2283</v>
      </c>
      <c r="C39" s="254" t="s">
        <v>12</v>
      </c>
      <c r="D39" s="257" t="s">
        <v>2083</v>
      </c>
      <c r="E39" s="254" t="s">
        <v>43</v>
      </c>
      <c r="F39" s="259" t="s">
        <v>2485</v>
      </c>
      <c r="H39" s="2" t="s">
        <v>2525</v>
      </c>
    </row>
    <row r="40" spans="1:8" ht="28.5" customHeight="1" x14ac:dyDescent="0.25">
      <c r="A40" s="257" t="s">
        <v>1642</v>
      </c>
      <c r="B40" s="254" t="s">
        <v>1643</v>
      </c>
      <c r="C40" s="254" t="s">
        <v>12</v>
      </c>
      <c r="D40" s="257" t="s">
        <v>1644</v>
      </c>
      <c r="E40" s="254" t="s">
        <v>48</v>
      </c>
      <c r="F40" s="259" t="s">
        <v>2486</v>
      </c>
      <c r="H40" s="2" t="s">
        <v>2525</v>
      </c>
    </row>
    <row r="41" spans="1:8" x14ac:dyDescent="0.25">
      <c r="A41" s="257" t="s">
        <v>1663</v>
      </c>
      <c r="B41" s="254" t="s">
        <v>1664</v>
      </c>
      <c r="C41" s="254" t="s">
        <v>12</v>
      </c>
      <c r="D41" s="257" t="s">
        <v>1665</v>
      </c>
      <c r="E41" s="254" t="s">
        <v>301</v>
      </c>
      <c r="F41" s="259" t="s">
        <v>2487</v>
      </c>
      <c r="H41" s="2" t="s">
        <v>2525</v>
      </c>
    </row>
    <row r="42" spans="1:8" x14ac:dyDescent="0.25">
      <c r="A42" s="257" t="s">
        <v>697</v>
      </c>
      <c r="B42" s="254" t="s">
        <v>698</v>
      </c>
      <c r="C42" s="254" t="s">
        <v>12</v>
      </c>
      <c r="D42" s="257" t="s">
        <v>699</v>
      </c>
      <c r="E42" s="254" t="s">
        <v>700</v>
      </c>
      <c r="F42" s="259" t="s">
        <v>2488</v>
      </c>
      <c r="H42" s="2" t="s">
        <v>2525</v>
      </c>
    </row>
    <row r="43" spans="1:8" x14ac:dyDescent="0.25">
      <c r="A43" s="257" t="s">
        <v>701</v>
      </c>
      <c r="B43" s="254" t="s">
        <v>702</v>
      </c>
      <c r="C43" s="254" t="s">
        <v>12</v>
      </c>
      <c r="D43" s="257" t="s">
        <v>703</v>
      </c>
      <c r="E43" s="254" t="s">
        <v>652</v>
      </c>
      <c r="F43" s="259" t="s">
        <v>2489</v>
      </c>
      <c r="H43" s="2" t="s">
        <v>2525</v>
      </c>
    </row>
    <row r="44" spans="1:8" x14ac:dyDescent="0.25">
      <c r="A44" s="257" t="s">
        <v>704</v>
      </c>
      <c r="B44" s="254" t="s">
        <v>705</v>
      </c>
      <c r="C44" s="254" t="s">
        <v>12</v>
      </c>
      <c r="D44" s="257" t="s">
        <v>706</v>
      </c>
      <c r="E44" s="254" t="s">
        <v>90</v>
      </c>
      <c r="F44" s="259" t="s">
        <v>2466</v>
      </c>
      <c r="H44" s="2" t="s">
        <v>2525</v>
      </c>
    </row>
    <row r="45" spans="1:8" x14ac:dyDescent="0.25">
      <c r="A45" s="257" t="s">
        <v>1669</v>
      </c>
      <c r="B45" s="254" t="s">
        <v>1670</v>
      </c>
      <c r="C45" s="254" t="s">
        <v>12</v>
      </c>
      <c r="D45" s="257" t="s">
        <v>1671</v>
      </c>
      <c r="E45" s="254" t="s">
        <v>1504</v>
      </c>
      <c r="F45" s="259" t="s">
        <v>2490</v>
      </c>
      <c r="H45" s="2" t="s">
        <v>2525</v>
      </c>
    </row>
    <row r="46" spans="1:8" x14ac:dyDescent="0.25">
      <c r="A46" s="257" t="s">
        <v>1684</v>
      </c>
      <c r="B46" s="254" t="s">
        <v>1685</v>
      </c>
      <c r="C46" s="254" t="s">
        <v>12</v>
      </c>
      <c r="D46" s="257" t="s">
        <v>1336</v>
      </c>
      <c r="E46" s="254" t="s">
        <v>301</v>
      </c>
      <c r="F46" s="257" t="s">
        <v>2491</v>
      </c>
      <c r="H46" s="2" t="s">
        <v>2525</v>
      </c>
    </row>
    <row r="47" spans="1:8" x14ac:dyDescent="0.25">
      <c r="A47" s="257" t="s">
        <v>139</v>
      </c>
      <c r="B47" s="254" t="s">
        <v>140</v>
      </c>
      <c r="C47" s="254" t="s">
        <v>12</v>
      </c>
      <c r="D47" s="257" t="s">
        <v>141</v>
      </c>
      <c r="E47" s="254" t="s">
        <v>142</v>
      </c>
      <c r="F47" s="259" t="s">
        <v>2492</v>
      </c>
      <c r="H47" s="2" t="s">
        <v>2525</v>
      </c>
    </row>
    <row r="48" spans="1:8" x14ac:dyDescent="0.25">
      <c r="A48" s="257" t="s">
        <v>2108</v>
      </c>
      <c r="B48" s="254" t="s">
        <v>2109</v>
      </c>
      <c r="C48" s="254" t="s">
        <v>12</v>
      </c>
      <c r="D48" s="257" t="s">
        <v>2110</v>
      </c>
      <c r="E48" s="254" t="s">
        <v>329</v>
      </c>
      <c r="F48" s="257" t="s">
        <v>2493</v>
      </c>
      <c r="H48" s="2" t="s">
        <v>2525</v>
      </c>
    </row>
    <row r="49" spans="1:8" x14ac:dyDescent="0.25">
      <c r="A49" s="257" t="s">
        <v>1689</v>
      </c>
      <c r="B49" s="254" t="s">
        <v>1690</v>
      </c>
      <c r="C49" s="254" t="s">
        <v>12</v>
      </c>
      <c r="D49" s="257" t="s">
        <v>1691</v>
      </c>
      <c r="E49" s="254" t="s">
        <v>1692</v>
      </c>
      <c r="F49" s="259" t="s">
        <v>2462</v>
      </c>
      <c r="H49" s="2" t="s">
        <v>2525</v>
      </c>
    </row>
    <row r="50" spans="1:8" x14ac:dyDescent="0.25">
      <c r="A50" s="257" t="s">
        <v>1696</v>
      </c>
      <c r="B50" s="254" t="s">
        <v>1697</v>
      </c>
      <c r="C50" s="254" t="s">
        <v>12</v>
      </c>
      <c r="D50" s="257" t="s">
        <v>1698</v>
      </c>
      <c r="E50" s="254" t="s">
        <v>46</v>
      </c>
      <c r="F50" s="259" t="s">
        <v>2494</v>
      </c>
      <c r="H50" s="2" t="s">
        <v>2525</v>
      </c>
    </row>
    <row r="51" spans="1:8" x14ac:dyDescent="0.25">
      <c r="A51" s="257" t="s">
        <v>2114</v>
      </c>
      <c r="B51" s="254" t="s">
        <v>2115</v>
      </c>
      <c r="C51" s="254" t="s">
        <v>12</v>
      </c>
      <c r="D51" s="257" t="s">
        <v>1379</v>
      </c>
      <c r="E51" s="254" t="s">
        <v>301</v>
      </c>
      <c r="F51" s="259" t="s">
        <v>2495</v>
      </c>
      <c r="H51" s="2" t="s">
        <v>2525</v>
      </c>
    </row>
    <row r="52" spans="1:8" x14ac:dyDescent="0.25">
      <c r="A52" s="257" t="s">
        <v>745</v>
      </c>
      <c r="B52" s="254" t="s">
        <v>746</v>
      </c>
      <c r="C52" s="254" t="s">
        <v>12</v>
      </c>
      <c r="D52" s="257" t="s">
        <v>747</v>
      </c>
      <c r="E52" s="254" t="s">
        <v>46</v>
      </c>
      <c r="F52" s="259" t="s">
        <v>2496</v>
      </c>
      <c r="H52" s="2" t="s">
        <v>2525</v>
      </c>
    </row>
    <row r="53" spans="1:8" x14ac:dyDescent="0.25">
      <c r="A53" s="257" t="s">
        <v>751</v>
      </c>
      <c r="B53" s="254" t="s">
        <v>752</v>
      </c>
      <c r="C53" s="254" t="s">
        <v>12</v>
      </c>
      <c r="D53" s="257" t="s">
        <v>753</v>
      </c>
      <c r="E53" s="254" t="s">
        <v>329</v>
      </c>
      <c r="F53" s="259" t="s">
        <v>2497</v>
      </c>
      <c r="H53" s="2" t="s">
        <v>2525</v>
      </c>
    </row>
    <row r="54" spans="1:8" x14ac:dyDescent="0.25">
      <c r="A54" s="257" t="s">
        <v>1705</v>
      </c>
      <c r="B54" s="254" t="s">
        <v>1706</v>
      </c>
      <c r="C54" s="254" t="s">
        <v>12</v>
      </c>
      <c r="D54" s="257" t="s">
        <v>1707</v>
      </c>
      <c r="E54" s="254" t="s">
        <v>48</v>
      </c>
      <c r="F54" s="259" t="s">
        <v>2498</v>
      </c>
      <c r="H54" s="2" t="s">
        <v>2525</v>
      </c>
    </row>
    <row r="55" spans="1:8" x14ac:dyDescent="0.25">
      <c r="A55" s="257" t="s">
        <v>2132</v>
      </c>
      <c r="B55" s="254" t="s">
        <v>2133</v>
      </c>
      <c r="C55" s="254" t="s">
        <v>0</v>
      </c>
      <c r="D55" s="257" t="s">
        <v>2134</v>
      </c>
      <c r="E55" s="254" t="s">
        <v>0</v>
      </c>
      <c r="F55" s="259" t="s">
        <v>2499</v>
      </c>
      <c r="H55" s="2" t="s">
        <v>2525</v>
      </c>
    </row>
    <row r="56" spans="1:8" x14ac:dyDescent="0.25">
      <c r="A56" s="257" t="s">
        <v>2135</v>
      </c>
      <c r="B56" s="254" t="s">
        <v>2136</v>
      </c>
      <c r="C56" s="254" t="s">
        <v>0</v>
      </c>
      <c r="D56" s="257" t="s">
        <v>2137</v>
      </c>
      <c r="E56" s="254" t="s">
        <v>871</v>
      </c>
      <c r="F56" s="259" t="s">
        <v>2490</v>
      </c>
      <c r="H56" s="2" t="s">
        <v>2525</v>
      </c>
    </row>
    <row r="57" spans="1:8" x14ac:dyDescent="0.25">
      <c r="A57" s="257" t="s">
        <v>1780</v>
      </c>
      <c r="B57" s="254" t="s">
        <v>1781</v>
      </c>
      <c r="C57" s="254" t="s">
        <v>0</v>
      </c>
      <c r="D57" s="257" t="s">
        <v>1782</v>
      </c>
      <c r="E57" s="254" t="s">
        <v>39</v>
      </c>
      <c r="F57" s="259" t="s">
        <v>2500</v>
      </c>
      <c r="H57" s="2" t="s">
        <v>2525</v>
      </c>
    </row>
    <row r="58" spans="1:8" x14ac:dyDescent="0.25">
      <c r="A58" s="257" t="s">
        <v>1786</v>
      </c>
      <c r="B58" s="254" t="s">
        <v>1787</v>
      </c>
      <c r="C58" s="254" t="s">
        <v>0</v>
      </c>
      <c r="D58" s="257" t="s">
        <v>1788</v>
      </c>
      <c r="E58" s="254" t="s">
        <v>867</v>
      </c>
      <c r="F58" s="257" t="s">
        <v>2501</v>
      </c>
      <c r="H58" s="2" t="s">
        <v>2525</v>
      </c>
    </row>
    <row r="59" spans="1:8" x14ac:dyDescent="0.25">
      <c r="A59" s="257" t="s">
        <v>895</v>
      </c>
      <c r="B59" s="254" t="s">
        <v>896</v>
      </c>
      <c r="C59" s="254" t="s">
        <v>0</v>
      </c>
      <c r="D59" s="257" t="s">
        <v>897</v>
      </c>
      <c r="E59" s="254" t="s">
        <v>898</v>
      </c>
      <c r="F59" s="259" t="s">
        <v>2502</v>
      </c>
      <c r="H59" s="2" t="s">
        <v>2525</v>
      </c>
    </row>
    <row r="60" spans="1:8" x14ac:dyDescent="0.25">
      <c r="A60" s="257" t="s">
        <v>902</v>
      </c>
      <c r="B60" s="254" t="s">
        <v>903</v>
      </c>
      <c r="C60" s="254" t="s">
        <v>0</v>
      </c>
      <c r="D60" s="257" t="s">
        <v>904</v>
      </c>
      <c r="E60" s="254" t="s">
        <v>39</v>
      </c>
      <c r="F60" s="259" t="s">
        <v>2503</v>
      </c>
      <c r="H60" s="2" t="s">
        <v>2525</v>
      </c>
    </row>
    <row r="61" spans="1:8" x14ac:dyDescent="0.25">
      <c r="A61" s="257" t="s">
        <v>911</v>
      </c>
      <c r="B61" s="254" t="s">
        <v>912</v>
      </c>
      <c r="C61" s="254" t="s">
        <v>0</v>
      </c>
      <c r="D61" s="257" t="s">
        <v>913</v>
      </c>
      <c r="E61" s="254" t="s">
        <v>83</v>
      </c>
      <c r="F61" s="259" t="s">
        <v>2490</v>
      </c>
      <c r="H61" s="2" t="s">
        <v>2525</v>
      </c>
    </row>
    <row r="62" spans="1:8" x14ac:dyDescent="0.25">
      <c r="A62" s="257" t="s">
        <v>935</v>
      </c>
      <c r="B62" s="254" t="s">
        <v>936</v>
      </c>
      <c r="C62" s="254" t="s">
        <v>0</v>
      </c>
      <c r="D62" s="257" t="s">
        <v>937</v>
      </c>
      <c r="E62" s="254" t="s">
        <v>938</v>
      </c>
      <c r="F62" s="259" t="s">
        <v>2504</v>
      </c>
      <c r="H62" s="2" t="s">
        <v>2525</v>
      </c>
    </row>
    <row r="63" spans="1:8" x14ac:dyDescent="0.25">
      <c r="A63" s="257" t="s">
        <v>1809</v>
      </c>
      <c r="B63" s="254" t="s">
        <v>1810</v>
      </c>
      <c r="C63" s="254" t="s">
        <v>0</v>
      </c>
      <c r="D63" s="257" t="s">
        <v>1811</v>
      </c>
      <c r="E63" s="254" t="s">
        <v>1812</v>
      </c>
      <c r="F63" s="259" t="s">
        <v>2505</v>
      </c>
      <c r="H63" s="2" t="s">
        <v>2525</v>
      </c>
    </row>
    <row r="64" spans="1:8" x14ac:dyDescent="0.25">
      <c r="A64" s="257" t="s">
        <v>2165</v>
      </c>
      <c r="B64" s="254" t="s">
        <v>2166</v>
      </c>
      <c r="C64" s="254" t="s">
        <v>0</v>
      </c>
      <c r="D64" s="257" t="s">
        <v>2167</v>
      </c>
      <c r="E64" s="254" t="s">
        <v>83</v>
      </c>
      <c r="F64" s="259" t="s">
        <v>2461</v>
      </c>
      <c r="H64" s="2" t="s">
        <v>2525</v>
      </c>
    </row>
    <row r="65" spans="1:8" x14ac:dyDescent="0.25">
      <c r="A65" s="257" t="s">
        <v>1816</v>
      </c>
      <c r="B65" s="254" t="s">
        <v>1817</v>
      </c>
      <c r="C65" s="254" t="s">
        <v>0</v>
      </c>
      <c r="D65" s="257" t="s">
        <v>1818</v>
      </c>
      <c r="E65" s="254" t="s">
        <v>1819</v>
      </c>
      <c r="F65" s="259" t="s">
        <v>2462</v>
      </c>
      <c r="H65" s="2" t="s">
        <v>2525</v>
      </c>
    </row>
    <row r="66" spans="1:8" x14ac:dyDescent="0.25">
      <c r="A66" s="257" t="s">
        <v>2168</v>
      </c>
      <c r="B66" s="254" t="s">
        <v>2169</v>
      </c>
      <c r="C66" s="254" t="s">
        <v>0</v>
      </c>
      <c r="D66" s="257" t="s">
        <v>2170</v>
      </c>
      <c r="E66" s="254" t="s">
        <v>2171</v>
      </c>
      <c r="F66" s="259" t="s">
        <v>2506</v>
      </c>
      <c r="H66" s="2" t="s">
        <v>2525</v>
      </c>
    </row>
    <row r="67" spans="1:8" x14ac:dyDescent="0.25">
      <c r="A67" s="257" t="s">
        <v>42</v>
      </c>
      <c r="B67" s="254" t="s">
        <v>41</v>
      </c>
      <c r="C67" s="254" t="s">
        <v>0</v>
      </c>
      <c r="D67" s="257" t="s">
        <v>40</v>
      </c>
      <c r="E67" s="254" t="s">
        <v>999</v>
      </c>
      <c r="F67" s="259" t="s">
        <v>2507</v>
      </c>
      <c r="H67" s="2" t="s">
        <v>2525</v>
      </c>
    </row>
    <row r="68" spans="1:8" x14ac:dyDescent="0.25">
      <c r="A68" s="257" t="s">
        <v>1835</v>
      </c>
      <c r="B68" s="254" t="s">
        <v>1836</v>
      </c>
      <c r="C68" s="254" t="s">
        <v>0</v>
      </c>
      <c r="D68" s="257" t="s">
        <v>1837</v>
      </c>
      <c r="E68" s="254" t="s">
        <v>1000</v>
      </c>
      <c r="F68" s="259" t="s">
        <v>2508</v>
      </c>
      <c r="H68" s="2" t="s">
        <v>2525</v>
      </c>
    </row>
    <row r="69" spans="1:8" x14ac:dyDescent="0.25">
      <c r="A69" s="257" t="s">
        <v>2376</v>
      </c>
      <c r="B69" s="254" t="s">
        <v>2377</v>
      </c>
      <c r="C69" s="254" t="s">
        <v>0</v>
      </c>
      <c r="D69" s="257" t="s">
        <v>2381</v>
      </c>
      <c r="E69" s="254" t="s">
        <v>1285</v>
      </c>
      <c r="F69" s="259" t="s">
        <v>2509</v>
      </c>
      <c r="H69" s="2" t="s">
        <v>2525</v>
      </c>
    </row>
    <row r="70" spans="1:8" x14ac:dyDescent="0.25">
      <c r="A70" s="257" t="s">
        <v>2339</v>
      </c>
      <c r="B70" s="254" t="s">
        <v>2340</v>
      </c>
      <c r="C70" s="254" t="s">
        <v>0</v>
      </c>
      <c r="D70" s="257" t="s">
        <v>2346</v>
      </c>
      <c r="E70" s="254" t="s">
        <v>1094</v>
      </c>
      <c r="F70" s="259" t="s">
        <v>2463</v>
      </c>
      <c r="H70" s="2" t="s">
        <v>2525</v>
      </c>
    </row>
    <row r="71" spans="1:8" x14ac:dyDescent="0.25">
      <c r="A71" s="257" t="s">
        <v>2182</v>
      </c>
      <c r="B71" s="254" t="s">
        <v>2183</v>
      </c>
      <c r="C71" s="254" t="s">
        <v>0</v>
      </c>
      <c r="D71" s="257" t="s">
        <v>2184</v>
      </c>
      <c r="E71" s="254" t="s">
        <v>34</v>
      </c>
      <c r="F71" s="259" t="s">
        <v>2466</v>
      </c>
      <c r="H71" s="2" t="s">
        <v>2525</v>
      </c>
    </row>
    <row r="72" spans="1:8" x14ac:dyDescent="0.25">
      <c r="A72" s="257" t="s">
        <v>2185</v>
      </c>
      <c r="B72" s="254" t="s">
        <v>2186</v>
      </c>
      <c r="C72" s="254" t="s">
        <v>0</v>
      </c>
      <c r="D72" s="257" t="s">
        <v>2184</v>
      </c>
      <c r="E72" s="254" t="s">
        <v>879</v>
      </c>
      <c r="F72" s="259" t="s">
        <v>2464</v>
      </c>
      <c r="H72" s="2" t="s">
        <v>2525</v>
      </c>
    </row>
    <row r="73" spans="1:8" x14ac:dyDescent="0.25">
      <c r="A73" s="257" t="s">
        <v>1859</v>
      </c>
      <c r="B73" s="254" t="s">
        <v>1860</v>
      </c>
      <c r="C73" s="254" t="s">
        <v>0</v>
      </c>
      <c r="D73" s="257" t="s">
        <v>1861</v>
      </c>
      <c r="E73" s="254" t="s">
        <v>894</v>
      </c>
      <c r="F73" s="259" t="s">
        <v>2510</v>
      </c>
      <c r="H73" s="2" t="s">
        <v>2525</v>
      </c>
    </row>
    <row r="74" spans="1:8" x14ac:dyDescent="0.25">
      <c r="A74" s="257" t="s">
        <v>2193</v>
      </c>
      <c r="B74" s="254" t="s">
        <v>2194</v>
      </c>
      <c r="C74" s="254" t="s">
        <v>0</v>
      </c>
      <c r="D74" s="257" t="s">
        <v>2195</v>
      </c>
      <c r="E74" s="254" t="s">
        <v>1798</v>
      </c>
      <c r="F74" s="259" t="s">
        <v>2502</v>
      </c>
      <c r="H74" s="2" t="s">
        <v>2525</v>
      </c>
    </row>
    <row r="75" spans="1:8" x14ac:dyDescent="0.25">
      <c r="A75" s="257" t="s">
        <v>2202</v>
      </c>
      <c r="B75" s="254" t="s">
        <v>2203</v>
      </c>
      <c r="C75" s="254" t="s">
        <v>0</v>
      </c>
      <c r="D75" s="257" t="s">
        <v>2204</v>
      </c>
      <c r="E75" s="254" t="s">
        <v>83</v>
      </c>
      <c r="F75" s="259" t="s">
        <v>2511</v>
      </c>
      <c r="H75" s="2" t="s">
        <v>2525</v>
      </c>
    </row>
    <row r="76" spans="1:8" x14ac:dyDescent="0.25">
      <c r="A76" s="257" t="s">
        <v>2205</v>
      </c>
      <c r="B76" s="254" t="s">
        <v>2206</v>
      </c>
      <c r="C76" s="254" t="s">
        <v>0</v>
      </c>
      <c r="D76" s="257" t="s">
        <v>2204</v>
      </c>
      <c r="E76" s="254" t="s">
        <v>2207</v>
      </c>
      <c r="F76" s="259" t="s">
        <v>2512</v>
      </c>
      <c r="H76" s="2" t="s">
        <v>2525</v>
      </c>
    </row>
    <row r="77" spans="1:8" x14ac:dyDescent="0.25">
      <c r="A77" s="257" t="s">
        <v>1065</v>
      </c>
      <c r="B77" s="254" t="s">
        <v>1066</v>
      </c>
      <c r="C77" s="254" t="s">
        <v>0</v>
      </c>
      <c r="D77" s="257" t="s">
        <v>1067</v>
      </c>
      <c r="E77" s="254" t="s">
        <v>871</v>
      </c>
      <c r="F77" s="259" t="s">
        <v>2513</v>
      </c>
      <c r="H77" s="2" t="s">
        <v>2525</v>
      </c>
    </row>
    <row r="78" spans="1:8" x14ac:dyDescent="0.25">
      <c r="A78" s="257" t="s">
        <v>2276</v>
      </c>
      <c r="B78" s="254" t="s">
        <v>2277</v>
      </c>
      <c r="C78" s="254" t="s">
        <v>0</v>
      </c>
      <c r="D78" s="257" t="s">
        <v>2278</v>
      </c>
      <c r="E78" s="254" t="s">
        <v>2279</v>
      </c>
      <c r="F78" s="259" t="s">
        <v>2462</v>
      </c>
      <c r="H78" s="2" t="s">
        <v>2525</v>
      </c>
    </row>
    <row r="79" spans="1:8" x14ac:dyDescent="0.25">
      <c r="A79" s="257" t="s">
        <v>1107</v>
      </c>
      <c r="B79" s="254" t="s">
        <v>1108</v>
      </c>
      <c r="C79" s="254" t="s">
        <v>0</v>
      </c>
      <c r="D79" s="257" t="s">
        <v>2212</v>
      </c>
      <c r="E79" s="254" t="s">
        <v>35</v>
      </c>
      <c r="F79" s="257" t="s">
        <v>2514</v>
      </c>
      <c r="H79" s="2" t="s">
        <v>2525</v>
      </c>
    </row>
    <row r="80" spans="1:8" x14ac:dyDescent="0.25">
      <c r="A80" s="257" t="s">
        <v>1919</v>
      </c>
      <c r="B80" s="254" t="s">
        <v>1920</v>
      </c>
      <c r="C80" s="254" t="s">
        <v>0</v>
      </c>
      <c r="D80" s="257" t="s">
        <v>1921</v>
      </c>
      <c r="E80" s="254" t="s">
        <v>1922</v>
      </c>
      <c r="F80" s="259" t="s">
        <v>2515</v>
      </c>
      <c r="H80" s="2" t="s">
        <v>2525</v>
      </c>
    </row>
    <row r="81" spans="1:8" x14ac:dyDescent="0.25">
      <c r="A81" s="257" t="s">
        <v>1923</v>
      </c>
      <c r="B81" s="254" t="s">
        <v>1924</v>
      </c>
      <c r="C81" s="254" t="s">
        <v>0</v>
      </c>
      <c r="D81" s="257" t="s">
        <v>1925</v>
      </c>
      <c r="E81" s="254" t="s">
        <v>33</v>
      </c>
      <c r="F81" s="259" t="s">
        <v>2516</v>
      </c>
      <c r="H81" s="2" t="s">
        <v>2525</v>
      </c>
    </row>
    <row r="82" spans="1:8" x14ac:dyDescent="0.25">
      <c r="A82" s="257" t="s">
        <v>1926</v>
      </c>
      <c r="B82" s="254" t="s">
        <v>1927</v>
      </c>
      <c r="C82" s="254" t="s">
        <v>0</v>
      </c>
      <c r="D82" s="257" t="s">
        <v>1928</v>
      </c>
      <c r="E82" s="254" t="s">
        <v>39</v>
      </c>
      <c r="F82" s="257" t="s">
        <v>2491</v>
      </c>
      <c r="H82" s="2" t="s">
        <v>2525</v>
      </c>
    </row>
    <row r="83" spans="1:8" x14ac:dyDescent="0.25">
      <c r="A83" s="257" t="s">
        <v>1354</v>
      </c>
      <c r="B83" s="254" t="s">
        <v>1355</v>
      </c>
      <c r="C83" s="254" t="s">
        <v>0</v>
      </c>
      <c r="D83" s="257" t="s">
        <v>1356</v>
      </c>
      <c r="E83" s="254" t="s">
        <v>33</v>
      </c>
      <c r="F83" s="257" t="s">
        <v>2517</v>
      </c>
      <c r="H83" s="2" t="s">
        <v>2525</v>
      </c>
    </row>
    <row r="84" spans="1:8" x14ac:dyDescent="0.25">
      <c r="A84" s="257" t="s">
        <v>2231</v>
      </c>
      <c r="B84" s="254" t="s">
        <v>2232</v>
      </c>
      <c r="C84" s="254" t="s">
        <v>0</v>
      </c>
      <c r="D84" s="257" t="s">
        <v>2233</v>
      </c>
      <c r="E84" s="254" t="s">
        <v>39</v>
      </c>
      <c r="F84" s="259" t="s">
        <v>2462</v>
      </c>
      <c r="H84" s="2" t="s">
        <v>2525</v>
      </c>
    </row>
    <row r="85" spans="1:8" x14ac:dyDescent="0.25">
      <c r="A85" s="257" t="s">
        <v>37</v>
      </c>
      <c r="B85" s="254" t="s">
        <v>1204</v>
      </c>
      <c r="C85" s="254" t="s">
        <v>0</v>
      </c>
      <c r="D85" s="257" t="s">
        <v>36</v>
      </c>
      <c r="E85" s="254" t="s">
        <v>33</v>
      </c>
      <c r="F85" s="259" t="s">
        <v>2518</v>
      </c>
      <c r="H85" s="2" t="s">
        <v>2525</v>
      </c>
    </row>
    <row r="86" spans="1:8" x14ac:dyDescent="0.25">
      <c r="A86" s="257" t="s">
        <v>2243</v>
      </c>
      <c r="B86" s="254" t="s">
        <v>2244</v>
      </c>
      <c r="C86" s="254" t="s">
        <v>0</v>
      </c>
      <c r="D86" s="257" t="s">
        <v>2245</v>
      </c>
      <c r="E86" s="254" t="s">
        <v>33</v>
      </c>
      <c r="F86" s="259" t="s">
        <v>2519</v>
      </c>
      <c r="H86" s="2" t="s">
        <v>2525</v>
      </c>
    </row>
    <row r="87" spans="1:8" x14ac:dyDescent="0.25">
      <c r="A87" s="257" t="s">
        <v>2255</v>
      </c>
      <c r="B87" s="254" t="s">
        <v>2256</v>
      </c>
      <c r="C87" s="254" t="s">
        <v>0</v>
      </c>
      <c r="D87" s="257" t="s">
        <v>2257</v>
      </c>
      <c r="E87" s="254" t="s">
        <v>1858</v>
      </c>
      <c r="F87" s="259" t="s">
        <v>2520</v>
      </c>
      <c r="H87" s="2" t="s">
        <v>2525</v>
      </c>
    </row>
    <row r="88" spans="1:8" x14ac:dyDescent="0.25">
      <c r="A88" s="257" t="s">
        <v>1960</v>
      </c>
      <c r="B88" s="254" t="s">
        <v>1961</v>
      </c>
      <c r="C88" s="254" t="s">
        <v>0</v>
      </c>
      <c r="D88" s="257" t="s">
        <v>1962</v>
      </c>
      <c r="E88" s="254" t="s">
        <v>883</v>
      </c>
      <c r="F88" s="259" t="s">
        <v>2521</v>
      </c>
      <c r="H88" s="2" t="s">
        <v>2525</v>
      </c>
    </row>
    <row r="89" spans="1:8" x14ac:dyDescent="0.25">
      <c r="A89" s="257" t="s">
        <v>1235</v>
      </c>
      <c r="B89" s="254" t="s">
        <v>1236</v>
      </c>
      <c r="C89" s="254" t="s">
        <v>0</v>
      </c>
      <c r="D89" s="257" t="s">
        <v>1237</v>
      </c>
      <c r="E89" s="254" t="s">
        <v>39</v>
      </c>
      <c r="F89" s="259" t="s">
        <v>2462</v>
      </c>
      <c r="H89" s="2" t="s">
        <v>2525</v>
      </c>
    </row>
    <row r="90" spans="1:8" x14ac:dyDescent="0.25">
      <c r="A90" s="257" t="s">
        <v>1241</v>
      </c>
      <c r="B90" s="254" t="s">
        <v>1242</v>
      </c>
      <c r="C90" s="254" t="s">
        <v>0</v>
      </c>
      <c r="D90" s="257" t="s">
        <v>1243</v>
      </c>
      <c r="E90" s="254" t="s">
        <v>33</v>
      </c>
      <c r="F90" s="259" t="s">
        <v>2462</v>
      </c>
      <c r="H90" s="2" t="s">
        <v>2525</v>
      </c>
    </row>
    <row r="91" spans="1:8" x14ac:dyDescent="0.25">
      <c r="A91" s="257" t="s">
        <v>1250</v>
      </c>
      <c r="B91" s="254" t="s">
        <v>1251</v>
      </c>
      <c r="C91" s="254" t="s">
        <v>0</v>
      </c>
      <c r="D91" s="257" t="s">
        <v>1252</v>
      </c>
      <c r="E91" s="254" t="s">
        <v>83</v>
      </c>
      <c r="F91" s="259" t="s">
        <v>2466</v>
      </c>
      <c r="H91" s="2" t="s">
        <v>2525</v>
      </c>
    </row>
    <row r="92" spans="1:8" x14ac:dyDescent="0.25">
      <c r="A92" s="257" t="s">
        <v>1269</v>
      </c>
      <c r="B92" s="254" t="s">
        <v>1270</v>
      </c>
      <c r="C92" s="254" t="s">
        <v>0</v>
      </c>
      <c r="D92" s="257" t="s">
        <v>1271</v>
      </c>
      <c r="E92" s="254" t="s">
        <v>867</v>
      </c>
      <c r="F92" s="259" t="s">
        <v>2522</v>
      </c>
      <c r="H92" s="2" t="s">
        <v>2525</v>
      </c>
    </row>
    <row r="93" spans="1:8" ht="14.25" customHeight="1" x14ac:dyDescent="0.25">
      <c r="A93" s="258" t="s">
        <v>1976</v>
      </c>
      <c r="B93" s="255" t="s">
        <v>1977</v>
      </c>
      <c r="C93" s="255" t="s">
        <v>0</v>
      </c>
      <c r="D93" s="258" t="s">
        <v>1978</v>
      </c>
      <c r="E93" s="255" t="s">
        <v>33</v>
      </c>
      <c r="F93" s="260" t="s">
        <v>2523</v>
      </c>
      <c r="H93" s="2" t="s">
        <v>2525</v>
      </c>
    </row>
    <row r="94" spans="1:8" x14ac:dyDescent="0.25">
      <c r="A94" s="257" t="s">
        <v>1985</v>
      </c>
      <c r="B94" s="254" t="s">
        <v>1986</v>
      </c>
      <c r="C94" s="254" t="s">
        <v>0</v>
      </c>
      <c r="D94" s="257" t="s">
        <v>1987</v>
      </c>
      <c r="E94" s="254" t="s">
        <v>879</v>
      </c>
      <c r="F94" s="259" t="s">
        <v>2524</v>
      </c>
      <c r="H94" s="2" t="s">
        <v>2525</v>
      </c>
    </row>
    <row r="95" spans="1:8" x14ac:dyDescent="0.25">
      <c r="A95" s="257" t="s">
        <v>2266</v>
      </c>
      <c r="B95" s="254" t="s">
        <v>2267</v>
      </c>
      <c r="C95" s="254" t="s">
        <v>0</v>
      </c>
      <c r="D95" s="257" t="s">
        <v>2268</v>
      </c>
      <c r="E95" s="254" t="s">
        <v>961</v>
      </c>
      <c r="F95" s="259" t="s">
        <v>2463</v>
      </c>
      <c r="H95" s="2" t="s">
        <v>2525</v>
      </c>
    </row>
    <row r="96" spans="1:8" ht="15.75" thickBot="1" x14ac:dyDescent="0.3">
      <c r="F96" s="252"/>
    </row>
    <row r="97" spans="1:8" ht="15.75" thickBot="1" x14ac:dyDescent="0.3">
      <c r="A97" s="362" t="s">
        <v>2526</v>
      </c>
      <c r="B97" s="363"/>
      <c r="C97" s="363"/>
      <c r="D97" s="363"/>
      <c r="E97" s="363"/>
      <c r="F97" s="364"/>
      <c r="G97" s="361"/>
      <c r="H97" s="365"/>
    </row>
    <row r="99" spans="1:8" ht="45" x14ac:dyDescent="0.25">
      <c r="A99" s="175" t="s">
        <v>2304</v>
      </c>
      <c r="B99" s="175" t="s">
        <v>2</v>
      </c>
      <c r="C99" s="175" t="s">
        <v>3</v>
      </c>
      <c r="D99" s="175" t="s">
        <v>4</v>
      </c>
      <c r="E99" s="175" t="s">
        <v>2305</v>
      </c>
      <c r="F99" s="175" t="s">
        <v>1314</v>
      </c>
    </row>
    <row r="100" spans="1:8" x14ac:dyDescent="0.25">
      <c r="A100" s="2" t="s">
        <v>267</v>
      </c>
      <c r="B100" s="2" t="s">
        <v>268</v>
      </c>
      <c r="C100" s="2" t="s">
        <v>13</v>
      </c>
      <c r="D100" s="249" t="s">
        <v>269</v>
      </c>
      <c r="E100" s="2" t="s">
        <v>43</v>
      </c>
      <c r="F100" s="250" t="s">
        <v>2436</v>
      </c>
    </row>
    <row r="101" spans="1:8" x14ac:dyDescent="0.25">
      <c r="A101" s="2" t="s">
        <v>2025</v>
      </c>
      <c r="B101" s="2" t="s">
        <v>2026</v>
      </c>
      <c r="C101" s="2" t="s">
        <v>12</v>
      </c>
      <c r="D101" s="249" t="s">
        <v>2027</v>
      </c>
      <c r="E101" s="2" t="s">
        <v>1462</v>
      </c>
      <c r="F101" s="2" t="s">
        <v>2306</v>
      </c>
    </row>
    <row r="102" spans="1:8" x14ac:dyDescent="0.25">
      <c r="A102" s="2" t="s">
        <v>79</v>
      </c>
      <c r="B102" s="2" t="s">
        <v>80</v>
      </c>
      <c r="C102" s="2" t="s">
        <v>12</v>
      </c>
      <c r="D102" s="249" t="s">
        <v>78</v>
      </c>
      <c r="E102" s="2" t="s">
        <v>52</v>
      </c>
      <c r="F102" s="2" t="s">
        <v>2306</v>
      </c>
    </row>
    <row r="103" spans="1:8" x14ac:dyDescent="0.25">
      <c r="A103" s="2" t="s">
        <v>510</v>
      </c>
      <c r="B103" s="2" t="s">
        <v>511</v>
      </c>
      <c r="C103" s="2" t="s">
        <v>12</v>
      </c>
      <c r="D103" s="249" t="s">
        <v>512</v>
      </c>
      <c r="E103" s="2" t="s">
        <v>309</v>
      </c>
      <c r="F103" s="2" t="s">
        <v>2306</v>
      </c>
    </row>
    <row r="104" spans="1:8" x14ac:dyDescent="0.25">
      <c r="A104" s="2" t="s">
        <v>1526</v>
      </c>
      <c r="B104" s="2" t="s">
        <v>1527</v>
      </c>
      <c r="C104" s="2" t="s">
        <v>12</v>
      </c>
      <c r="D104" s="249" t="s">
        <v>1528</v>
      </c>
      <c r="E104" s="2" t="s">
        <v>43</v>
      </c>
      <c r="F104" s="2" t="s">
        <v>2437</v>
      </c>
    </row>
    <row r="105" spans="1:8" x14ac:dyDescent="0.25">
      <c r="A105" s="2" t="s">
        <v>1428</v>
      </c>
      <c r="B105" s="2" t="s">
        <v>1429</v>
      </c>
      <c r="C105" s="2" t="s">
        <v>12</v>
      </c>
      <c r="D105" s="249" t="s">
        <v>1430</v>
      </c>
      <c r="E105" s="2" t="s">
        <v>43</v>
      </c>
      <c r="F105" s="2" t="s">
        <v>2438</v>
      </c>
    </row>
    <row r="106" spans="1:8" ht="30" x14ac:dyDescent="0.25">
      <c r="A106" s="2" t="s">
        <v>558</v>
      </c>
      <c r="B106" s="2" t="s">
        <v>559</v>
      </c>
      <c r="C106" s="2" t="s">
        <v>12</v>
      </c>
      <c r="D106" s="249" t="s">
        <v>560</v>
      </c>
      <c r="E106" s="2" t="s">
        <v>125</v>
      </c>
      <c r="F106" s="250" t="s">
        <v>2349</v>
      </c>
    </row>
    <row r="107" spans="1:8" x14ac:dyDescent="0.25">
      <c r="A107" s="2" t="s">
        <v>1579</v>
      </c>
      <c r="B107" s="2" t="s">
        <v>1580</v>
      </c>
      <c r="C107" s="2" t="s">
        <v>12</v>
      </c>
      <c r="D107" s="249" t="s">
        <v>1581</v>
      </c>
      <c r="E107" s="2" t="s">
        <v>1462</v>
      </c>
      <c r="F107" s="2" t="s">
        <v>2306</v>
      </c>
    </row>
    <row r="108" spans="1:8" x14ac:dyDescent="0.25">
      <c r="A108" s="2" t="s">
        <v>751</v>
      </c>
      <c r="B108" s="2" t="s">
        <v>752</v>
      </c>
      <c r="C108" s="2" t="s">
        <v>12</v>
      </c>
      <c r="D108" s="249" t="s">
        <v>753</v>
      </c>
      <c r="E108" s="2" t="s">
        <v>1692</v>
      </c>
      <c r="F108" s="2" t="s">
        <v>2306</v>
      </c>
    </row>
    <row r="109" spans="1:8" x14ac:dyDescent="0.25">
      <c r="A109" s="249" t="s">
        <v>2015</v>
      </c>
      <c r="B109" s="249" t="s">
        <v>2016</v>
      </c>
      <c r="C109" s="249" t="s">
        <v>12</v>
      </c>
      <c r="D109" s="249" t="s">
        <v>2017</v>
      </c>
      <c r="E109" s="2" t="s">
        <v>12</v>
      </c>
      <c r="F109" s="2" t="s">
        <v>2350</v>
      </c>
    </row>
    <row r="110" spans="1:8" x14ac:dyDescent="0.25">
      <c r="A110" s="2" t="s">
        <v>1537</v>
      </c>
      <c r="B110" s="2" t="s">
        <v>1538</v>
      </c>
      <c r="C110" s="2" t="s">
        <v>12</v>
      </c>
      <c r="D110" s="249" t="s">
        <v>1539</v>
      </c>
      <c r="E110" s="2" t="s">
        <v>305</v>
      </c>
      <c r="F110" s="2" t="s">
        <v>2439</v>
      </c>
    </row>
    <row r="111" spans="1:8" x14ac:dyDescent="0.25">
      <c r="A111" s="2" t="s">
        <v>1446</v>
      </c>
      <c r="B111" s="2" t="s">
        <v>1447</v>
      </c>
      <c r="C111" s="2" t="s">
        <v>12</v>
      </c>
      <c r="D111" s="249" t="s">
        <v>1448</v>
      </c>
      <c r="E111" s="2" t="s">
        <v>316</v>
      </c>
      <c r="F111" s="2" t="s">
        <v>2440</v>
      </c>
    </row>
    <row r="112" spans="1:8" x14ac:dyDescent="0.25">
      <c r="A112" s="2" t="s">
        <v>1456</v>
      </c>
      <c r="B112" s="2" t="s">
        <v>1457</v>
      </c>
      <c r="C112" s="2" t="s">
        <v>12</v>
      </c>
      <c r="D112" s="249" t="s">
        <v>1458</v>
      </c>
      <c r="E112" s="2" t="s">
        <v>43</v>
      </c>
      <c r="F112" s="2" t="s">
        <v>2441</v>
      </c>
    </row>
    <row r="113" spans="1:6" x14ac:dyDescent="0.25">
      <c r="A113" s="2" t="s">
        <v>424</v>
      </c>
      <c r="B113" s="2" t="s">
        <v>425</v>
      </c>
      <c r="C113" s="2" t="s">
        <v>12</v>
      </c>
      <c r="D113" s="249" t="s">
        <v>426</v>
      </c>
      <c r="E113" s="2" t="s">
        <v>48</v>
      </c>
      <c r="F113" s="2" t="s">
        <v>2442</v>
      </c>
    </row>
    <row r="114" spans="1:6" x14ac:dyDescent="0.25">
      <c r="A114" s="2" t="s">
        <v>723</v>
      </c>
      <c r="B114" s="2" t="s">
        <v>724</v>
      </c>
      <c r="C114" s="2" t="s">
        <v>12</v>
      </c>
      <c r="D114" s="249" t="s">
        <v>1309</v>
      </c>
      <c r="E114" s="2" t="s">
        <v>48</v>
      </c>
      <c r="F114" s="2" t="s">
        <v>2443</v>
      </c>
    </row>
    <row r="115" spans="1:6" x14ac:dyDescent="0.25">
      <c r="A115" s="2" t="s">
        <v>2366</v>
      </c>
      <c r="B115" s="2" t="s">
        <v>2367</v>
      </c>
      <c r="C115" s="2" t="s">
        <v>12</v>
      </c>
      <c r="D115" s="249" t="s">
        <v>2370</v>
      </c>
      <c r="E115" s="2" t="s">
        <v>309</v>
      </c>
      <c r="F115" s="2" t="s">
        <v>2441</v>
      </c>
    </row>
    <row r="116" spans="1:6" x14ac:dyDescent="0.25">
      <c r="A116" s="2" t="s">
        <v>1459</v>
      </c>
      <c r="B116" s="2" t="s">
        <v>1460</v>
      </c>
      <c r="C116" s="2" t="s">
        <v>12</v>
      </c>
      <c r="D116" s="249" t="s">
        <v>1461</v>
      </c>
      <c r="E116" s="2" t="s">
        <v>1462</v>
      </c>
      <c r="F116" s="2" t="s">
        <v>2444</v>
      </c>
    </row>
    <row r="117" spans="1:6" x14ac:dyDescent="0.25">
      <c r="A117" s="2" t="s">
        <v>1473</v>
      </c>
      <c r="B117" s="2" t="s">
        <v>1474</v>
      </c>
      <c r="C117" s="2" t="s">
        <v>12</v>
      </c>
      <c r="D117" s="249" t="s">
        <v>1475</v>
      </c>
      <c r="E117" s="2" t="s">
        <v>1476</v>
      </c>
      <c r="F117" s="2" t="s">
        <v>2445</v>
      </c>
    </row>
    <row r="118" spans="1:6" x14ac:dyDescent="0.25">
      <c r="A118" s="2" t="s">
        <v>1522</v>
      </c>
      <c r="B118" s="2" t="s">
        <v>1523</v>
      </c>
      <c r="C118" s="2" t="s">
        <v>12</v>
      </c>
      <c r="D118" s="249" t="s">
        <v>1524</v>
      </c>
      <c r="E118" s="2" t="s">
        <v>2308</v>
      </c>
      <c r="F118" s="2" t="s">
        <v>2446</v>
      </c>
    </row>
    <row r="119" spans="1:6" x14ac:dyDescent="0.25">
      <c r="A119" s="2" t="s">
        <v>2368</v>
      </c>
      <c r="B119" s="2" t="s">
        <v>2369</v>
      </c>
      <c r="C119" s="2" t="s">
        <v>12</v>
      </c>
      <c r="D119" s="249" t="s">
        <v>2371</v>
      </c>
      <c r="E119" s="2" t="s">
        <v>43</v>
      </c>
      <c r="F119" s="2" t="s">
        <v>2447</v>
      </c>
    </row>
    <row r="120" spans="1:6" x14ac:dyDescent="0.25">
      <c r="A120" s="2" t="s">
        <v>1257</v>
      </c>
      <c r="B120" s="2" t="s">
        <v>1258</v>
      </c>
      <c r="C120" s="2" t="s">
        <v>0</v>
      </c>
      <c r="D120" s="249" t="s">
        <v>1259</v>
      </c>
      <c r="E120" s="2" t="s">
        <v>83</v>
      </c>
      <c r="F120" s="2" t="s">
        <v>2351</v>
      </c>
    </row>
    <row r="121" spans="1:6" x14ac:dyDescent="0.25">
      <c r="A121" s="2" t="s">
        <v>1813</v>
      </c>
      <c r="B121" s="2" t="s">
        <v>1814</v>
      </c>
      <c r="C121" s="2" t="s">
        <v>0</v>
      </c>
      <c r="D121" s="249" t="s">
        <v>1815</v>
      </c>
      <c r="E121" s="2" t="s">
        <v>879</v>
      </c>
      <c r="F121" s="2" t="s">
        <v>2459</v>
      </c>
    </row>
    <row r="122" spans="1:6" x14ac:dyDescent="0.25">
      <c r="A122" s="2" t="s">
        <v>935</v>
      </c>
      <c r="B122" s="2" t="s">
        <v>936</v>
      </c>
      <c r="C122" s="2" t="s">
        <v>0</v>
      </c>
      <c r="D122" s="249" t="s">
        <v>937</v>
      </c>
      <c r="E122" s="2" t="s">
        <v>938</v>
      </c>
      <c r="F122" s="2" t="s">
        <v>2448</v>
      </c>
    </row>
    <row r="123" spans="1:6" x14ac:dyDescent="0.25">
      <c r="A123" s="2" t="s">
        <v>1238</v>
      </c>
      <c r="B123" s="2" t="s">
        <v>1239</v>
      </c>
      <c r="C123" s="2" t="s">
        <v>0</v>
      </c>
      <c r="D123" s="249" t="s">
        <v>1240</v>
      </c>
      <c r="E123" s="2" t="s">
        <v>83</v>
      </c>
      <c r="F123" s="2" t="s">
        <v>2360</v>
      </c>
    </row>
    <row r="124" spans="1:6" x14ac:dyDescent="0.25">
      <c r="A124" s="2" t="s">
        <v>2343</v>
      </c>
      <c r="B124" s="2" t="s">
        <v>2344</v>
      </c>
      <c r="C124" s="2" t="s">
        <v>0</v>
      </c>
      <c r="D124" s="249" t="s">
        <v>773</v>
      </c>
      <c r="E124" s="2" t="s">
        <v>2348</v>
      </c>
      <c r="F124" s="2" t="s">
        <v>2449</v>
      </c>
    </row>
    <row r="125" spans="1:6" x14ac:dyDescent="0.25">
      <c r="A125" s="2" t="s">
        <v>1954</v>
      </c>
      <c r="B125" s="2" t="s">
        <v>1955</v>
      </c>
      <c r="C125" s="2" t="s">
        <v>0</v>
      </c>
      <c r="D125" s="249" t="s">
        <v>1956</v>
      </c>
      <c r="E125" s="2" t="s">
        <v>1798</v>
      </c>
      <c r="F125" s="2" t="s">
        <v>2352</v>
      </c>
    </row>
    <row r="126" spans="1:6" x14ac:dyDescent="0.25">
      <c r="A126" s="2" t="s">
        <v>1232</v>
      </c>
      <c r="B126" s="2" t="s">
        <v>1233</v>
      </c>
      <c r="C126" s="2" t="s">
        <v>0</v>
      </c>
      <c r="D126" s="249" t="s">
        <v>1234</v>
      </c>
      <c r="E126" s="2" t="s">
        <v>39</v>
      </c>
      <c r="F126" s="2" t="s">
        <v>2450</v>
      </c>
    </row>
    <row r="127" spans="1:6" x14ac:dyDescent="0.25">
      <c r="A127" s="2" t="s">
        <v>905</v>
      </c>
      <c r="B127" s="2" t="s">
        <v>906</v>
      </c>
      <c r="C127" s="2" t="s">
        <v>0</v>
      </c>
      <c r="D127" s="249" t="s">
        <v>907</v>
      </c>
      <c r="E127" s="2" t="s">
        <v>39</v>
      </c>
      <c r="F127" s="2" t="s">
        <v>2450</v>
      </c>
    </row>
    <row r="128" spans="1:6" x14ac:dyDescent="0.25">
      <c r="A128" s="2" t="s">
        <v>1136</v>
      </c>
      <c r="B128" s="2" t="s">
        <v>1137</v>
      </c>
      <c r="C128" s="2" t="s">
        <v>0</v>
      </c>
      <c r="D128" s="249" t="s">
        <v>1138</v>
      </c>
      <c r="E128" s="2" t="s">
        <v>33</v>
      </c>
      <c r="F128" s="2" t="s">
        <v>2307</v>
      </c>
    </row>
    <row r="129" spans="1:7" ht="30" x14ac:dyDescent="0.25">
      <c r="A129" s="2" t="s">
        <v>1820</v>
      </c>
      <c r="B129" s="2" t="s">
        <v>1821</v>
      </c>
      <c r="C129" s="2" t="s">
        <v>0</v>
      </c>
      <c r="D129" s="249" t="s">
        <v>1822</v>
      </c>
      <c r="E129" s="2" t="s">
        <v>39</v>
      </c>
      <c r="F129" s="250" t="s">
        <v>2451</v>
      </c>
    </row>
    <row r="130" spans="1:7" x14ac:dyDescent="0.25">
      <c r="A130" s="2" t="s">
        <v>981</v>
      </c>
      <c r="B130" s="2" t="s">
        <v>982</v>
      </c>
      <c r="C130" s="2" t="s">
        <v>0</v>
      </c>
      <c r="D130" s="249" t="s">
        <v>447</v>
      </c>
      <c r="E130" s="2" t="s">
        <v>39</v>
      </c>
      <c r="F130" s="250" t="s">
        <v>2452</v>
      </c>
    </row>
    <row r="131" spans="1:7" x14ac:dyDescent="0.25">
      <c r="A131" s="2" t="s">
        <v>2172</v>
      </c>
      <c r="B131" s="2" t="s">
        <v>2173</v>
      </c>
      <c r="C131" s="2" t="s">
        <v>0</v>
      </c>
      <c r="D131" s="249" t="s">
        <v>2174</v>
      </c>
      <c r="E131" s="2" t="s">
        <v>83</v>
      </c>
      <c r="F131" s="2" t="s">
        <v>2453</v>
      </c>
    </row>
    <row r="132" spans="1:7" x14ac:dyDescent="0.25">
      <c r="A132" s="2" t="s">
        <v>1835</v>
      </c>
      <c r="B132" s="2" t="s">
        <v>1836</v>
      </c>
      <c r="C132" s="2" t="s">
        <v>0</v>
      </c>
      <c r="D132" s="249" t="s">
        <v>1837</v>
      </c>
      <c r="E132" s="2" t="s">
        <v>1000</v>
      </c>
      <c r="F132" s="2" t="s">
        <v>2454</v>
      </c>
    </row>
    <row r="133" spans="1:7" x14ac:dyDescent="0.25">
      <c r="A133" s="2" t="s">
        <v>1049</v>
      </c>
      <c r="B133" s="2" t="s">
        <v>1050</v>
      </c>
      <c r="C133" s="2" t="s">
        <v>0</v>
      </c>
      <c r="D133" s="249" t="s">
        <v>1051</v>
      </c>
      <c r="E133" s="2" t="s">
        <v>977</v>
      </c>
      <c r="F133" s="2" t="s">
        <v>2455</v>
      </c>
    </row>
    <row r="134" spans="1:7" x14ac:dyDescent="0.25">
      <c r="A134" s="2" t="s">
        <v>2150</v>
      </c>
      <c r="B134" s="2" t="s">
        <v>2151</v>
      </c>
      <c r="C134" s="2" t="s">
        <v>0</v>
      </c>
      <c r="D134" s="249" t="s">
        <v>2152</v>
      </c>
      <c r="E134" s="2" t="s">
        <v>34</v>
      </c>
      <c r="F134" s="2" t="s">
        <v>2456</v>
      </c>
    </row>
    <row r="135" spans="1:7" ht="30" x14ac:dyDescent="0.25">
      <c r="A135" s="2" t="s">
        <v>895</v>
      </c>
      <c r="B135" s="2" t="s">
        <v>896</v>
      </c>
      <c r="C135" s="2" t="s">
        <v>0</v>
      </c>
      <c r="D135" s="249" t="s">
        <v>897</v>
      </c>
      <c r="E135" s="2" t="s">
        <v>898</v>
      </c>
      <c r="F135" s="250" t="s">
        <v>2457</v>
      </c>
    </row>
    <row r="136" spans="1:7" x14ac:dyDescent="0.25">
      <c r="A136" s="2" t="s">
        <v>1115</v>
      </c>
      <c r="B136" s="2" t="s">
        <v>1116</v>
      </c>
      <c r="C136" s="2" t="s">
        <v>0</v>
      </c>
      <c r="D136" s="249" t="s">
        <v>1117</v>
      </c>
      <c r="E136" s="2" t="s">
        <v>887</v>
      </c>
      <c r="F136" s="2" t="s">
        <v>2455</v>
      </c>
    </row>
    <row r="137" spans="1:7" x14ac:dyDescent="0.25">
      <c r="A137" s="2" t="s">
        <v>1193</v>
      </c>
      <c r="B137" s="2" t="s">
        <v>1194</v>
      </c>
      <c r="C137" s="2" t="s">
        <v>0</v>
      </c>
      <c r="D137" s="249" t="s">
        <v>1195</v>
      </c>
      <c r="E137" s="2" t="s">
        <v>38</v>
      </c>
      <c r="F137" s="2" t="s">
        <v>2458</v>
      </c>
    </row>
    <row r="138" spans="1:7" x14ac:dyDescent="0.25">
      <c r="A138" s="195"/>
      <c r="B138" s="195"/>
      <c r="C138" s="195"/>
      <c r="D138" s="196"/>
      <c r="E138" s="195"/>
      <c r="F138" s="195"/>
    </row>
    <row r="139" spans="1:7" x14ac:dyDescent="0.25">
      <c r="A139" s="195"/>
      <c r="B139" s="195"/>
      <c r="C139" s="195"/>
      <c r="D139" s="195"/>
      <c r="E139" s="195"/>
      <c r="F139" s="195"/>
    </row>
    <row r="140" spans="1:7" x14ac:dyDescent="0.25">
      <c r="A140" s="361" t="s">
        <v>2354</v>
      </c>
      <c r="B140" s="361"/>
      <c r="C140" s="361"/>
      <c r="D140" s="361"/>
      <c r="E140" s="361"/>
      <c r="F140" s="361"/>
    </row>
    <row r="142" spans="1:7" ht="45" x14ac:dyDescent="0.25">
      <c r="A142" s="175" t="s">
        <v>2304</v>
      </c>
      <c r="B142" s="175" t="s">
        <v>2</v>
      </c>
      <c r="C142" s="175" t="s">
        <v>3</v>
      </c>
      <c r="D142" s="175" t="s">
        <v>4</v>
      </c>
      <c r="E142" s="175" t="s">
        <v>2305</v>
      </c>
      <c r="F142" s="175" t="s">
        <v>1314</v>
      </c>
      <c r="G142" s="175" t="s">
        <v>2309</v>
      </c>
    </row>
    <row r="143" spans="1:7" x14ac:dyDescent="0.25">
      <c r="A143" s="187" t="s">
        <v>1466</v>
      </c>
      <c r="B143" s="187" t="s">
        <v>1467</v>
      </c>
      <c r="C143" s="187" t="s">
        <v>12</v>
      </c>
      <c r="D143" s="206" t="s">
        <v>1468</v>
      </c>
      <c r="E143" s="187" t="s">
        <v>90</v>
      </c>
      <c r="F143" s="184" t="s">
        <v>2353</v>
      </c>
      <c r="G143" s="175"/>
    </row>
    <row r="144" spans="1:7" x14ac:dyDescent="0.25">
      <c r="A144" s="188" t="s">
        <v>1473</v>
      </c>
      <c r="B144" s="188" t="s">
        <v>1474</v>
      </c>
      <c r="C144" s="187" t="s">
        <v>12</v>
      </c>
      <c r="D144" s="207" t="s">
        <v>1475</v>
      </c>
      <c r="E144" s="188" t="s">
        <v>1476</v>
      </c>
      <c r="F144" s="184" t="s">
        <v>2353</v>
      </c>
      <c r="G144" s="175"/>
    </row>
    <row r="145" spans="1:7" x14ac:dyDescent="0.25">
      <c r="A145" s="187" t="s">
        <v>2330</v>
      </c>
      <c r="B145" s="187" t="s">
        <v>2331</v>
      </c>
      <c r="C145" s="187" t="s">
        <v>12</v>
      </c>
      <c r="D145" s="206" t="s">
        <v>2334</v>
      </c>
      <c r="E145" s="187" t="s">
        <v>43</v>
      </c>
      <c r="F145" s="184" t="s">
        <v>2353</v>
      </c>
      <c r="G145" s="175"/>
    </row>
    <row r="146" spans="1:7" x14ac:dyDescent="0.25">
      <c r="A146" s="187" t="s">
        <v>1582</v>
      </c>
      <c r="B146" s="187" t="s">
        <v>1583</v>
      </c>
      <c r="C146" s="187" t="s">
        <v>12</v>
      </c>
      <c r="D146" s="206" t="s">
        <v>1584</v>
      </c>
      <c r="E146" s="187" t="s">
        <v>48</v>
      </c>
      <c r="F146" s="191" t="s">
        <v>2365</v>
      </c>
      <c r="G146" s="175"/>
    </row>
    <row r="147" spans="1:7" x14ac:dyDescent="0.25">
      <c r="A147" s="187" t="s">
        <v>1526</v>
      </c>
      <c r="B147" s="187" t="s">
        <v>1527</v>
      </c>
      <c r="C147" s="187" t="s">
        <v>12</v>
      </c>
      <c r="D147" s="206" t="s">
        <v>1528</v>
      </c>
      <c r="E147" s="187" t="s">
        <v>43</v>
      </c>
      <c r="F147" s="184" t="s">
        <v>2527</v>
      </c>
      <c r="G147" s="175"/>
    </row>
    <row r="148" spans="1:7" x14ac:dyDescent="0.25">
      <c r="A148" s="187" t="s">
        <v>751</v>
      </c>
      <c r="B148" s="187" t="s">
        <v>752</v>
      </c>
      <c r="C148" s="187" t="s">
        <v>12</v>
      </c>
      <c r="D148" s="206" t="s">
        <v>753</v>
      </c>
      <c r="E148" s="187" t="s">
        <v>329</v>
      </c>
      <c r="F148" s="184" t="s">
        <v>2353</v>
      </c>
      <c r="G148" s="175"/>
    </row>
    <row r="149" spans="1:7" x14ac:dyDescent="0.25">
      <c r="A149" s="187" t="s">
        <v>1708</v>
      </c>
      <c r="B149" s="187" t="s">
        <v>1709</v>
      </c>
      <c r="C149" s="187" t="s">
        <v>12</v>
      </c>
      <c r="D149" s="206" t="s">
        <v>1710</v>
      </c>
      <c r="E149" s="187" t="s">
        <v>1692</v>
      </c>
      <c r="F149" s="184" t="s">
        <v>2353</v>
      </c>
      <c r="G149" s="175"/>
    </row>
    <row r="150" spans="1:7" x14ac:dyDescent="0.25">
      <c r="A150" s="188" t="s">
        <v>1522</v>
      </c>
      <c r="B150" s="188" t="s">
        <v>1523</v>
      </c>
      <c r="C150" s="187" t="s">
        <v>12</v>
      </c>
      <c r="D150" s="207" t="s">
        <v>1524</v>
      </c>
      <c r="E150" s="188" t="s">
        <v>1525</v>
      </c>
      <c r="F150" s="184" t="s">
        <v>2353</v>
      </c>
      <c r="G150" s="175"/>
    </row>
    <row r="151" spans="1:7" x14ac:dyDescent="0.25">
      <c r="A151" s="187" t="s">
        <v>701</v>
      </c>
      <c r="B151" s="187" t="s">
        <v>702</v>
      </c>
      <c r="C151" s="187" t="s">
        <v>12</v>
      </c>
      <c r="D151" s="206" t="s">
        <v>703</v>
      </c>
      <c r="E151" s="187" t="s">
        <v>652</v>
      </c>
      <c r="F151" s="184" t="s">
        <v>2353</v>
      </c>
      <c r="G151" s="175"/>
    </row>
    <row r="152" spans="1:7" x14ac:dyDescent="0.25">
      <c r="A152" s="187" t="s">
        <v>1705</v>
      </c>
      <c r="B152" s="187" t="s">
        <v>1706</v>
      </c>
      <c r="C152" s="187" t="s">
        <v>12</v>
      </c>
      <c r="D152" s="206" t="s">
        <v>1707</v>
      </c>
      <c r="E152" s="187" t="s">
        <v>48</v>
      </c>
      <c r="F152" s="184" t="s">
        <v>2353</v>
      </c>
      <c r="G152" s="175"/>
    </row>
    <row r="153" spans="1:7" x14ac:dyDescent="0.25">
      <c r="A153" s="187" t="s">
        <v>261</v>
      </c>
      <c r="B153" s="187" t="s">
        <v>262</v>
      </c>
      <c r="C153" s="187" t="s">
        <v>13</v>
      </c>
      <c r="D153" s="206" t="s">
        <v>263</v>
      </c>
      <c r="E153" s="187" t="s">
        <v>43</v>
      </c>
      <c r="F153" s="184" t="s">
        <v>2353</v>
      </c>
      <c r="G153" s="175"/>
    </row>
    <row r="154" spans="1:7" x14ac:dyDescent="0.25">
      <c r="A154" s="186" t="s">
        <v>978</v>
      </c>
      <c r="B154" s="186" t="s">
        <v>979</v>
      </c>
      <c r="C154" s="186" t="s">
        <v>0</v>
      </c>
      <c r="D154" s="208" t="s">
        <v>980</v>
      </c>
      <c r="E154" s="186" t="s">
        <v>33</v>
      </c>
      <c r="F154" s="192" t="s">
        <v>2361</v>
      </c>
      <c r="G154" s="175"/>
    </row>
    <row r="155" spans="1:7" ht="30" x14ac:dyDescent="0.25">
      <c r="A155" s="186" t="s">
        <v>2222</v>
      </c>
      <c r="B155" s="186" t="s">
        <v>2223</v>
      </c>
      <c r="C155" s="186" t="s">
        <v>0</v>
      </c>
      <c r="D155" s="208" t="s">
        <v>2224</v>
      </c>
      <c r="E155" s="186" t="s">
        <v>0</v>
      </c>
      <c r="F155" s="184" t="s">
        <v>2362</v>
      </c>
      <c r="G155" s="176"/>
    </row>
    <row r="156" spans="1:7" ht="30" x14ac:dyDescent="0.25">
      <c r="A156" s="186" t="s">
        <v>978</v>
      </c>
      <c r="B156" s="186" t="s">
        <v>979</v>
      </c>
      <c r="C156" s="186" t="s">
        <v>0</v>
      </c>
      <c r="D156" s="208" t="s">
        <v>980</v>
      </c>
      <c r="E156" s="186" t="s">
        <v>33</v>
      </c>
      <c r="F156" s="192" t="s">
        <v>2363</v>
      </c>
      <c r="G156" s="176"/>
    </row>
    <row r="157" spans="1:7" x14ac:dyDescent="0.25">
      <c r="A157" s="186" t="s">
        <v>1849</v>
      </c>
      <c r="B157" s="186" t="s">
        <v>1850</v>
      </c>
      <c r="C157" s="186" t="s">
        <v>0</v>
      </c>
      <c r="D157" s="208" t="s">
        <v>1851</v>
      </c>
      <c r="E157" s="186" t="s">
        <v>879</v>
      </c>
      <c r="F157" s="184" t="s">
        <v>2353</v>
      </c>
      <c r="G157" s="176"/>
    </row>
    <row r="158" spans="1:7" x14ac:dyDescent="0.25">
      <c r="A158" s="186" t="s">
        <v>1263</v>
      </c>
      <c r="B158" s="186" t="s">
        <v>1264</v>
      </c>
      <c r="C158" s="186" t="s">
        <v>0</v>
      </c>
      <c r="D158" s="208" t="s">
        <v>1265</v>
      </c>
      <c r="E158" s="186" t="s">
        <v>894</v>
      </c>
      <c r="F158" s="189" t="s">
        <v>2359</v>
      </c>
      <c r="G158" s="176"/>
    </row>
    <row r="159" spans="1:7" x14ac:dyDescent="0.25">
      <c r="A159" s="186" t="s">
        <v>1841</v>
      </c>
      <c r="B159" s="186" t="s">
        <v>1842</v>
      </c>
      <c r="C159" s="186" t="s">
        <v>0</v>
      </c>
      <c r="D159" s="208" t="s">
        <v>1843</v>
      </c>
      <c r="E159" s="186" t="s">
        <v>39</v>
      </c>
      <c r="F159" s="184" t="s">
        <v>2355</v>
      </c>
      <c r="G159" s="176"/>
    </row>
    <row r="160" spans="1:7" x14ac:dyDescent="0.25">
      <c r="A160" s="185" t="s">
        <v>1853</v>
      </c>
      <c r="B160" s="185" t="s">
        <v>1854</v>
      </c>
      <c r="C160" s="185" t="s">
        <v>0</v>
      </c>
      <c r="D160" s="209" t="s">
        <v>1852</v>
      </c>
      <c r="E160" s="185" t="s">
        <v>977</v>
      </c>
      <c r="F160" s="190" t="s">
        <v>2312</v>
      </c>
      <c r="G160" s="177" t="s">
        <v>2310</v>
      </c>
    </row>
    <row r="161" spans="1:7" ht="30" x14ac:dyDescent="0.25">
      <c r="A161" s="186" t="s">
        <v>1892</v>
      </c>
      <c r="B161" s="186" t="s">
        <v>1893</v>
      </c>
      <c r="C161" s="186" t="s">
        <v>0</v>
      </c>
      <c r="D161" s="208" t="s">
        <v>1894</v>
      </c>
      <c r="E161" s="186" t="s">
        <v>875</v>
      </c>
      <c r="F161" s="193" t="s">
        <v>2364</v>
      </c>
      <c r="G161" s="176" t="s">
        <v>2310</v>
      </c>
    </row>
    <row r="162" spans="1:7" x14ac:dyDescent="0.25">
      <c r="A162" s="187" t="s">
        <v>1049</v>
      </c>
      <c r="B162" s="187" t="s">
        <v>1050</v>
      </c>
      <c r="C162" s="187" t="s">
        <v>0</v>
      </c>
      <c r="D162" s="206" t="s">
        <v>1051</v>
      </c>
      <c r="E162" s="187" t="s">
        <v>977</v>
      </c>
      <c r="F162" s="187" t="s">
        <v>2353</v>
      </c>
      <c r="G162" s="176" t="s">
        <v>2310</v>
      </c>
    </row>
    <row r="163" spans="1:7" x14ac:dyDescent="0.25">
      <c r="A163" s="187" t="s">
        <v>1238</v>
      </c>
      <c r="B163" s="187" t="s">
        <v>1239</v>
      </c>
      <c r="C163" s="187" t="s">
        <v>0</v>
      </c>
      <c r="D163" s="206" t="s">
        <v>1240</v>
      </c>
      <c r="E163" s="187" t="s">
        <v>83</v>
      </c>
      <c r="F163" s="187" t="s">
        <v>2353</v>
      </c>
      <c r="G163" s="176"/>
    </row>
    <row r="164" spans="1:7" x14ac:dyDescent="0.25">
      <c r="A164" s="186" t="s">
        <v>1241</v>
      </c>
      <c r="B164" s="186" t="s">
        <v>1242</v>
      </c>
      <c r="C164" s="186" t="s">
        <v>0</v>
      </c>
      <c r="D164" s="208" t="s">
        <v>1243</v>
      </c>
      <c r="E164" s="186" t="s">
        <v>33</v>
      </c>
      <c r="F164" s="187" t="s">
        <v>2311</v>
      </c>
      <c r="G164" s="176" t="s">
        <v>2310</v>
      </c>
    </row>
    <row r="166" spans="1:7" x14ac:dyDescent="0.25">
      <c r="A166" s="361" t="s">
        <v>2313</v>
      </c>
      <c r="B166" s="361"/>
      <c r="C166" s="361"/>
      <c r="D166" s="361"/>
      <c r="E166" s="361"/>
      <c r="F166" s="361"/>
    </row>
    <row r="168" spans="1:7" ht="60" x14ac:dyDescent="0.25">
      <c r="A168" s="175" t="s">
        <v>2304</v>
      </c>
      <c r="B168" s="175" t="s">
        <v>2</v>
      </c>
      <c r="C168" s="175" t="s">
        <v>3</v>
      </c>
      <c r="D168" s="175" t="s">
        <v>4</v>
      </c>
      <c r="E168" s="175" t="s">
        <v>2305</v>
      </c>
      <c r="F168" s="175" t="s">
        <v>1314</v>
      </c>
      <c r="G168" s="175" t="s">
        <v>2314</v>
      </c>
    </row>
    <row r="169" spans="1:7" x14ac:dyDescent="0.25">
      <c r="A169" s="197" t="s">
        <v>1419</v>
      </c>
      <c r="B169" s="197" t="s">
        <v>1420</v>
      </c>
      <c r="C169" s="197" t="s">
        <v>13</v>
      </c>
      <c r="D169" s="198" t="s">
        <v>1421</v>
      </c>
      <c r="E169" s="197" t="s">
        <v>209</v>
      </c>
      <c r="F169" s="199" t="s">
        <v>2383</v>
      </c>
      <c r="G169" s="2"/>
    </row>
    <row r="170" spans="1:7" x14ac:dyDescent="0.25">
      <c r="A170" s="200" t="s">
        <v>2156</v>
      </c>
      <c r="B170" s="200" t="s">
        <v>2157</v>
      </c>
      <c r="C170" s="200" t="s">
        <v>0</v>
      </c>
      <c r="D170" s="201" t="s">
        <v>2158</v>
      </c>
      <c r="E170" s="200" t="s">
        <v>0</v>
      </c>
      <c r="F170" s="199" t="s">
        <v>2315</v>
      </c>
      <c r="G170" s="2"/>
    </row>
    <row r="171" spans="1:7" x14ac:dyDescent="0.25">
      <c r="A171" s="200" t="s">
        <v>2276</v>
      </c>
      <c r="B171" s="200" t="s">
        <v>2277</v>
      </c>
      <c r="C171" s="200" t="s">
        <v>0</v>
      </c>
      <c r="D171" s="201" t="s">
        <v>2278</v>
      </c>
      <c r="E171" s="200" t="s">
        <v>2279</v>
      </c>
      <c r="F171" s="199" t="s">
        <v>2315</v>
      </c>
      <c r="G171" s="2"/>
    </row>
    <row r="172" spans="1:7" x14ac:dyDescent="0.25">
      <c r="A172" s="200" t="s">
        <v>1101</v>
      </c>
      <c r="B172" s="200" t="s">
        <v>1102</v>
      </c>
      <c r="C172" s="200" t="s">
        <v>0</v>
      </c>
      <c r="D172" s="201" t="s">
        <v>1103</v>
      </c>
      <c r="E172" s="200" t="s">
        <v>38</v>
      </c>
      <c r="F172" s="199" t="s">
        <v>2316</v>
      </c>
      <c r="G172" s="2"/>
    </row>
    <row r="173" spans="1:7" x14ac:dyDescent="0.25">
      <c r="A173" s="200" t="s">
        <v>2317</v>
      </c>
      <c r="B173" s="202" t="s">
        <v>2291</v>
      </c>
      <c r="C173" s="200" t="s">
        <v>12</v>
      </c>
      <c r="D173" s="201" t="s">
        <v>2318</v>
      </c>
      <c r="E173" s="200" t="s">
        <v>2293</v>
      </c>
      <c r="F173" s="199" t="s">
        <v>2319</v>
      </c>
      <c r="G173" s="2"/>
    </row>
    <row r="174" spans="1:7" x14ac:dyDescent="0.25">
      <c r="A174" s="200" t="s">
        <v>2070</v>
      </c>
      <c r="B174" s="200" t="s">
        <v>2071</v>
      </c>
      <c r="C174" s="200" t="s">
        <v>12</v>
      </c>
      <c r="D174" s="201" t="s">
        <v>2072</v>
      </c>
      <c r="E174" s="200" t="s">
        <v>46</v>
      </c>
      <c r="F174" s="199" t="s">
        <v>2320</v>
      </c>
      <c r="G174" s="2"/>
    </row>
    <row r="175" spans="1:7" ht="26.25" customHeight="1" x14ac:dyDescent="0.25">
      <c r="A175" s="200" t="s">
        <v>1963</v>
      </c>
      <c r="B175" s="200" t="s">
        <v>1964</v>
      </c>
      <c r="C175" s="200" t="s">
        <v>0</v>
      </c>
      <c r="D175" s="201" t="s">
        <v>1965</v>
      </c>
      <c r="E175" s="200" t="s">
        <v>1055</v>
      </c>
      <c r="F175" s="203" t="s">
        <v>2321</v>
      </c>
      <c r="G175" s="2"/>
    </row>
    <row r="176" spans="1:7" ht="26.25" customHeight="1" x14ac:dyDescent="0.25">
      <c r="A176" s="200"/>
      <c r="B176" s="200">
        <v>22392865</v>
      </c>
      <c r="C176" s="200" t="s">
        <v>0</v>
      </c>
      <c r="D176" s="201" t="s">
        <v>2384</v>
      </c>
      <c r="E176" s="197" t="s">
        <v>2358</v>
      </c>
      <c r="F176" s="199" t="s">
        <v>2320</v>
      </c>
      <c r="G176" s="2"/>
    </row>
    <row r="177" spans="1:7" x14ac:dyDescent="0.25">
      <c r="A177" s="200"/>
      <c r="B177" s="200"/>
      <c r="C177" s="200" t="s">
        <v>12</v>
      </c>
      <c r="D177" s="201" t="s">
        <v>2322</v>
      </c>
      <c r="E177" s="200" t="s">
        <v>12</v>
      </c>
      <c r="F177" s="199" t="s">
        <v>2320</v>
      </c>
      <c r="G177" s="2"/>
    </row>
    <row r="178" spans="1:7" x14ac:dyDescent="0.25">
      <c r="A178" s="200"/>
      <c r="B178" s="201">
        <v>22393003</v>
      </c>
      <c r="C178" s="197" t="s">
        <v>0</v>
      </c>
      <c r="D178" s="198" t="s">
        <v>2357</v>
      </c>
      <c r="E178" s="197" t="s">
        <v>2358</v>
      </c>
      <c r="F178" s="204" t="s">
        <v>2356</v>
      </c>
    </row>
    <row r="179" spans="1:7" x14ac:dyDescent="0.25">
      <c r="A179" s="200" t="s">
        <v>2366</v>
      </c>
      <c r="B179" s="200" t="s">
        <v>2367</v>
      </c>
      <c r="C179" s="200" t="s">
        <v>12</v>
      </c>
      <c r="D179" s="201" t="s">
        <v>2370</v>
      </c>
      <c r="E179" s="200" t="s">
        <v>309</v>
      </c>
      <c r="F179" s="199" t="s">
        <v>2320</v>
      </c>
    </row>
    <row r="180" spans="1:7" x14ac:dyDescent="0.25">
      <c r="A180" s="200" t="s">
        <v>2326</v>
      </c>
      <c r="B180" s="200" t="s">
        <v>2327</v>
      </c>
      <c r="C180" s="200" t="s">
        <v>12</v>
      </c>
      <c r="D180" s="201" t="s">
        <v>2328</v>
      </c>
      <c r="E180" s="200" t="s">
        <v>191</v>
      </c>
      <c r="F180" s="205" t="s">
        <v>2385</v>
      </c>
    </row>
    <row r="181" spans="1:7" x14ac:dyDescent="0.25">
      <c r="A181" s="200" t="s">
        <v>2339</v>
      </c>
      <c r="B181" s="200" t="s">
        <v>2340</v>
      </c>
      <c r="C181" s="200" t="s">
        <v>0</v>
      </c>
      <c r="D181" s="201" t="s">
        <v>2346</v>
      </c>
      <c r="E181" s="200" t="s">
        <v>1094</v>
      </c>
      <c r="F181" s="199" t="s">
        <v>2320</v>
      </c>
    </row>
    <row r="182" spans="1:7" x14ac:dyDescent="0.25">
      <c r="A182" s="200" t="s">
        <v>2337</v>
      </c>
      <c r="B182" s="200" t="s">
        <v>2338</v>
      </c>
      <c r="C182" s="200" t="s">
        <v>0</v>
      </c>
      <c r="D182" s="201" t="s">
        <v>2345</v>
      </c>
      <c r="E182" s="200" t="s">
        <v>977</v>
      </c>
      <c r="F182" s="199" t="s">
        <v>2320</v>
      </c>
    </row>
    <row r="183" spans="1:7" x14ac:dyDescent="0.25">
      <c r="A183" s="200" t="s">
        <v>2324</v>
      </c>
      <c r="B183" s="200" t="s">
        <v>2325</v>
      </c>
      <c r="C183" s="200" t="s">
        <v>13</v>
      </c>
      <c r="D183" s="201" t="s">
        <v>179</v>
      </c>
      <c r="E183" s="200" t="s">
        <v>43</v>
      </c>
      <c r="F183" s="199" t="s">
        <v>2320</v>
      </c>
    </row>
  </sheetData>
  <autoFilter ref="A142:F164" xr:uid="{CB775372-08A5-460E-8DF3-1BB34C2D5151}">
    <filterColumn colId="2">
      <filters>
        <filter val="PACHAYZA"/>
      </filters>
    </filterColumn>
  </autoFilter>
  <mergeCells count="4">
    <mergeCell ref="A140:F140"/>
    <mergeCell ref="A166:F166"/>
    <mergeCell ref="A1:F1"/>
    <mergeCell ref="A97:H97"/>
  </mergeCells>
  <pageMargins left="0" right="0" top="0.55118110236220474" bottom="0" header="0.31496062992125984" footer="0"/>
  <pageSetup paperSize="9" scale="66" fitToHeight="0" orientation="portrait" horizontalDpi="4294967293" verticalDpi="0" r:id="rId1"/>
  <rowBreaks count="1" manualBreakCount="1">
    <brk id="1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RECIBOS</vt:lpstr>
      <vt:lpstr>CAJA</vt:lpstr>
      <vt:lpstr>INGRESOS</vt:lpstr>
      <vt:lpstr>EGRESOS</vt:lpstr>
      <vt:lpstr>RESUMEN JUNIO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2026-08-02T15:30:19Z</cp:lastPrinted>
  <dcterms:created xsi:type="dcterms:W3CDTF">2024-06-04T19:24:28Z</dcterms:created>
  <dcterms:modified xsi:type="dcterms:W3CDTF">2026-09-16T14:30:01Z</dcterms:modified>
</cp:coreProperties>
</file>