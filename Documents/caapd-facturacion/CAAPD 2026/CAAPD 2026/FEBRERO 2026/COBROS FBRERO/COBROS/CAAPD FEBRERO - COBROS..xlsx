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FEBRERO 2026\COBROS FBRERO\COBROS\"/>
    </mc:Choice>
  </mc:AlternateContent>
  <xr:revisionPtr revIDLastSave="0" documentId="13_ncr:1_{9921E9FD-96A9-41BF-97E5-86234BB45204}" xr6:coauthVersionLast="47" xr6:coauthVersionMax="47" xr10:uidLastSave="{00000000-0000-0000-0000-000000000000}"/>
  <bookViews>
    <workbookView xWindow="-120" yWindow="-120" windowWidth="29040" windowHeight="15720" activeTab="1" xr2:uid="{E1AABF5D-0911-4144-88A6-EAB6D0436F4F}"/>
  </bookViews>
  <sheets>
    <sheet name="CAJA" sheetId="5" r:id="rId1"/>
    <sheet name="RECIBOS" sheetId="1" r:id="rId2"/>
    <sheet name="INGRESOS" sheetId="3" r:id="rId3"/>
    <sheet name="EGRESOS" sheetId="4" r:id="rId4"/>
    <sheet name="RESUMEN CAJA" sheetId="9" r:id="rId5"/>
    <sheet name="CAJA MAYOR RESUMEN" sheetId="15" r:id="rId6"/>
    <sheet name="MEDI OBS" sheetId="13" r:id="rId7"/>
    <sheet name="DEUDA" sheetId="10" r:id="rId8"/>
    <sheet name="IMPRE" sheetId="12" r:id="rId9"/>
    <sheet name="enero" sheetId="19" r:id="rId10"/>
    <sheet name="corte enero" sheetId="23" r:id="rId11"/>
  </sheets>
  <definedNames>
    <definedName name="_xlnm._FilterDatabase" localSheetId="0" hidden="1">CAJA!$A$6:$I$38</definedName>
    <definedName name="_xlnm._FilterDatabase" localSheetId="10" hidden="1">'corte enero'!$C$3:$H$97</definedName>
    <definedName name="_xlnm._FilterDatabase" localSheetId="3" hidden="1">EGRESOS!$B$3:$F$39</definedName>
    <definedName name="_xlnm._FilterDatabase" localSheetId="2" hidden="1">INGRESOS!$B$12:$F$12</definedName>
    <definedName name="_xlnm._FilterDatabase" localSheetId="1" hidden="1">RECIBOS!$A$3:$M$637</definedName>
    <definedName name="_xlnm.Print_Area" localSheetId="10">'corte enero'!$C$1:$H$97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6" i="3" l="1"/>
  <c r="C216" i="3"/>
  <c r="F215" i="3"/>
  <c r="C215" i="3"/>
  <c r="F214" i="3"/>
  <c r="C214" i="3"/>
  <c r="F213" i="3"/>
  <c r="C213" i="3"/>
  <c r="F212" i="3"/>
  <c r="C212" i="3"/>
  <c r="F211" i="3"/>
  <c r="C211" i="3"/>
  <c r="C217" i="3" l="1"/>
  <c r="F217" i="3"/>
  <c r="G180" i="3" l="1"/>
  <c r="G178" i="3"/>
  <c r="G174" i="3"/>
  <c r="G169" i="3"/>
  <c r="H180" i="3" l="1"/>
  <c r="M211" i="1"/>
  <c r="M186" i="1" l="1"/>
  <c r="M172" i="1"/>
  <c r="G165" i="3"/>
  <c r="G162" i="3"/>
  <c r="G157" i="3"/>
  <c r="G148" i="3"/>
  <c r="G141" i="3"/>
  <c r="G132" i="3"/>
  <c r="G125" i="3"/>
  <c r="M165" i="1"/>
  <c r="M151" i="1"/>
  <c r="M142" i="1"/>
  <c r="M138" i="1"/>
  <c r="M130" i="1"/>
  <c r="M123" i="1"/>
  <c r="M119" i="1"/>
  <c r="M117" i="1"/>
  <c r="M101" i="1"/>
  <c r="M90" i="1"/>
  <c r="M72" i="1"/>
  <c r="G119" i="3"/>
  <c r="G116" i="3"/>
  <c r="G113" i="3"/>
  <c r="G108" i="3"/>
  <c r="G105" i="3"/>
  <c r="G101" i="3"/>
  <c r="G97" i="3"/>
  <c r="M64" i="1"/>
  <c r="M56" i="1"/>
  <c r="M39" i="1"/>
  <c r="G89" i="3"/>
  <c r="G85" i="3"/>
  <c r="G81" i="3"/>
  <c r="G75" i="3"/>
  <c r="G71" i="3"/>
  <c r="G65" i="3"/>
  <c r="G59" i="3"/>
  <c r="G47" i="3"/>
  <c r="M35" i="1"/>
  <c r="H165" i="3" l="1"/>
  <c r="M28" i="1"/>
  <c r="F195" i="3" l="1"/>
  <c r="F39" i="4" l="1"/>
  <c r="F182" i="3" l="1"/>
  <c r="F205" i="3"/>
  <c r="L1058" i="1" l="1"/>
  <c r="C31" i="5" l="1"/>
  <c r="C32" i="5"/>
  <c r="C30" i="5"/>
  <c r="G8" i="5" l="1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7" i="5"/>
  <c r="C37" i="5"/>
  <c r="H7" i="5"/>
  <c r="B7" i="5"/>
  <c r="D7" i="5"/>
  <c r="G38" i="5" l="1"/>
  <c r="G42" i="5" s="1"/>
  <c r="B24" i="5" l="1"/>
  <c r="B25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 l="1"/>
  <c r="G43" i="15"/>
  <c r="G40" i="15"/>
  <c r="G29" i="15"/>
  <c r="G9" i="15"/>
  <c r="G15" i="15" l="1"/>
  <c r="E8" i="5" l="1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C7" i="5"/>
  <c r="E38" i="5" l="1"/>
  <c r="C3" i="3" l="1"/>
  <c r="C4" i="3"/>
  <c r="C5" i="3"/>
  <c r="C8" i="3"/>
  <c r="C7" i="3"/>
  <c r="C6" i="3"/>
  <c r="F3" i="3"/>
  <c r="F4" i="3"/>
  <c r="F5" i="3" l="1"/>
  <c r="F6" i="3"/>
  <c r="F7" i="3"/>
  <c r="F8" i="3"/>
  <c r="F9" i="3" l="1"/>
  <c r="I468" i="12" l="1"/>
  <c r="I466" i="12"/>
  <c r="I290" i="12"/>
  <c r="I235" i="12"/>
  <c r="I205" i="12"/>
  <c r="I198" i="12"/>
  <c r="I7" i="12"/>
  <c r="D14" i="10"/>
  <c r="F7" i="5" a="1"/>
  <c r="F7" i="5" s="1"/>
  <c r="E12" i="9"/>
  <c r="G33" i="9"/>
  <c r="G6" i="9"/>
  <c r="G18" i="9" s="1"/>
  <c r="G35" i="9" l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3" i="5"/>
  <c r="C34" i="5"/>
  <c r="C35" i="5"/>
  <c r="C36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D35" i="5" l="1"/>
  <c r="H8" i="5" l="1"/>
  <c r="H9" i="5"/>
  <c r="H10" i="5"/>
  <c r="H11" i="5"/>
  <c r="H12" i="5"/>
  <c r="D36" i="5" l="1"/>
  <c r="C8" i="5"/>
  <c r="D8" i="5"/>
  <c r="C9" i="5"/>
  <c r="D9" i="5"/>
  <c r="C10" i="5"/>
  <c r="D10" i="5"/>
  <c r="C11" i="5"/>
  <c r="D11" i="5"/>
  <c r="C12" i="5"/>
  <c r="D12" i="5"/>
  <c r="C13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7" i="5"/>
  <c r="H37" i="5"/>
  <c r="C38" i="5" l="1"/>
  <c r="H38" i="5"/>
  <c r="H42" i="5" s="1"/>
  <c r="D38" i="5"/>
  <c r="I7" i="5"/>
  <c r="F69" i="4" l="1"/>
  <c r="F60" i="4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6" i="5"/>
  <c r="F15" i="5"/>
  <c r="F14" i="5"/>
  <c r="F13" i="5"/>
  <c r="F12" i="5"/>
  <c r="F11" i="5"/>
  <c r="F9" i="5"/>
  <c r="F8" i="5"/>
  <c r="I8" i="5" l="1"/>
  <c r="I9" i="5" s="1"/>
  <c r="C9" i="3"/>
  <c r="F10" i="5"/>
  <c r="F17" i="5"/>
  <c r="F38" i="5" l="1"/>
  <c r="C42" i="5" s="1"/>
  <c r="I42" i="5" s="1"/>
  <c r="I48" i="5" s="1"/>
  <c r="I10" i="5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</calcChain>
</file>

<file path=xl/sharedStrings.xml><?xml version="1.0" encoding="utf-8"?>
<sst xmlns="http://schemas.openxmlformats.org/spreadsheetml/2006/main" count="13427" uniqueCount="2803">
  <si>
    <t>PACHAYZA</t>
  </si>
  <si>
    <t>N° CONEXIÓN</t>
  </si>
  <si>
    <t>N° MEDIDOR</t>
  </si>
  <si>
    <t>BARRIO</t>
  </si>
  <si>
    <t>BENEFICIARIO</t>
  </si>
  <si>
    <t>Dirección</t>
  </si>
  <si>
    <t>lect. Ant</t>
  </si>
  <si>
    <t>lect. Actual</t>
  </si>
  <si>
    <t>MESES</t>
  </si>
  <si>
    <t>CANT. MES</t>
  </si>
  <si>
    <t>MONTO</t>
  </si>
  <si>
    <t>TOTAL - DIA</t>
  </si>
  <si>
    <t>CHAUPI</t>
  </si>
  <si>
    <t>LUCMANI</t>
  </si>
  <si>
    <t>HUAQUILLO</t>
  </si>
  <si>
    <t>TOTAL</t>
  </si>
  <si>
    <t>AYACUCHO</t>
  </si>
  <si>
    <t>CHAUPICERCA</t>
  </si>
  <si>
    <t xml:space="preserve">DESCRIPCION </t>
  </si>
  <si>
    <t>SUMA TOTAL</t>
  </si>
  <si>
    <t xml:space="preserve">FECHA </t>
  </si>
  <si>
    <t>N° REC.</t>
  </si>
  <si>
    <t xml:space="preserve"> FECHA </t>
  </si>
  <si>
    <t>DESCRIPCION</t>
  </si>
  <si>
    <t>TOTAL DE EGRESOS</t>
  </si>
  <si>
    <t>TOTAL  DE GASTOS</t>
  </si>
  <si>
    <t>FECHA</t>
  </si>
  <si>
    <t>EGRESO TOTAL</t>
  </si>
  <si>
    <t>SALDO TOTAL</t>
  </si>
  <si>
    <t>COPIAS/IMPRESIONES</t>
  </si>
  <si>
    <t>INGRESO RECIBOS</t>
  </si>
  <si>
    <t>INGRESOS VARIABLES</t>
  </si>
  <si>
    <t>HUAQUILLO S/N</t>
  </si>
  <si>
    <t>SECTOR PACHAYZA - PARTE BAJA</t>
  </si>
  <si>
    <t>SECTOR PACHAYZA- PARTE BAJA</t>
  </si>
  <si>
    <t>SECTOR PACHAYZA-PAMPA</t>
  </si>
  <si>
    <t>TORRES COA,NICOLASA LEONCIA</t>
  </si>
  <si>
    <t>000229</t>
  </si>
  <si>
    <t>SECTOR PACHAYZA -TARAPATA</t>
  </si>
  <si>
    <t>PACHAYZA-PARTE BAJA</t>
  </si>
  <si>
    <t>CRUZ CASTRO WILVER</t>
  </si>
  <si>
    <t>21130893</t>
  </si>
  <si>
    <t>000700</t>
  </si>
  <si>
    <t>LUCMANI S/N</t>
  </si>
  <si>
    <t>CALLE 05 DE AGOSTO S/N</t>
  </si>
  <si>
    <t>CALLE LUCMANI</t>
  </si>
  <si>
    <t>CALLE 28 DE JULIO S/N</t>
  </si>
  <si>
    <t>PASAJE SAN ISIDRO S/N</t>
  </si>
  <si>
    <t>CALLE SAN SEBASTIAN S/N</t>
  </si>
  <si>
    <t>AVENIDA  AVIACION S/N</t>
  </si>
  <si>
    <t>RAMIREZ TORRES ,NERI CRISTINA</t>
  </si>
  <si>
    <t xml:space="preserve"> </t>
  </si>
  <si>
    <t>AVENIDA AVIACION S/N</t>
  </si>
  <si>
    <t>SIVINCHA DE CHAVEZ,MARIA SANTOS</t>
  </si>
  <si>
    <t>6593289</t>
  </si>
  <si>
    <t>000050</t>
  </si>
  <si>
    <t>S/N</t>
  </si>
  <si>
    <t>CAJA INICIAL DEL MES</t>
  </si>
  <si>
    <t>INGRESOS</t>
  </si>
  <si>
    <t>COBRO DE RECIBOS</t>
  </si>
  <si>
    <t>Chaupi</t>
  </si>
  <si>
    <t>Pachayza</t>
  </si>
  <si>
    <t>Lucmani</t>
  </si>
  <si>
    <t>Huaquillo</t>
  </si>
  <si>
    <t>Ayacucho</t>
  </si>
  <si>
    <t>Chaupicerca</t>
  </si>
  <si>
    <t>COPIAS E IMPRESIONES, DOCUMENTOS</t>
  </si>
  <si>
    <t>INGRESO TOTAL</t>
  </si>
  <si>
    <t>EGRESOS</t>
  </si>
  <si>
    <t>ALIMENTACION (directiva, personal y otros)</t>
  </si>
  <si>
    <t xml:space="preserve">SALDO </t>
  </si>
  <si>
    <t>FECHA DE PAGO</t>
  </si>
  <si>
    <t>N° REC</t>
  </si>
  <si>
    <t>COD</t>
  </si>
  <si>
    <t>SALDO FINAL</t>
  </si>
  <si>
    <t>000712</t>
  </si>
  <si>
    <t>220017320</t>
  </si>
  <si>
    <t>CHUQUIYANQUI DURAN NATY LUZ</t>
  </si>
  <si>
    <t>000339</t>
  </si>
  <si>
    <t>200002898</t>
  </si>
  <si>
    <t>CRUZ MANCILLA ,NOYA SAIDA</t>
  </si>
  <si>
    <t>000340</t>
  </si>
  <si>
    <t>60061410</t>
  </si>
  <si>
    <t>000728</t>
  </si>
  <si>
    <t>200031258</t>
  </si>
  <si>
    <t>VERA PALOMINO, REMIGIO MANUEL</t>
  </si>
  <si>
    <t>SECTOR PACHAYZA - PARTE ALTA</t>
  </si>
  <si>
    <t>000256</t>
  </si>
  <si>
    <t>6570764</t>
  </si>
  <si>
    <t>URDAY TORRES SILVIA VITALIA</t>
  </si>
  <si>
    <t>SECTOR PACHAYZA- PARTE ALTA</t>
  </si>
  <si>
    <t>000354</t>
  </si>
  <si>
    <t>GUTIERREZ CHALCO ,DARIO</t>
  </si>
  <si>
    <t>CALLE VIRGEN DE LAS NIEVES S/N</t>
  </si>
  <si>
    <t>000412</t>
  </si>
  <si>
    <t>60062082</t>
  </si>
  <si>
    <t>MANSILLA NAVINTA ,MERCEDES</t>
  </si>
  <si>
    <t>000392</t>
  </si>
  <si>
    <t>60062069</t>
  </si>
  <si>
    <t>MANSILLA NAVINTA MERCEDES</t>
  </si>
  <si>
    <t>PASAJE LA  SALLE  S/N</t>
  </si>
  <si>
    <t>000332</t>
  </si>
  <si>
    <t>6578564</t>
  </si>
  <si>
    <t>CORIMANYA ARUTAIPE ,ESTEFA AURORA</t>
  </si>
  <si>
    <t>000664</t>
  </si>
  <si>
    <t>200011838</t>
  </si>
  <si>
    <t>HUAMANI URDAY VICTOR VICENTE</t>
  </si>
  <si>
    <t>000198</t>
  </si>
  <si>
    <t>6586849</t>
  </si>
  <si>
    <t>MOTTA NEYRA,ABELINA AGEDA</t>
  </si>
  <si>
    <t>SECTOR PACHAYZA  - PUCRO</t>
  </si>
  <si>
    <t>000074</t>
  </si>
  <si>
    <t>6593585</t>
  </si>
  <si>
    <t xml:space="preserve">HUAMANI VERA ,JOSEFA LOURDES </t>
  </si>
  <si>
    <t>000555</t>
  </si>
  <si>
    <t>9090634</t>
  </si>
  <si>
    <t>CALLE SAN ISIDRO S/N</t>
  </si>
  <si>
    <t>000208</t>
  </si>
  <si>
    <t>9091738</t>
  </si>
  <si>
    <t>PALOMINO NEYRA ,MAGNO ELISEO</t>
  </si>
  <si>
    <t>000299</t>
  </si>
  <si>
    <t>6581512</t>
  </si>
  <si>
    <t>CASTRO USCAMITA ,REGINA</t>
  </si>
  <si>
    <t>000280</t>
  </si>
  <si>
    <t>60062051</t>
  </si>
  <si>
    <t xml:space="preserve">ARUTAIPE COA ,CONCEPCION ESTEFA </t>
  </si>
  <si>
    <t>000390</t>
  </si>
  <si>
    <t>6577445</t>
  </si>
  <si>
    <t>HUAMANI USCAMAITA ,HIPOLITO</t>
  </si>
  <si>
    <t>CALLE LOS ESTUDIANTES S/N</t>
  </si>
  <si>
    <t>000191</t>
  </si>
  <si>
    <t>6573820</t>
  </si>
  <si>
    <t>MONTALVO VERA , LISMINA SUSANA</t>
  </si>
  <si>
    <t>000192</t>
  </si>
  <si>
    <t>6586742</t>
  </si>
  <si>
    <t>MONTALVO VERA ROY EDSON</t>
  </si>
  <si>
    <t>000596</t>
  </si>
  <si>
    <t>19003881</t>
  </si>
  <si>
    <t>MONTALVO HUAMANI VALENTIN ABELINO</t>
  </si>
  <si>
    <t>000200</t>
  </si>
  <si>
    <t>6586927</t>
  </si>
  <si>
    <t>NAVINTA MONTALVO JESUS EFRAIN</t>
  </si>
  <si>
    <t>AGOSTO-NOVIEMBRE</t>
  </si>
  <si>
    <t>OCTUBRE-DICIEMBRE</t>
  </si>
  <si>
    <t>NOVIEMBRE-DICIEMBRE</t>
  </si>
  <si>
    <t>DICIEMBRE</t>
  </si>
  <si>
    <t>200005309</t>
  </si>
  <si>
    <t>000577</t>
  </si>
  <si>
    <t>09092524</t>
  </si>
  <si>
    <t>TORRES VERA, ELISABETH</t>
  </si>
  <si>
    <t>CALLE, LOS ESTUDIANTES S/N</t>
  </si>
  <si>
    <t>000157</t>
  </si>
  <si>
    <t>6584846</t>
  </si>
  <si>
    <t>HUAMANI ILATAYPE,ATENEA DIVINIDAD</t>
  </si>
  <si>
    <t>000013</t>
  </si>
  <si>
    <t>21003043</t>
  </si>
  <si>
    <t xml:space="preserve">CHUQUIYANQUI HUAMANI,ETELVINA VILMA </t>
  </si>
  <si>
    <t>000684</t>
  </si>
  <si>
    <t>200031254</t>
  </si>
  <si>
    <t>ESCOBAR CHUQUIYANQUI LISBET NATALI</t>
  </si>
  <si>
    <t>000036</t>
  </si>
  <si>
    <t>MONTALVO ARUTAYPE,MARIA FELICIANA</t>
  </si>
  <si>
    <t>000034</t>
  </si>
  <si>
    <t>6593296</t>
  </si>
  <si>
    <t>MANCILLA CASTRO,MIGUEL</t>
  </si>
  <si>
    <t>000672</t>
  </si>
  <si>
    <t>21003054</t>
  </si>
  <si>
    <t>ANTACHOQUE HERENCIA GENESIS</t>
  </si>
  <si>
    <t>CALLE 20 DE JULIO</t>
  </si>
  <si>
    <t>000528</t>
  </si>
  <si>
    <t>6593681</t>
  </si>
  <si>
    <t xml:space="preserve">CHAUCAYANQUI ALVAREZ,CLEMENTE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</si>
  <si>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</si>
  <si>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</si>
  <si>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</si>
  <si>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</si>
  <si>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</si>
  <si>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</si>
  <si>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</si>
  <si>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</si>
  <si>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000536</t>
  </si>
  <si>
    <t>6593726</t>
  </si>
  <si>
    <t>USCAMAYTA NEYRA,DAVID JESUS</t>
  </si>
  <si>
    <t>000002</t>
  </si>
  <si>
    <t>6659764</t>
  </si>
  <si>
    <t xml:space="preserve">ANTACHOQUE MOTA,JUANA HILDA </t>
  </si>
  <si>
    <t>000003</t>
  </si>
  <si>
    <t>21003044</t>
  </si>
  <si>
    <t>ANTACHOQUE VERA,DAVID TOMAS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</si>
  <si>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</si>
  <si>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</si>
  <si>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</si>
  <si>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</si>
  <si>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</si>
  <si>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</si>
  <si>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</si>
  <si>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</si>
  <si>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</si>
  <si>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000651</t>
  </si>
  <si>
    <t>22392656</t>
  </si>
  <si>
    <t>CABRERA CARPIO UBER</t>
  </si>
  <si>
    <t>CALLE LUCMANI S/N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</si>
  <si>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</si>
  <si>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</si>
  <si>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</si>
  <si>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</si>
  <si>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</si>
  <si>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</si>
  <si>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</si>
  <si>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</si>
  <si>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</si>
  <si>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000669</t>
  </si>
  <si>
    <t>21003048</t>
  </si>
  <si>
    <t>CHAVEZ ANTACHOQUE HENRRY</t>
  </si>
  <si>
    <t>SECTOR JENCHO</t>
  </si>
  <si>
    <t>SECTOR GABINAYOC</t>
  </si>
  <si>
    <t>000548</t>
  </si>
  <si>
    <t>09092433</t>
  </si>
  <si>
    <t>ESCOBAR MANCILLA WALTER</t>
  </si>
  <si>
    <t>AUCAYPATA</t>
  </si>
  <si>
    <t>000685</t>
  </si>
  <si>
    <t>200031244</t>
  </si>
  <si>
    <t>FLORES QUISPE ROSA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</si>
  <si>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</si>
  <si>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</si>
  <si>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</si>
  <si>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</si>
  <si>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</si>
  <si>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</si>
  <si>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</si>
  <si>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</si>
  <si>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</si>
  <si>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</si>
  <si>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</si>
  <si>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</si>
  <si>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</si>
  <si>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</si>
  <si>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</si>
  <si>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</si>
  <si>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</si>
  <si>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</si>
  <si>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</si>
  <si>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</si>
  <si>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</si>
  <si>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</si>
  <si>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</si>
  <si>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</si>
  <si>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</si>
  <si>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</si>
  <si>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</si>
  <si>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</si>
  <si>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</si>
  <si>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</si>
  <si>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</si>
  <si>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</si>
  <si>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</si>
  <si>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</si>
  <si>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</si>
  <si>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</si>
  <si>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</si>
  <si>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</si>
  <si>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</si>
  <si>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000033</t>
  </si>
  <si>
    <t>21130890</t>
  </si>
  <si>
    <t xml:space="preserve">LUQUE VERA,URCLANIEL JANIOR 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</si>
  <si>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</si>
  <si>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</si>
  <si>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</si>
  <si>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</si>
  <si>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</si>
  <si>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</si>
  <si>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</si>
  <si>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</si>
  <si>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</si>
  <si>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000040</t>
  </si>
  <si>
    <t>20102672</t>
  </si>
  <si>
    <t xml:space="preserve">MONTALVO TORRES,MANUELA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</si>
  <si>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</si>
  <si>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</si>
  <si>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</si>
  <si>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</si>
  <si>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</si>
  <si>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</si>
  <si>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</si>
  <si>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</si>
  <si>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</si>
  <si>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</si>
  <si>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</si>
  <si>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</si>
  <si>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000049</t>
  </si>
  <si>
    <t>6591593</t>
  </si>
  <si>
    <t xml:space="preserve">RAMIREZ HUAMANI,MARIA LETICIA </t>
  </si>
  <si>
    <t>000051</t>
  </si>
  <si>
    <t>6659885</t>
  </si>
  <si>
    <t xml:space="preserve">TORRES LOPEZ,JULIANA </t>
  </si>
  <si>
    <t>000052</t>
  </si>
  <si>
    <t>6580285</t>
  </si>
  <si>
    <t>USCAMAYTA NEYRA,MIJAIL GUSMAN</t>
  </si>
  <si>
    <t>000054</t>
  </si>
  <si>
    <t>6591590</t>
  </si>
  <si>
    <t xml:space="preserve">VERA REVILLA ,FIDELISA 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</si>
  <si>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</si>
  <si>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</si>
  <si>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</si>
  <si>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</si>
  <si>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</si>
  <si>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</si>
  <si>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</si>
  <si>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</si>
  <si>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</si>
  <si>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</si>
  <si>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</si>
  <si>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</si>
  <si>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</si>
  <si>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</si>
  <si>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</si>
  <si>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000276</t>
  </si>
  <si>
    <t>60062119</t>
  </si>
  <si>
    <t>ANTACHOQUE ESCOBAR ,AMELIA</t>
  </si>
  <si>
    <t>CALLE 28 DE JULIO</t>
  </si>
  <si>
    <t>000277</t>
  </si>
  <si>
    <t>6562530</t>
  </si>
  <si>
    <t>ANTACHOQUE MANCILLA JUANA</t>
  </si>
  <si>
    <t>000275</t>
  </si>
  <si>
    <t>6590170</t>
  </si>
  <si>
    <t>ANTACHOQUE MANCILLA,ANTONIO MARCELINO</t>
  </si>
  <si>
    <t>CALLE VIRGEN DEL CARMEN S/N</t>
  </si>
  <si>
    <t>CALLE CUYO CUYO S/N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</si>
  <si>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</si>
  <si>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</si>
  <si>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</si>
  <si>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</si>
  <si>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</si>
  <si>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</si>
  <si>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</si>
  <si>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</si>
  <si>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</si>
  <si>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</si>
  <si>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</si>
  <si>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</si>
  <si>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CALLE  JUAN USCAMAYTA S/N</t>
  </si>
  <si>
    <t>000284</t>
  </si>
  <si>
    <t>6573777</t>
  </si>
  <si>
    <t>AYMARA HUAMANI DE HUAMANI ,CASIMIRA ADRIANA</t>
  </si>
  <si>
    <t>000583</t>
  </si>
  <si>
    <t>19002267</t>
  </si>
  <si>
    <t>AYMARA HUAMANI DE HUAMANI, VIVIANA ESTEFA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</si>
  <si>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</si>
  <si>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</si>
  <si>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</si>
  <si>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</si>
  <si>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</si>
  <si>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</si>
  <si>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</si>
  <si>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</si>
  <si>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</si>
  <si>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</si>
  <si>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</si>
  <si>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</si>
  <si>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</si>
  <si>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</si>
  <si>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</si>
  <si>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000292</t>
  </si>
  <si>
    <t>6558343</t>
  </si>
  <si>
    <t>CASQUINO MANSILLA ,MARIANO ASUNTO</t>
  </si>
  <si>
    <t>000643</t>
  </si>
  <si>
    <t>2001882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</si>
  <si>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</si>
  <si>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</si>
  <si>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</si>
  <si>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</si>
  <si>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</si>
  <si>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</si>
  <si>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</si>
  <si>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</si>
  <si>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</si>
  <si>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</si>
  <si>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</si>
  <si>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</si>
  <si>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000351</t>
  </si>
  <si>
    <t>6581489</t>
  </si>
  <si>
    <t>CHALCO ,LORENZA GLORIA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</si>
  <si>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</si>
  <si>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</si>
  <si>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</si>
  <si>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</si>
  <si>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</si>
  <si>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</si>
  <si>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</si>
  <si>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</si>
  <si>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</si>
  <si>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</si>
  <si>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</si>
  <si>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</si>
  <si>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000343</t>
  </si>
  <si>
    <t>200031243</t>
  </si>
  <si>
    <t>CHALCO MONTALVO JUDITH IRAYDA</t>
  </si>
  <si>
    <t>000305</t>
  </si>
  <si>
    <t>6577360</t>
  </si>
  <si>
    <t>CHALCO TORRES ,JUANA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</si>
  <si>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</si>
  <si>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</si>
  <si>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</si>
  <si>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</si>
  <si>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</si>
  <si>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</si>
  <si>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</si>
  <si>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</si>
  <si>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</si>
  <si>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</si>
  <si>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000465</t>
  </si>
  <si>
    <t>6581493</t>
  </si>
  <si>
    <t>CHAVEZ ANTACHOQUE LUSBETH VERONICA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</si>
  <si>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</si>
  <si>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</si>
  <si>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</si>
  <si>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</si>
  <si>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</si>
  <si>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</si>
  <si>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</si>
  <si>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000688</t>
  </si>
  <si>
    <t>220014923</t>
  </si>
  <si>
    <t>CHAVEZ MONTES JAIME JULIAN</t>
  </si>
  <si>
    <t>000316</t>
  </si>
  <si>
    <t>60062520</t>
  </si>
  <si>
    <t>CHAVEZ USCAMAYTA ,JACINTO</t>
  </si>
  <si>
    <t>000572</t>
  </si>
  <si>
    <t>9092649</t>
  </si>
  <si>
    <t>CHAVEZ USCAMAYTA EUGENIO</t>
  </si>
  <si>
    <t>000318</t>
  </si>
  <si>
    <t>200039362</t>
  </si>
  <si>
    <t>CHUQUIANQUI SILLOCA ,JUAN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</si>
  <si>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</si>
  <si>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</si>
  <si>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</si>
  <si>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</si>
  <si>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</si>
  <si>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</si>
  <si>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000323</t>
  </si>
  <si>
    <t>60061366</t>
  </si>
  <si>
    <t>CHUQUIYANQUI DURAN ,PAULINA JUSTINA</t>
  </si>
  <si>
    <t>000325</t>
  </si>
  <si>
    <t>6577459</t>
  </si>
  <si>
    <t>COA CHAVEZ ,AGRIPINA</t>
  </si>
  <si>
    <t>000326</t>
  </si>
  <si>
    <t>6588312</t>
  </si>
  <si>
    <t>COA CHAVEZ ,AGUSTIN</t>
  </si>
  <si>
    <t>000608</t>
  </si>
  <si>
    <t>2003602</t>
  </si>
  <si>
    <t>COMEDOR BIENESTAR SOCIAL</t>
  </si>
  <si>
    <t>000329</t>
  </si>
  <si>
    <t>6577413</t>
  </si>
  <si>
    <t>COMEDOR SAN JOSE</t>
  </si>
  <si>
    <t>000331</t>
  </si>
  <si>
    <t>6590271</t>
  </si>
  <si>
    <t>CONDORI CHUQUIYANQUI ,MENILDA</t>
  </si>
  <si>
    <t>000334</t>
  </si>
  <si>
    <t>60062455</t>
  </si>
  <si>
    <t>CORIMANYA HUAMANI ,MAGNOLIA AMELIA</t>
  </si>
  <si>
    <t>000336</t>
  </si>
  <si>
    <t>6588717</t>
  </si>
  <si>
    <t>CORIPUNA HUACHANI ,ALEJANDRO</t>
  </si>
  <si>
    <t>000338</t>
  </si>
  <si>
    <t>60062484</t>
  </si>
  <si>
    <t>CRUZ ANTACHOQUE ,WALTER FELIX</t>
  </si>
  <si>
    <t>000341</t>
  </si>
  <si>
    <t>6562305</t>
  </si>
  <si>
    <t>CRUZ NEYRA ,YENCY ELIDA</t>
  </si>
  <si>
    <t>000342</t>
  </si>
  <si>
    <t>60062022</t>
  </si>
  <si>
    <t>CRUZ QUISPE ,MIRTHA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</si>
  <si>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</si>
  <si>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</si>
  <si>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</si>
  <si>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</si>
  <si>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</si>
  <si>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</si>
  <si>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</si>
  <si>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</si>
  <si>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000349</t>
  </si>
  <si>
    <t>6562546</t>
  </si>
  <si>
    <t>ESCOBAR TORRES ,AGUSTINA PILAR</t>
  </si>
  <si>
    <t>000352</t>
  </si>
  <si>
    <t>6577458</t>
  </si>
  <si>
    <t>GONSALES PALOMINO ,ADOLFO PEDRO</t>
  </si>
  <si>
    <t>000355</t>
  </si>
  <si>
    <t>9090510</t>
  </si>
  <si>
    <t>GUTIERREZ CHALCO ,LUIS ANTONIO</t>
  </si>
  <si>
    <t>000359</t>
  </si>
  <si>
    <t>23013265</t>
  </si>
  <si>
    <t>HUAMANI ,LUZ HAYDEE</t>
  </si>
  <si>
    <t>000361</t>
  </si>
  <si>
    <t>6590967</t>
  </si>
  <si>
    <t>HUAMANI ALVARES ,REY SEBASTIAN</t>
  </si>
  <si>
    <t>000653</t>
  </si>
  <si>
    <t>200005305</t>
  </si>
  <si>
    <t>HUAMANI ARUTAYPE ANATOLIA LILIA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</si>
  <si>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</si>
  <si>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</si>
  <si>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</si>
  <si>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</si>
  <si>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</si>
  <si>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</si>
  <si>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</si>
  <si>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</si>
  <si>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</si>
  <si>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</si>
  <si>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</si>
  <si>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</si>
  <si>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</si>
  <si>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</si>
  <si>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</si>
  <si>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</si>
  <si>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</si>
  <si>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</si>
  <si>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</si>
  <si>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</si>
  <si>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</si>
  <si>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</si>
  <si>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</si>
  <si>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</si>
  <si>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</si>
  <si>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</si>
  <si>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</si>
  <si>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</si>
  <si>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</si>
  <si>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</si>
  <si>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</si>
  <si>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</si>
  <si>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</si>
  <si>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</si>
  <si>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</si>
  <si>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</si>
  <si>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</si>
  <si>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</si>
  <si>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</si>
  <si>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</si>
  <si>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</si>
  <si>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</si>
  <si>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000377</t>
  </si>
  <si>
    <t>6558324</t>
  </si>
  <si>
    <t>HUAMANI HUAMANI ,LUISA LUCINA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</si>
  <si>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</si>
  <si>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</si>
  <si>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</si>
  <si>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</si>
  <si>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</si>
  <si>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</si>
  <si>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</si>
  <si>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</si>
  <si>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</si>
  <si>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</si>
  <si>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</si>
  <si>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</si>
  <si>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</si>
  <si>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</si>
  <si>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</si>
  <si>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</si>
  <si>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</si>
  <si>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</si>
  <si>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000391</t>
  </si>
  <si>
    <t>6577452</t>
  </si>
  <si>
    <t>HUAMANI USCAMAITA ,JUAN ROSA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</si>
  <si>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</si>
  <si>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</si>
  <si>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</si>
  <si>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</si>
  <si>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</si>
  <si>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</si>
  <si>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</si>
  <si>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</si>
  <si>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</si>
  <si>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</si>
  <si>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</si>
  <si>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</si>
  <si>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</si>
  <si>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</si>
  <si>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</si>
  <si>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</si>
  <si>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</si>
  <si>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</si>
  <si>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</si>
  <si>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</si>
  <si>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000406</t>
  </si>
  <si>
    <t>60061415</t>
  </si>
  <si>
    <t>MANCILLA ALLCA ,JESUS CEBASTIAN</t>
  </si>
  <si>
    <t>000408</t>
  </si>
  <si>
    <t>6562535</t>
  </si>
  <si>
    <t>MANCILLA HILATAIPE ,BERNARDINA LORENZA</t>
  </si>
  <si>
    <t>000410</t>
  </si>
  <si>
    <t>6590240</t>
  </si>
  <si>
    <t>MANCILLA VERA ,MARISOL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</si>
  <si>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</si>
  <si>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</si>
  <si>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</si>
  <si>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</si>
  <si>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</si>
  <si>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</si>
  <si>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</si>
  <si>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</si>
  <si>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</si>
  <si>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</si>
  <si>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</si>
  <si>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</si>
  <si>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</si>
  <si>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</si>
  <si>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</si>
  <si>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</si>
  <si>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</si>
  <si>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</si>
  <si>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000714</t>
  </si>
  <si>
    <t>220017519</t>
  </si>
  <si>
    <t>MONTALVO HUAMANI MARISA ISIDORA</t>
  </si>
  <si>
    <t>CALLE EL OLVIDO</t>
  </si>
  <si>
    <t>000293</t>
  </si>
  <si>
    <t>60061431</t>
  </si>
  <si>
    <t>000415</t>
  </si>
  <si>
    <t>6574483</t>
  </si>
  <si>
    <t>MONTALVO NEYRA, HUGO FLAVIO</t>
  </si>
  <si>
    <t>000424</t>
  </si>
  <si>
    <t>60062059</t>
  </si>
  <si>
    <t>MONTALVO TORRES ,JUAN FREDY</t>
  </si>
  <si>
    <t>000426</t>
  </si>
  <si>
    <t>19011381</t>
  </si>
  <si>
    <t>MONTALVO TORRES ,MANUELA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</si>
  <si>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</si>
  <si>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</si>
  <si>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</si>
  <si>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</si>
  <si>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</si>
  <si>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</si>
  <si>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</si>
  <si>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</si>
  <si>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</si>
  <si>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</si>
  <si>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</si>
  <si>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</si>
  <si>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</si>
  <si>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</si>
  <si>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</si>
  <si>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</si>
  <si>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000433</t>
  </si>
  <si>
    <t>60062469</t>
  </si>
  <si>
    <t>NAVINTA HUAMANI ,CLETA PAULA</t>
  </si>
  <si>
    <t>000435</t>
  </si>
  <si>
    <t>6577466</t>
  </si>
  <si>
    <t>NEIRA HUAMANI ,REDY</t>
  </si>
  <si>
    <t>000436</t>
  </si>
  <si>
    <t>6581229</t>
  </si>
  <si>
    <t>000440</t>
  </si>
  <si>
    <t>6577422</t>
  </si>
  <si>
    <t>NEIRA VERA ,ALEJANDRO TEODORO</t>
  </si>
  <si>
    <t>000441</t>
  </si>
  <si>
    <t>220014935</t>
  </si>
  <si>
    <t>NEYRA GUTIERREZ ,MARTIN VICTOR</t>
  </si>
  <si>
    <t>000357</t>
  </si>
  <si>
    <t>60061385</t>
  </si>
  <si>
    <t>NEYRA HUAMANI, NONATA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</si>
  <si>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</si>
  <si>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</si>
  <si>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</si>
  <si>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</si>
  <si>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</si>
  <si>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</si>
  <si>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</si>
  <si>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</si>
  <si>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</si>
  <si>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</si>
  <si>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</si>
  <si>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</si>
  <si>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</si>
  <si>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000451</t>
  </si>
  <si>
    <t>6590966</t>
  </si>
  <si>
    <t>QUISPE LUQUE ,SAMUEL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</si>
  <si>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</si>
  <si>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</si>
  <si>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</si>
  <si>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</si>
  <si>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</si>
  <si>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</si>
  <si>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000457</t>
  </si>
  <si>
    <t>6588734</t>
  </si>
  <si>
    <t>RAMIREZ LANASCA ,JUAN CARLOS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</si>
  <si>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</si>
  <si>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</si>
  <si>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</si>
  <si>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</si>
  <si>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</si>
  <si>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</si>
  <si>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</si>
  <si>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</si>
  <si>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</si>
  <si>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</si>
  <si>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</si>
  <si>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</si>
  <si>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</si>
  <si>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</si>
  <si>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</si>
  <si>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</si>
  <si>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</si>
  <si>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</si>
  <si>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</si>
  <si>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</si>
  <si>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</si>
  <si>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</si>
  <si>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</si>
  <si>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000471</t>
  </si>
  <si>
    <t>60062066</t>
  </si>
  <si>
    <t>SIVINCHA MANCILLA ,JUANA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</si>
  <si>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</si>
  <si>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</si>
  <si>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</si>
  <si>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</si>
  <si>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</si>
  <si>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</si>
  <si>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</si>
  <si>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000475</t>
  </si>
  <si>
    <t>6590499</t>
  </si>
  <si>
    <t>TORRES ALFARO ,DANY ALEXANDER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</si>
  <si>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</si>
  <si>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</si>
  <si>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</si>
  <si>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</si>
  <si>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</si>
  <si>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</si>
  <si>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000480</t>
  </si>
  <si>
    <t>60062052</t>
  </si>
  <si>
    <t>TORRES DE CRUZ , EUDOCIA ROSARIO</t>
  </si>
  <si>
    <t>000482</t>
  </si>
  <si>
    <t>6558316</t>
  </si>
  <si>
    <t>TORRES DE SIVINCHA LOLA PRUDENCIA</t>
  </si>
  <si>
    <t>000483</t>
  </si>
  <si>
    <t>6581237</t>
  </si>
  <si>
    <t>TORRES GONZALES GREGORIO SANTIAGO</t>
  </si>
  <si>
    <t>000486</t>
  </si>
  <si>
    <t>6590511</t>
  </si>
  <si>
    <t>TORRES HUAMANI ,ERASMO</t>
  </si>
  <si>
    <t>000487</t>
  </si>
  <si>
    <t>6577369</t>
  </si>
  <si>
    <t>000282</t>
  </si>
  <si>
    <t>60062457</t>
  </si>
  <si>
    <t xml:space="preserve">TORRES LOPEZ ELVIRA </t>
  </si>
  <si>
    <t>000488</t>
  </si>
  <si>
    <t>60062080</t>
  </si>
  <si>
    <t>TORRES MONTALVO ,NEMECIO LINDON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</si>
  <si>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</si>
  <si>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</si>
  <si>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</si>
  <si>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</si>
  <si>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</si>
  <si>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</si>
  <si>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</si>
  <si>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</si>
  <si>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</si>
  <si>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</si>
  <si>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</si>
  <si>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</si>
  <si>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</si>
  <si>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</si>
  <si>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000505</t>
  </si>
  <si>
    <t>6577392</t>
  </si>
  <si>
    <t>USCAMAYTA ARUTAYPE ,GILNA</t>
  </si>
  <si>
    <t>000506</t>
  </si>
  <si>
    <t>60062522</t>
  </si>
  <si>
    <t>USCAMAYTA CHAVEZ ,LIBIA ROXANA</t>
  </si>
  <si>
    <t>000508</t>
  </si>
  <si>
    <t>60062489</t>
  </si>
  <si>
    <t>USCAMAYTA HUAMANI ,JESUS</t>
  </si>
  <si>
    <t>000507</t>
  </si>
  <si>
    <t>60061432</t>
  </si>
  <si>
    <t>USCAMAYTA HUAMANI ,JUAN ADAN</t>
  </si>
  <si>
    <t>000396</t>
  </si>
  <si>
    <t>60062451</t>
  </si>
  <si>
    <t>USCAMAYTA MONTALVO LILIAN ALEJANDRA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</si>
  <si>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</si>
  <si>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</si>
  <si>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</si>
  <si>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</si>
  <si>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</si>
  <si>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</si>
  <si>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000370</t>
  </si>
  <si>
    <t>6558346</t>
  </si>
  <si>
    <t>USCAMAYTA NEYRA JUDITH JUANA</t>
  </si>
  <si>
    <t>000517</t>
  </si>
  <si>
    <t>6590164</t>
  </si>
  <si>
    <t>VERA PALOMINO ,ALEJANDRO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</si>
  <si>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</si>
  <si>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</si>
  <si>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</si>
  <si>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</si>
  <si>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</si>
  <si>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</si>
  <si>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</si>
  <si>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</si>
  <si>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</si>
  <si>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</si>
  <si>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</si>
  <si>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</si>
  <si>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</si>
  <si>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</si>
  <si>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</si>
  <si>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</si>
  <si>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</si>
  <si>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</si>
  <si>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</si>
  <si>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</si>
  <si>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</si>
  <si>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</si>
  <si>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</si>
  <si>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</si>
  <si>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</si>
  <si>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</si>
  <si>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</si>
  <si>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</si>
  <si>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</si>
  <si>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</si>
  <si>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</si>
  <si>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</si>
  <si>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</si>
  <si>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</si>
  <si>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</si>
  <si>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</si>
  <si>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</si>
  <si>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</si>
  <si>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</si>
  <si>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</si>
  <si>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</si>
  <si>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</si>
  <si>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</si>
  <si>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</si>
  <si>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</si>
  <si>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</si>
  <si>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</si>
  <si>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</si>
  <si>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</si>
  <si>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</si>
  <si>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</si>
  <si>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</si>
  <si>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</si>
  <si>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</si>
  <si>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</si>
  <si>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</si>
  <si>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</si>
  <si>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</si>
  <si>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</si>
  <si>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</si>
  <si>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000075</t>
  </si>
  <si>
    <t>6563957</t>
  </si>
  <si>
    <t>000076</t>
  </si>
  <si>
    <t>6563973</t>
  </si>
  <si>
    <t>LOPEZ ,LUCIO JULIAN</t>
  </si>
  <si>
    <t>000080</t>
  </si>
  <si>
    <t>6582208</t>
  </si>
  <si>
    <t>MONTALVO TORRES,JUAN FREDY</t>
  </si>
  <si>
    <t>000082</t>
  </si>
  <si>
    <t>101737626</t>
  </si>
  <si>
    <t>RAMIREZ VERA, BERTI</t>
  </si>
  <si>
    <t>000084</t>
  </si>
  <si>
    <t>6585692</t>
  </si>
  <si>
    <t>TORRES ALFARO,MAYCOL</t>
  </si>
  <si>
    <t>000085</t>
  </si>
  <si>
    <t>6588057</t>
  </si>
  <si>
    <t>TORRES CHALCO,CRISTINA</t>
  </si>
  <si>
    <t>000088</t>
  </si>
  <si>
    <t>6660618</t>
  </si>
  <si>
    <t>USCAMAYTA HUAMANI,JUAN PEDRO</t>
  </si>
  <si>
    <t>000656</t>
  </si>
  <si>
    <t>21006534</t>
  </si>
  <si>
    <t>ALFARO ESCOBAR EDWIN YHON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</si>
  <si>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</si>
  <si>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</si>
  <si>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</si>
  <si>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</si>
  <si>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</si>
  <si>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</si>
  <si>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</si>
  <si>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</si>
  <si>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000090</t>
  </si>
  <si>
    <t>9091695</t>
  </si>
  <si>
    <t>ANGULO CHAUCAYANQUI, EUCLIDES ANTONIO</t>
  </si>
  <si>
    <t>PACHAYZA - TARAPATA</t>
  </si>
  <si>
    <t>000689</t>
  </si>
  <si>
    <t>23013264</t>
  </si>
  <si>
    <t>ANGULO ESCOBAR INGRID MAITE</t>
  </si>
  <si>
    <t>SECTOR HUAYCHA</t>
  </si>
  <si>
    <t>000096</t>
  </si>
  <si>
    <t>6586804</t>
  </si>
  <si>
    <t>AROTAYPE DE MOTA ,JUANA IRENE</t>
  </si>
  <si>
    <t>TARAPATA S/N</t>
  </si>
  <si>
    <t>000099</t>
  </si>
  <si>
    <t>6579722</t>
  </si>
  <si>
    <t>CARPIO LAZARO ,NANCY CELSA</t>
  </si>
  <si>
    <t>SECTOR PACHAYZA -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</si>
  <si>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</si>
  <si>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</si>
  <si>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</si>
  <si>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</si>
  <si>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</si>
  <si>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</si>
  <si>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</si>
  <si>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</si>
  <si>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</si>
  <si>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</si>
  <si>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</si>
  <si>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</si>
  <si>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000103</t>
  </si>
  <si>
    <t>6584505</t>
  </si>
  <si>
    <t>CASTRO DE BEDOYA, GUILLERMINA</t>
  </si>
  <si>
    <t>000661</t>
  </si>
  <si>
    <t>200005308</t>
  </si>
  <si>
    <t>CAYLLAHUE JIMENEZ SILVERIO</t>
  </si>
  <si>
    <t>SECTOR PACHAYZA -PARTE ALTA</t>
  </si>
  <si>
    <t>000677</t>
  </si>
  <si>
    <t>220014921</t>
  </si>
  <si>
    <t>CHALCO CHAVEZ MICAELA SARITA</t>
  </si>
  <si>
    <t>PACHAYZA - SANTA ROSA</t>
  </si>
  <si>
    <t>000687</t>
  </si>
  <si>
    <t>200031249</t>
  </si>
  <si>
    <t>CHALCO CHAVEZ SILVIA FLOR</t>
  </si>
  <si>
    <t>000676</t>
  </si>
  <si>
    <t>21006530</t>
  </si>
  <si>
    <t>CHALCO CHUQUIYANQUI ADALI</t>
  </si>
  <si>
    <t>000727</t>
  </si>
  <si>
    <t>23020339</t>
  </si>
  <si>
    <t>CHALCO CORIMANYA, RICARDO JOSE</t>
  </si>
  <si>
    <t>SECTOR PAMPA</t>
  </si>
  <si>
    <t>000613</t>
  </si>
  <si>
    <t>20102270</t>
  </si>
  <si>
    <t>000109</t>
  </si>
  <si>
    <t>6579630</t>
  </si>
  <si>
    <t>CHALCO VERA ,MIGUEL ANGEL</t>
  </si>
  <si>
    <t>000110</t>
  </si>
  <si>
    <t>6584659</t>
  </si>
  <si>
    <t>CHAUCAYANQUI  URDAY ,JAIME PEDRO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</si>
  <si>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</si>
  <si>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</si>
  <si>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</si>
  <si>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</si>
  <si>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</si>
  <si>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</si>
  <si>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</si>
  <si>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</si>
  <si>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</si>
  <si>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</si>
  <si>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</si>
  <si>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</si>
  <si>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</si>
  <si>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</si>
  <si>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</si>
  <si>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</si>
  <si>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</si>
  <si>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</si>
  <si>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</si>
  <si>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</si>
  <si>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</si>
  <si>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</si>
  <si>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</si>
  <si>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</si>
  <si>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</si>
  <si>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</si>
  <si>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</si>
  <si>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</si>
  <si>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000119</t>
  </si>
  <si>
    <t>6590874</t>
  </si>
  <si>
    <t>CHUQUIANQUI LUQUE ,FROILAN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</si>
  <si>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</si>
  <si>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</si>
  <si>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</si>
  <si>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</si>
  <si>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</si>
  <si>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</si>
  <si>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</si>
  <si>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</si>
  <si>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</si>
  <si>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</si>
  <si>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</si>
  <si>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</si>
  <si>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</si>
  <si>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</si>
  <si>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</si>
  <si>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</si>
  <si>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</si>
  <si>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000126</t>
  </si>
  <si>
    <t>09091923</t>
  </si>
  <si>
    <t>CHUQUIYANQUI URDAY, RUTH PRUDENCIA</t>
  </si>
  <si>
    <t>000127</t>
  </si>
  <si>
    <t>21132922</t>
  </si>
  <si>
    <t>COA TORRES BACELIDES</t>
  </si>
  <si>
    <t>000117</t>
  </si>
  <si>
    <t>220017566</t>
  </si>
  <si>
    <t>CORIMANYA CHAVEZ, LEYDI FLOR</t>
  </si>
  <si>
    <t>000132</t>
  </si>
  <si>
    <t>6586605</t>
  </si>
  <si>
    <t>CORIMANYA HUAMANI ,ESTELA CATALINA</t>
  </si>
  <si>
    <t>SECTOR PACHAYZA - PUCRO</t>
  </si>
  <si>
    <t>000133</t>
  </si>
  <si>
    <t>6584533</t>
  </si>
  <si>
    <t>CORIMANYA HUAMANI ,JUAN</t>
  </si>
  <si>
    <t>000647</t>
  </si>
  <si>
    <t>200011837</t>
  </si>
  <si>
    <t>000130</t>
  </si>
  <si>
    <t>6659703</t>
  </si>
  <si>
    <t xml:space="preserve">CORIMANYA HUAMANI ELOY LEOPOLDO </t>
  </si>
  <si>
    <t>000135</t>
  </si>
  <si>
    <t>6584865</t>
  </si>
  <si>
    <t>CORIMANYA HUAMANI, FELIPE</t>
  </si>
  <si>
    <t>000137</t>
  </si>
  <si>
    <t>200031242</t>
  </si>
  <si>
    <t>CORIMANYA MANCILLA, YOVANA CHARO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</si>
  <si>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</si>
  <si>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</si>
  <si>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</si>
  <si>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</si>
  <si>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</si>
  <si>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</si>
  <si>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</si>
  <si>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PACHAYZA-TARAPATA</t>
  </si>
  <si>
    <t>PACHAYZA-PARTE BAJA-PAMPA</t>
  </si>
  <si>
    <t>000142</t>
  </si>
  <si>
    <t>6584494</t>
  </si>
  <si>
    <t>ESCOBAR VERA,AGRIPINA PAULA</t>
  </si>
  <si>
    <t>000143</t>
  </si>
  <si>
    <t>6579477</t>
  </si>
  <si>
    <t>GONZALES PALOMINO ,ADOLFO PEDRO</t>
  </si>
  <si>
    <t>000573</t>
  </si>
  <si>
    <t>9090587</t>
  </si>
  <si>
    <t>GUTIERREZ CHALCO LUPE ALEJA</t>
  </si>
  <si>
    <t>PACHAYZA -PARTE BAJA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</si>
  <si>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</si>
  <si>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</si>
  <si>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</si>
  <si>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</si>
  <si>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</si>
  <si>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</si>
  <si>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</si>
  <si>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</si>
  <si>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</si>
  <si>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</si>
  <si>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</si>
  <si>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</si>
  <si>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</si>
  <si>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</si>
  <si>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</si>
  <si>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</si>
  <si>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</si>
  <si>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</si>
  <si>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</si>
  <si>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</si>
  <si>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</si>
  <si>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</si>
  <si>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</si>
  <si>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000560</t>
  </si>
  <si>
    <t>9092373</t>
  </si>
  <si>
    <t>PACHAYZA- PARTE BAJA</t>
  </si>
  <si>
    <t>000730</t>
  </si>
  <si>
    <t>23022769</t>
  </si>
  <si>
    <t>HUAMANI RAMIREZ, HEYNER SANDRO</t>
  </si>
  <si>
    <t>000161</t>
  </si>
  <si>
    <t>6585705</t>
  </si>
  <si>
    <t>HUAMANI URDAY , VLADIMIRO</t>
  </si>
  <si>
    <t>000120</t>
  </si>
  <si>
    <t>23022180</t>
  </si>
  <si>
    <t>HUAMANI USCAMAYTA, FROILAN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</si>
  <si>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</si>
  <si>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</si>
  <si>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</si>
  <si>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</si>
  <si>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</si>
  <si>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</si>
  <si>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</si>
  <si>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</si>
  <si>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</si>
  <si>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</si>
  <si>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</si>
  <si>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</si>
  <si>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</si>
  <si>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</si>
  <si>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</si>
  <si>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</si>
  <si>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</si>
  <si>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</si>
  <si>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</si>
  <si>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</si>
  <si>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</si>
  <si>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</si>
  <si>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</si>
  <si>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</si>
  <si>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</si>
  <si>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</si>
  <si>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</si>
  <si>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</si>
  <si>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</si>
  <si>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</si>
  <si>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</si>
  <si>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</si>
  <si>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</si>
  <si>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</si>
  <si>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</si>
  <si>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000180</t>
  </si>
  <si>
    <t>6564067</t>
  </si>
  <si>
    <t>MONTALVO ARUTAYPE,ISABEL CATALINA</t>
  </si>
  <si>
    <t>000181</t>
  </si>
  <si>
    <t>09091088</t>
  </si>
  <si>
    <t>MONTALVO DE TORRES ,JULIA ELENA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</si>
  <si>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</si>
  <si>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</si>
  <si>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</si>
  <si>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</si>
  <si>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</si>
  <si>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</si>
  <si>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</si>
  <si>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</si>
  <si>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</si>
  <si>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PACHAYZA - PARTE BAJA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</si>
  <si>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</si>
  <si>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</si>
  <si>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</si>
  <si>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</si>
  <si>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</si>
  <si>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</si>
  <si>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</si>
  <si>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</si>
  <si>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</si>
  <si>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</si>
  <si>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</si>
  <si>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SECTOR PACHAYZA -  PARTE BAJA</t>
  </si>
  <si>
    <t>000188</t>
  </si>
  <si>
    <t>6593434</t>
  </si>
  <si>
    <t>MONTALVO HUAMANI,EMILIO ANTOLIN</t>
  </si>
  <si>
    <t>000189</t>
  </si>
  <si>
    <t>6564214</t>
  </si>
  <si>
    <t>MONTALVO PALOMINO ,WILIAN LADISLAU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</si>
  <si>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</si>
  <si>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</si>
  <si>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</si>
  <si>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</si>
  <si>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</si>
  <si>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</si>
  <si>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000193</t>
  </si>
  <si>
    <t>2001872</t>
  </si>
  <si>
    <t>MONTALVO VERA,MARY LILIANA</t>
  </si>
  <si>
    <t>000196</t>
  </si>
  <si>
    <t>9091241</t>
  </si>
  <si>
    <t>MONTES HUAMANI, CARMEN</t>
  </si>
  <si>
    <t>000197</t>
  </si>
  <si>
    <t>6585728</t>
  </si>
  <si>
    <t>MOTTA ARUTAYPE, CLAUDIO ANGEL</t>
  </si>
  <si>
    <t>000199</t>
  </si>
  <si>
    <t>101745489</t>
  </si>
  <si>
    <t>NAVINTA CORIMANYA, VICO NICOLAS</t>
  </si>
  <si>
    <t>000201</t>
  </si>
  <si>
    <t>6579655</t>
  </si>
  <si>
    <t>NEYRA DE CHAUCAYANQUI,NELY YSELA</t>
  </si>
  <si>
    <t>000153</t>
  </si>
  <si>
    <t>6585712</t>
  </si>
  <si>
    <t>NEYRA HUAMANI VICTORIA CELINA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</si>
  <si>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</si>
  <si>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</si>
  <si>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</si>
  <si>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</si>
  <si>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</si>
  <si>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</si>
  <si>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</si>
  <si>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000093</t>
  </si>
  <si>
    <t>6579633</t>
  </si>
  <si>
    <t>PALOMINO ALVAREZ,FELICITAS CASILDA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</si>
  <si>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</si>
  <si>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</si>
  <si>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</si>
  <si>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</si>
  <si>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</si>
  <si>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</si>
  <si>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</si>
  <si>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</si>
  <si>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</si>
  <si>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</si>
  <si>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</si>
  <si>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</si>
  <si>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</si>
  <si>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</si>
  <si>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</si>
  <si>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</si>
  <si>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</si>
  <si>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</si>
  <si>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</si>
  <si>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</si>
  <si>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</si>
  <si>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</si>
  <si>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</si>
  <si>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</si>
  <si>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</si>
  <si>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</si>
  <si>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</si>
  <si>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</si>
  <si>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</si>
  <si>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</si>
  <si>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</si>
  <si>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</si>
  <si>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</si>
  <si>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</si>
  <si>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</si>
  <si>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</si>
  <si>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</si>
  <si>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</si>
  <si>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</si>
  <si>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</si>
  <si>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</si>
  <si>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</si>
  <si>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</si>
  <si>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</si>
  <si>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</si>
  <si>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</si>
  <si>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</si>
  <si>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</si>
  <si>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</si>
  <si>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</si>
  <si>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</si>
  <si>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</si>
  <si>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</si>
  <si>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000611</t>
  </si>
  <si>
    <t>20102284</t>
  </si>
  <si>
    <t>000228</t>
  </si>
  <si>
    <t>6579494</t>
  </si>
  <si>
    <t>TORRES CHUQUIYANQUI, DONICIO ELEUTERIO</t>
  </si>
  <si>
    <t>220017514</t>
  </si>
  <si>
    <t>000230</t>
  </si>
  <si>
    <t>23022184</t>
  </si>
  <si>
    <t>TORRES HUAMANI ,CARLOS ANDRES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</si>
  <si>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</si>
  <si>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</si>
  <si>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</si>
  <si>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</si>
  <si>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</si>
  <si>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</si>
  <si>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</si>
  <si>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</si>
  <si>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</si>
  <si>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</si>
  <si>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</si>
  <si>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</si>
  <si>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</si>
  <si>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</si>
  <si>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</si>
  <si>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</si>
  <si>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</si>
  <si>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</si>
  <si>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</si>
  <si>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</si>
  <si>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</si>
  <si>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000633</t>
  </si>
  <si>
    <t>200039364</t>
  </si>
  <si>
    <t>TORRES VEGA NILA LIZETH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</si>
  <si>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</si>
  <si>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</si>
  <si>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</si>
  <si>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</si>
  <si>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</si>
  <si>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</si>
  <si>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</si>
  <si>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</si>
  <si>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</si>
  <si>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</si>
  <si>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</si>
  <si>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</si>
  <si>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</si>
  <si>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</si>
  <si>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</si>
  <si>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</si>
  <si>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</si>
  <si>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</si>
  <si>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</si>
  <si>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</si>
  <si>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</si>
  <si>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</si>
  <si>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101745487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</si>
  <si>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</si>
  <si>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</si>
  <si>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</si>
  <si>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</si>
  <si>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</si>
  <si>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</si>
  <si>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</si>
  <si>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</si>
  <si>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</si>
  <si>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000254</t>
  </si>
  <si>
    <t>6585590</t>
  </si>
  <si>
    <t>URDAY TORRES ,JESICA NANCY</t>
  </si>
  <si>
    <t>000255</t>
  </si>
  <si>
    <t>6585887</t>
  </si>
  <si>
    <t>URDAY TORRES ,OMAR CARMELO</t>
  </si>
  <si>
    <t>000678</t>
  </si>
  <si>
    <t>220014928</t>
  </si>
  <si>
    <t>USCAMAYTA CARPIO SOLEDAD ESPERANZA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</si>
  <si>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</si>
  <si>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</si>
  <si>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</si>
  <si>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</si>
  <si>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</si>
  <si>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</si>
  <si>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</si>
  <si>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</si>
  <si>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</si>
  <si>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</si>
  <si>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</si>
  <si>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HUAMANI, LORENZA</t>
  </si>
  <si>
    <t>000263</t>
  </si>
  <si>
    <t>6587974</t>
  </si>
  <si>
    <t>SECTOR PACHAYZA - AWINTA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</si>
  <si>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</si>
  <si>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</si>
  <si>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</si>
  <si>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</si>
  <si>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</si>
  <si>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</si>
  <si>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</si>
  <si>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</si>
  <si>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</si>
  <si>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</si>
  <si>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</si>
  <si>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</si>
  <si>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</si>
  <si>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</si>
  <si>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000268</t>
  </si>
  <si>
    <t>6584451</t>
  </si>
  <si>
    <t>VERA MONTALVO DE NAVINTA  APOLONIA</t>
  </si>
  <si>
    <t>000733</t>
  </si>
  <si>
    <t>23022768</t>
  </si>
  <si>
    <t>VERA PALOMINO, JESUS SEBASTIAN</t>
  </si>
  <si>
    <t>000272</t>
  </si>
  <si>
    <t>09090152</t>
  </si>
  <si>
    <t>YLATAIPE VERA,FIDELA</t>
  </si>
  <si>
    <t>ENERO-DICIEMBRE</t>
  </si>
  <si>
    <t>JULIO-NOVIEMBRE</t>
  </si>
  <si>
    <t>AGOSTO-DICIEMBRE</t>
  </si>
  <si>
    <t>SETIEMBRE</t>
  </si>
  <si>
    <t>SETIEMBRE-DICIEMBRE</t>
  </si>
  <si>
    <t>OCTUBRE</t>
  </si>
  <si>
    <t>NOVIEMBRE</t>
  </si>
  <si>
    <t>OCTUBRE-NOVIEMBRE</t>
  </si>
  <si>
    <t>OCTUBRE-ENERO</t>
  </si>
  <si>
    <t>ENERO</t>
  </si>
  <si>
    <t>SETIEMBRE-ENERO</t>
  </si>
  <si>
    <t>NOVIEMBRE-ENERO</t>
  </si>
  <si>
    <t>DICIEMBRE-ENERO</t>
  </si>
  <si>
    <t>2022-DIC2024</t>
  </si>
  <si>
    <t>NAVINTA CORIMANYA, ROSARIO YESENIA</t>
  </si>
  <si>
    <t>AGOSTO-ENERO</t>
  </si>
  <si>
    <t>USUARIOS</t>
  </si>
  <si>
    <t>VENTA DE ACCESORIOS</t>
  </si>
  <si>
    <t>VENTAS DE ACCESORIOS Y TUBOS</t>
  </si>
  <si>
    <r>
      <t>INGRESO VARIABLE</t>
    </r>
    <r>
      <rPr>
        <sz val="12"/>
        <color theme="1"/>
        <rFont val="Calibri"/>
        <family val="2"/>
        <scheme val="minor"/>
      </rPr>
      <t xml:space="preserve"> (Instalaciones, x construccion, M. O.)</t>
    </r>
  </si>
  <si>
    <t>DEUDAS X COBRAR</t>
  </si>
  <si>
    <t>GUSTAVO RAUL ZAPANA</t>
  </si>
  <si>
    <t>01 CODO 1/2 90°, 01 NIPLE 1/2, 01 CAÑO 1/2, 01 TUBO 1/2</t>
  </si>
  <si>
    <t>01 REDUCCION 6" A 4, 01 CODO DE 45° 6" + ANILLO</t>
  </si>
  <si>
    <t>01 LLAVE DE MEDIDOR 1/2</t>
  </si>
  <si>
    <t>NOMBRES Y APELLIDOS</t>
  </si>
  <si>
    <t>IMPORTE</t>
  </si>
  <si>
    <t>MEDIDORES OBSEVADOS, SUSPENDIDOS Y CORTADOS</t>
  </si>
  <si>
    <t>OBSERVACIONES</t>
  </si>
  <si>
    <t>000010</t>
  </si>
  <si>
    <t>6659780</t>
  </si>
  <si>
    <t>CHALCO ESCOBAR,REYNA</t>
  </si>
  <si>
    <t>CORTADO</t>
  </si>
  <si>
    <t>000011</t>
  </si>
  <si>
    <t>6659782</t>
  </si>
  <si>
    <t xml:space="preserve">CHALCO ESCOBAR,TOMAS </t>
  </si>
  <si>
    <t>000631</t>
  </si>
  <si>
    <t>200039369</t>
  </si>
  <si>
    <t>GUTIERREZ CHALCO RANULFO</t>
  </si>
  <si>
    <t>CORTADO DIC 2024</t>
  </si>
  <si>
    <t>000026</t>
  </si>
  <si>
    <t>6578521</t>
  </si>
  <si>
    <t>HUAMANI USCAMAYTA,JAIME F.</t>
  </si>
  <si>
    <t>SUPENDIDO</t>
  </si>
  <si>
    <t>000048</t>
  </si>
  <si>
    <t>6571643</t>
  </si>
  <si>
    <t>QUISPE ARUTAYPE,ISABEL</t>
  </si>
  <si>
    <t>000324</t>
  </si>
  <si>
    <t>6588594</t>
  </si>
  <si>
    <t>COA AYMARA ,MILAN ESTANISLAO</t>
  </si>
  <si>
    <t>000695</t>
  </si>
  <si>
    <t>23015473</t>
  </si>
  <si>
    <t>ESCOBAR DE CASQUINO ROSA</t>
  </si>
  <si>
    <t>000459</t>
  </si>
  <si>
    <t>60062463</t>
  </si>
  <si>
    <t>000481</t>
  </si>
  <si>
    <t>60062068</t>
  </si>
  <si>
    <t>TORRES DE RAMIREZ ,ANASTACIA</t>
  </si>
  <si>
    <t>000494</t>
  </si>
  <si>
    <t>6590510</t>
  </si>
  <si>
    <t>TORRES VERA ,IRMA ROSELIA</t>
  </si>
  <si>
    <t>000518</t>
  </si>
  <si>
    <t>6562282</t>
  </si>
  <si>
    <t>VERA PALOMINO ,FELIPE BENICIO</t>
  </si>
  <si>
    <t>000522</t>
  </si>
  <si>
    <t>60061425</t>
  </si>
  <si>
    <t>VERA TORRES ,ALBERTA ELVIRA</t>
  </si>
  <si>
    <t>000111</t>
  </si>
  <si>
    <t>6659587</t>
  </si>
  <si>
    <t>CHAUCAYANQUI CHAVEZ ,EDUARDO REY</t>
  </si>
  <si>
    <t>000144</t>
  </si>
  <si>
    <t>6590960</t>
  </si>
  <si>
    <t>GUILLEN MAMANI ,YENI</t>
  </si>
  <si>
    <t>PAHAYZA</t>
  </si>
  <si>
    <t>000602</t>
  </si>
  <si>
    <t>190005348</t>
  </si>
  <si>
    <t>PALOMINO HUAMANI ,JORGE LEANDRO</t>
  </si>
  <si>
    <t>000211</t>
  </si>
  <si>
    <t>6659792</t>
  </si>
  <si>
    <t>QUISPE CHAUCAYANQUI,SABINA FLORENCIA</t>
  </si>
  <si>
    <t>OJO</t>
  </si>
  <si>
    <t>000223</t>
  </si>
  <si>
    <t>6578357</t>
  </si>
  <si>
    <t>SET. PACHAYZA " AMIGUITOS DE JESUS"</t>
  </si>
  <si>
    <t>000234</t>
  </si>
  <si>
    <t>6593509</t>
  </si>
  <si>
    <t>TORRES HUASHUAYO JUAN SANTIAGO</t>
  </si>
  <si>
    <t>000066</t>
  </si>
  <si>
    <t>6659665</t>
  </si>
  <si>
    <t>COA ,ROSA</t>
  </si>
  <si>
    <t>CONDONADO</t>
  </si>
  <si>
    <t>000077</t>
  </si>
  <si>
    <t>6589816</t>
  </si>
  <si>
    <t>LOPEZ RAMIEREZ ,PAULINA DONATILA</t>
  </si>
  <si>
    <t>JHON ADALIDTORRES VERA</t>
  </si>
  <si>
    <t>REYNA CASTRO CHAUCAYANQUI</t>
  </si>
  <si>
    <t xml:space="preserve"> PARTE BAJA</t>
  </si>
  <si>
    <t>SANTA ROSA</t>
  </si>
  <si>
    <t>FAMILIA SANCHEZ</t>
  </si>
  <si>
    <t>02 UNION 1/2, 02 UPR 1/2, 01 UNIVERSAL 1/2, 02  TEFLON + M. O. x X TUBERIA ROTA</t>
  </si>
  <si>
    <t xml:space="preserve">TORRES HUAMANI,AMELIA BENITA </t>
  </si>
  <si>
    <t>6563939</t>
  </si>
  <si>
    <t>000531</t>
  </si>
  <si>
    <t xml:space="preserve">TORRES COA,CILA CAMILA </t>
  </si>
  <si>
    <t>6563926</t>
  </si>
  <si>
    <t>000530</t>
  </si>
  <si>
    <t>SURCO VILLENA,SUSY BETTY</t>
  </si>
  <si>
    <t>220014925</t>
  </si>
  <si>
    <t>000529</t>
  </si>
  <si>
    <t>CHAUCAYANQUI ALVAREZ,CARLOS ALEJO</t>
  </si>
  <si>
    <t>2001887</t>
  </si>
  <si>
    <t>000527</t>
  </si>
  <si>
    <t>000535</t>
  </si>
  <si>
    <t>6563916</t>
  </si>
  <si>
    <t>USCAMAYTA ALCA ,CILA</t>
  </si>
  <si>
    <t>000537</t>
  </si>
  <si>
    <t>6593657</t>
  </si>
  <si>
    <t>VERA REVILLA ,MANUEL</t>
  </si>
  <si>
    <t>000012</t>
  </si>
  <si>
    <t>21130894</t>
  </si>
  <si>
    <t xml:space="preserve">CHUQUIYANQUI CHALCO,ELIDA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</si>
  <si>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</si>
  <si>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</si>
  <si>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</si>
  <si>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</si>
  <si>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</si>
  <si>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</si>
  <si>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000017</t>
  </si>
  <si>
    <t>6582818</t>
  </si>
  <si>
    <t>ESCOBAR MONTALVO CELSO CELESTINO</t>
  </si>
  <si>
    <t>000691</t>
  </si>
  <si>
    <t>21000863</t>
  </si>
  <si>
    <t>GUTIERREZ CHALCO REYNALDO ROBERTO</t>
  </si>
  <si>
    <t>000589</t>
  </si>
  <si>
    <t>200005311</t>
  </si>
  <si>
    <t>HUAMANI LUQUE CLEDY</t>
  </si>
  <si>
    <t>000032</t>
  </si>
  <si>
    <t>6572092</t>
  </si>
  <si>
    <t xml:space="preserve">LUQUE VERA,ELISA LURDES </t>
  </si>
  <si>
    <t>000039</t>
  </si>
  <si>
    <t>6660649</t>
  </si>
  <si>
    <t xml:space="preserve">MONTALVO TORRES,JUAN BAUTISTA </t>
  </si>
  <si>
    <t>000047</t>
  </si>
  <si>
    <t>6660664</t>
  </si>
  <si>
    <t>PALOMINO NEYRA,JUSTINA LUZ</t>
  </si>
  <si>
    <t>000024</t>
  </si>
  <si>
    <t>6572073</t>
  </si>
  <si>
    <t>QUISPE HUAMANI,CLEMENTE EMILIO</t>
  </si>
  <si>
    <t>000630</t>
  </si>
  <si>
    <t>200011823</t>
  </si>
  <si>
    <t>USCAMAYTA NAVINTA YSAURO SABINO</t>
  </si>
  <si>
    <t>000053</t>
  </si>
  <si>
    <t>6571989</t>
  </si>
  <si>
    <t xml:space="preserve">VERA DE LUQUE,REYNA PETRONILA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</si>
  <si>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</si>
  <si>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</si>
  <si>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</si>
  <si>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</si>
  <si>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</si>
  <si>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</si>
  <si>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000753</t>
  </si>
  <si>
    <t>22393036</t>
  </si>
  <si>
    <t>ANTACHOQUE ESCOBAR , FANY KELIDA</t>
  </si>
  <si>
    <t>000586</t>
  </si>
  <si>
    <t>09093268</t>
  </si>
  <si>
    <t>ANTACHOQUE ESCOBAR, FANY KELIDA</t>
  </si>
  <si>
    <t>000551</t>
  </si>
  <si>
    <t>9090209</t>
  </si>
  <si>
    <t>APFATA MONTALVO JAIME RAUL</t>
  </si>
  <si>
    <t>000279</t>
  </si>
  <si>
    <t>20102295</t>
  </si>
  <si>
    <t>ARROYO CARPIO ,JUAN</t>
  </si>
  <si>
    <t>000467</t>
  </si>
  <si>
    <t>6581492</t>
  </si>
  <si>
    <t>ARUTAYPE CORIMANYA GLENY</t>
  </si>
  <si>
    <t>000286</t>
  </si>
  <si>
    <t>6581494</t>
  </si>
  <si>
    <t>AYMARA ALFARO, YENY VITALIA</t>
  </si>
  <si>
    <t>000294</t>
  </si>
  <si>
    <t>60062063</t>
  </si>
  <si>
    <t>CASTRO DE SIVINCHA ,INES HIPILITA</t>
  </si>
  <si>
    <t>000300</t>
  </si>
  <si>
    <t>60061426</t>
  </si>
  <si>
    <t>CATEDRAL DE LA COMUNIDAD DE ISPACAS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</si>
  <si>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</si>
  <si>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</si>
  <si>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</si>
  <si>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</si>
  <si>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</si>
  <si>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</si>
  <si>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</si>
  <si>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</si>
  <si>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</si>
  <si>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</si>
  <si>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</si>
  <si>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</si>
  <si>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</si>
  <si>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</si>
  <si>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</si>
  <si>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</si>
  <si>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</si>
  <si>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</si>
  <si>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</si>
  <si>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</si>
  <si>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</si>
  <si>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</si>
  <si>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</si>
  <si>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</si>
  <si>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</si>
  <si>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</si>
  <si>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</si>
  <si>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</si>
  <si>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000545</t>
  </si>
  <si>
    <t>09090653</t>
  </si>
  <si>
    <t>CHALCO TORRES BENILDA NELY</t>
  </si>
  <si>
    <t>CALLE CUYOCUYO S/N</t>
  </si>
  <si>
    <t>000311</t>
  </si>
  <si>
    <t>6577427</t>
  </si>
  <si>
    <t>CHAVEZ CORINANYA RENE LUIS</t>
  </si>
  <si>
    <t>000314</t>
  </si>
  <si>
    <t>60061430</t>
  </si>
  <si>
    <t>CHAVEZ TORRES JAMES</t>
  </si>
  <si>
    <t>000693</t>
  </si>
  <si>
    <t>21130888</t>
  </si>
  <si>
    <t>CHAVEZ TORRES RONAL</t>
  </si>
  <si>
    <t>000320</t>
  </si>
  <si>
    <t>200005301</t>
  </si>
  <si>
    <t>CHUQUIYANQUI DURAN ,JUAN</t>
  </si>
  <si>
    <t>000321</t>
  </si>
  <si>
    <t>60061354</t>
  </si>
  <si>
    <t>CHUQUIYANQUI DURAN ,MANUEL</t>
  </si>
  <si>
    <t>CHUQUIYANQUI DURAN NATTY LUZ</t>
  </si>
  <si>
    <t>CALLE ELOLVIDO</t>
  </si>
  <si>
    <t>000327</t>
  </si>
  <si>
    <t>23022172</t>
  </si>
  <si>
    <t>COLISEO COMUNAL DE ISPACAS</t>
  </si>
  <si>
    <t>000328</t>
  </si>
  <si>
    <t>6061414</t>
  </si>
  <si>
    <t>COMEDOR NUEVA ESPERANZA</t>
  </si>
  <si>
    <t>PASAJE NICOLAS DE PIEROLA S/N</t>
  </si>
  <si>
    <t>000333</t>
  </si>
  <si>
    <t>60061428</t>
  </si>
  <si>
    <t>CORIMANYA ARUTAIPE ,VALENTINA BERTA</t>
  </si>
  <si>
    <t>000335</t>
  </si>
  <si>
    <t>60062513</t>
  </si>
  <si>
    <t>CORIMANYA MANSILLA ,SERAPIO GALO</t>
  </si>
  <si>
    <t>000552</t>
  </si>
  <si>
    <t>9090710</t>
  </si>
  <si>
    <t>DEL CARPIO MANCILLA KATHERINE</t>
  </si>
  <si>
    <t>000291</t>
  </si>
  <si>
    <t>60062074</t>
  </si>
  <si>
    <t>000353</t>
  </si>
  <si>
    <t>6562669</t>
  </si>
  <si>
    <t>GONZALES SUPA GLADYS NORMA</t>
  </si>
  <si>
    <t>000356</t>
  </si>
  <si>
    <t>6579243</t>
  </si>
  <si>
    <t>GUZMAN CHAUCAYANQUI ,NANCY OLGA</t>
  </si>
  <si>
    <t>000754</t>
  </si>
  <si>
    <t>22393040</t>
  </si>
  <si>
    <t>HUAMANI , LUZ HAYDE</t>
  </si>
  <si>
    <t>PSJ VIRGEN DE LAS NIEVES</t>
  </si>
  <si>
    <t>000363</t>
  </si>
  <si>
    <t>23022175</t>
  </si>
  <si>
    <t>HUAMANI ALVAREZ ,NELIDA LUZ</t>
  </si>
  <si>
    <t>000579</t>
  </si>
  <si>
    <t>19003915</t>
  </si>
  <si>
    <t>HUAMANI COA, YDITT AMELIA</t>
  </si>
  <si>
    <t>CALLE, LOS ESTUDIANTES</t>
  </si>
  <si>
    <t>000375</t>
  </si>
  <si>
    <t>6562295</t>
  </si>
  <si>
    <t>HUAMANI HUAMANI ,ALEJANDRO GARCILAZO</t>
  </si>
  <si>
    <t>22392638</t>
  </si>
  <si>
    <t>000558</t>
  </si>
  <si>
    <t>10786</t>
  </si>
  <si>
    <t>HUAMANI HUAMANI,JANETT ANASTACIA</t>
  </si>
  <si>
    <t>000383</t>
  </si>
  <si>
    <t>60061413</t>
  </si>
  <si>
    <t>HUAMANI RAMIREZ ,JOEL FROILAN</t>
  </si>
  <si>
    <t>PASAJE 10 S/N</t>
  </si>
  <si>
    <t>000387</t>
  </si>
  <si>
    <t>60062472</t>
  </si>
  <si>
    <t>HUAMANI TORRES ,ISIDORA EULALIA</t>
  </si>
  <si>
    <t>000393</t>
  </si>
  <si>
    <t>60062523</t>
  </si>
  <si>
    <t>HUAMANI USCAMAYTA ,SIMEON OSCAR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</si>
  <si>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</si>
  <si>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</si>
  <si>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</si>
  <si>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</si>
  <si>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</si>
  <si>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</si>
  <si>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</si>
  <si>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</si>
  <si>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</si>
  <si>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000554</t>
  </si>
  <si>
    <t>9090158</t>
  </si>
  <si>
    <t>LOCAL COMUNAL</t>
  </si>
  <si>
    <t>000401</t>
  </si>
  <si>
    <t>60062071</t>
  </si>
  <si>
    <t>LOCAL COMUNAL CENTRO POBLADO DE ISPACAS</t>
  </si>
  <si>
    <t>000683</t>
  </si>
  <si>
    <t>220014940</t>
  </si>
  <si>
    <t>LOPEZ CHUQUIYANQUI YULIANA MARIBEL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</si>
  <si>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</si>
  <si>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</si>
  <si>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</si>
  <si>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</si>
  <si>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</si>
  <si>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</si>
  <si>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</si>
  <si>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</si>
  <si>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000409</t>
  </si>
  <si>
    <t>6558358</t>
  </si>
  <si>
    <t>MANCILLA ILATAYPE ,LIDIA</t>
  </si>
  <si>
    <t>000705</t>
  </si>
  <si>
    <t>23013263</t>
  </si>
  <si>
    <t>MANCILLA VERA SUSY MARIBEL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</si>
  <si>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</si>
  <si>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</si>
  <si>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</si>
  <si>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</si>
  <si>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</si>
  <si>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</si>
  <si>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000420</t>
  </si>
  <si>
    <t>60061418</t>
  </si>
  <si>
    <t>MONTALVO NEIRA ,MANUEL JESUS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</si>
  <si>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</si>
  <si>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</si>
  <si>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</si>
  <si>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</si>
  <si>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</si>
  <si>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</si>
  <si>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</si>
  <si>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000422</t>
  </si>
  <si>
    <t>60062075</t>
  </si>
  <si>
    <t>MONTALVO TORRES ,ALBERTO</t>
  </si>
  <si>
    <t>000423</t>
  </si>
  <si>
    <t>60062114</t>
  </si>
  <si>
    <t>000425</t>
  </si>
  <si>
    <t>MONTALVO TORRES ,JULIANA</t>
  </si>
  <si>
    <t>000553</t>
  </si>
  <si>
    <t>9091553</t>
  </si>
  <si>
    <t>MONTALVO USCAMAYTA ROSARIO FRANCISCA</t>
  </si>
  <si>
    <t>CALLE CUYO CUYO 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</si>
  <si>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</si>
  <si>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</si>
  <si>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</si>
  <si>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</si>
  <si>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</si>
  <si>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</si>
  <si>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</si>
  <si>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</si>
  <si>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</si>
  <si>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</si>
  <si>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</si>
  <si>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</si>
  <si>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</si>
  <si>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</si>
  <si>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</si>
  <si>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</si>
  <si>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</si>
  <si>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000414</t>
  </si>
  <si>
    <t>6590166</t>
  </si>
  <si>
    <t>NEYRA HUASHUAYO, LUZ DAMIANA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</si>
  <si>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</si>
  <si>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</si>
  <si>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</si>
  <si>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</si>
  <si>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</si>
  <si>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</si>
  <si>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</si>
  <si>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</si>
  <si>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</si>
  <si>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</si>
  <si>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000627</t>
  </si>
  <si>
    <t>2001832</t>
  </si>
  <si>
    <t>QUISPE ALLCA  FELICIANO DANIEL</t>
  </si>
  <si>
    <t>000450</t>
  </si>
  <si>
    <t>60062065</t>
  </si>
  <si>
    <t>QUISPE CHAVEZ ,EDIN JUSTO</t>
  </si>
  <si>
    <t>000452</t>
  </si>
  <si>
    <t>21000868</t>
  </si>
  <si>
    <t>QUISPE USCAMAYTA, ZAIDA GLORIA</t>
  </si>
  <si>
    <t>000455</t>
  </si>
  <si>
    <t>60062083</t>
  </si>
  <si>
    <t>RAMIREZ HUAMANI , ESMERALDA ARIENDA</t>
  </si>
  <si>
    <t>000456</t>
  </si>
  <si>
    <t>6577440</t>
  </si>
  <si>
    <t>RAMIREZ HUAMANI ,DANJER</t>
  </si>
  <si>
    <t>000461</t>
  </si>
  <si>
    <t>60062067</t>
  </si>
  <si>
    <t>REVILLA HUAMANI ,CLETO MARCELINO</t>
  </si>
  <si>
    <t>000462</t>
  </si>
  <si>
    <t>60062024</t>
  </si>
  <si>
    <t>ROCA MAMANI ,ESTEBAN</t>
  </si>
  <si>
    <t>000474</t>
  </si>
  <si>
    <t>60061420</t>
  </si>
  <si>
    <t>SIVINCHA AYMARA, DERY CATTY</t>
  </si>
  <si>
    <t>000470</t>
  </si>
  <si>
    <t>6562521</t>
  </si>
  <si>
    <t>SIVINCHA DE CHAVEZ ,MARIA</t>
  </si>
  <si>
    <t>000350</t>
  </si>
  <si>
    <t>6590209</t>
  </si>
  <si>
    <t>TORRES  MONTALVO ,FLOR</t>
  </si>
  <si>
    <t>000476</t>
  </si>
  <si>
    <t>60062062</t>
  </si>
  <si>
    <t>TORRES ALFARO ,NILPO WILMER</t>
  </si>
  <si>
    <t>000479</t>
  </si>
  <si>
    <t>6577421</t>
  </si>
  <si>
    <t>TORRES CHAVEZ ,LOIDA TANIA</t>
  </si>
  <si>
    <t>000484</t>
  </si>
  <si>
    <t>60061361</t>
  </si>
  <si>
    <t>TORRES GONZALES ,LURDES</t>
  </si>
  <si>
    <t>240810075</t>
  </si>
  <si>
    <t>000489</t>
  </si>
  <si>
    <t>6562495</t>
  </si>
  <si>
    <t>TORRES MONTALVO ,SOFIA AMELIA</t>
  </si>
  <si>
    <t>000490</t>
  </si>
  <si>
    <t>21000872</t>
  </si>
  <si>
    <t>000493</t>
  </si>
  <si>
    <t>6573784</t>
  </si>
  <si>
    <t>000496</t>
  </si>
  <si>
    <t>6574474</t>
  </si>
  <si>
    <t>USCAMAITA ARUTAIPE ,ASISCLA VICTORIA</t>
  </si>
  <si>
    <t>000748</t>
  </si>
  <si>
    <t>21130881</t>
  </si>
  <si>
    <t>USCAMAITA CHAVEZ, LUZ YOVANA</t>
  </si>
  <si>
    <t>CALLE JUAN USCAMAYTA S/N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</si>
  <si>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</si>
  <si>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</si>
  <si>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</si>
  <si>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</si>
  <si>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</si>
  <si>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</si>
  <si>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</si>
  <si>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</si>
  <si>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</si>
  <si>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000362</t>
  </si>
  <si>
    <t>60061429</t>
  </si>
  <si>
    <t>USCAMAYTA HUAMANI, EDWIN ALEJANDRO</t>
  </si>
  <si>
    <t>000590</t>
  </si>
  <si>
    <t>200031257</t>
  </si>
  <si>
    <t>USCAMAYTA HUAMANI, YEDY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</si>
  <si>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</si>
  <si>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</si>
  <si>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</si>
  <si>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</si>
  <si>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</si>
  <si>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</si>
  <si>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000512</t>
  </si>
  <si>
    <t>23004170</t>
  </si>
  <si>
    <t>USCAMAYTA NEYRA ,LEYDI SALOME</t>
  </si>
  <si>
    <t>000625</t>
  </si>
  <si>
    <t>20102292</t>
  </si>
  <si>
    <t>USCAMAYTA VERA REYNES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</si>
  <si>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</si>
  <si>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</si>
  <si>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</si>
  <si>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</si>
  <si>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</si>
  <si>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</si>
  <si>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</si>
  <si>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</si>
  <si>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</si>
  <si>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</si>
  <si>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</si>
  <si>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</si>
  <si>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000520</t>
  </si>
  <si>
    <t>6558359</t>
  </si>
  <si>
    <t>000521</t>
  </si>
  <si>
    <t>60062064</t>
  </si>
  <si>
    <t>VERA REVILLA ,MATILDE FILOMENA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</si>
  <si>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</si>
  <si>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</si>
  <si>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</si>
  <si>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</si>
  <si>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</si>
  <si>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</si>
  <si>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</si>
  <si>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</si>
  <si>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</si>
  <si>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</si>
  <si>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</si>
  <si>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</si>
  <si>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</si>
  <si>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000068</t>
  </si>
  <si>
    <t>220017312</t>
  </si>
  <si>
    <t>LOPEZ COA FREDY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</si>
  <si>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</si>
  <si>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</si>
  <si>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</si>
  <si>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</si>
  <si>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</si>
  <si>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</si>
  <si>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000079</t>
  </si>
  <si>
    <t>6658956</t>
  </si>
  <si>
    <t>000081</t>
  </si>
  <si>
    <t>6585706</t>
  </si>
  <si>
    <t xml:space="preserve">RAMIREZ CHALCO,SAMUEL </t>
  </si>
  <si>
    <t>AYNANI S/N</t>
  </si>
  <si>
    <t>000710</t>
  </si>
  <si>
    <t>200005320</t>
  </si>
  <si>
    <t>SANCHEZ GONZALES TIODOSA</t>
  </si>
  <si>
    <t>000086</t>
  </si>
  <si>
    <t>6582217</t>
  </si>
  <si>
    <t>TORRES VERA, JHON ADALID</t>
  </si>
  <si>
    <t>000094</t>
  </si>
  <si>
    <t>9091153</t>
  </si>
  <si>
    <t>ANTACHOQUE MONTES, MARTHA VILMA</t>
  </si>
  <si>
    <t>000095</t>
  </si>
  <si>
    <t>6659519</t>
  </si>
  <si>
    <t>APAZA QUISPE, JOSE</t>
  </si>
  <si>
    <t>000634</t>
  </si>
  <si>
    <t>2001889</t>
  </si>
  <si>
    <t>AROTAYPE MOLLO JAVIER ROBERTO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</si>
  <si>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</si>
  <si>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</si>
  <si>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</si>
  <si>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</si>
  <si>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</si>
  <si>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</si>
  <si>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000679</t>
  </si>
  <si>
    <t>220014937</t>
  </si>
  <si>
    <t>CARPIO LAZARO MERY FLOR</t>
  </si>
  <si>
    <t>000612</t>
  </si>
  <si>
    <t>CASTRO VERA BERTHA</t>
  </si>
  <si>
    <t>000744</t>
  </si>
  <si>
    <t>23015471</t>
  </si>
  <si>
    <t>CHALCO CHAVEZ, DEICY BELIZA</t>
  </si>
  <si>
    <t>PACHAYZA PAMPA-PUCRO</t>
  </si>
  <si>
    <t>000108</t>
  </si>
  <si>
    <t>6586805</t>
  </si>
  <si>
    <t>CHALCO URDAY ,SILVANA</t>
  </si>
  <si>
    <t>SECTOR PACHAYZA- SANTA ROSA</t>
  </si>
  <si>
    <t>000749</t>
  </si>
  <si>
    <t>23022197</t>
  </si>
  <si>
    <t>CHAUCAYANQUI GUTIERREZ, IRENY SONI</t>
  </si>
  <si>
    <t>PAMPA</t>
  </si>
  <si>
    <t>000115</t>
  </si>
  <si>
    <t>6585697</t>
  </si>
  <si>
    <t>CHAUCAYANQUI RAMIREZ ,YESENIA</t>
  </si>
  <si>
    <t>000732</t>
  </si>
  <si>
    <t>23021800</t>
  </si>
  <si>
    <t>CHAUCAYANQUI URDAY, NELLY CONSTANZA</t>
  </si>
  <si>
    <t>000747</t>
  </si>
  <si>
    <t>23022188</t>
  </si>
  <si>
    <t>CHAVEZ TORRES, JAMES CLEMENTE HERNAN</t>
  </si>
  <si>
    <t>PARTE BAJA - HUAYCHA</t>
  </si>
  <si>
    <t>000609</t>
  </si>
  <si>
    <t>2001890</t>
  </si>
  <si>
    <t>CHUQUIYANQUI URDAY, MIRIAN</t>
  </si>
  <si>
    <t>000735</t>
  </si>
  <si>
    <t>23022723</t>
  </si>
  <si>
    <t>COA TORRES, ALEXANDER REY</t>
  </si>
  <si>
    <t>SECTOR TARAPATA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</si>
  <si>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</si>
  <si>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</si>
  <si>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</si>
  <si>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</si>
  <si>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</si>
  <si>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</si>
  <si>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000136</t>
  </si>
  <si>
    <t>6659528</t>
  </si>
  <si>
    <t>CORIMANYA HUAMANI,MARIA DEL CARMEN</t>
  </si>
  <si>
    <t>000138</t>
  </si>
  <si>
    <t>21000869</t>
  </si>
  <si>
    <t>CORIMANYA MANSILLA,DINA OLINDA</t>
  </si>
  <si>
    <t>000139</t>
  </si>
  <si>
    <t>9090895</t>
  </si>
  <si>
    <t>CORIMANYA MONTALVO ,CARINA</t>
  </si>
  <si>
    <t>000737</t>
  </si>
  <si>
    <t>23022198</t>
  </si>
  <si>
    <t>ESCOBAR MANCILLA, VICTOR JHONSON</t>
  </si>
  <si>
    <t>000141</t>
  </si>
  <si>
    <t>23015464</t>
  </si>
  <si>
    <t>ESCOBAR MANSILLA,CRISTIAN</t>
  </si>
  <si>
    <t>000626</t>
  </si>
  <si>
    <t>2001834</t>
  </si>
  <si>
    <t>GRUPO JAMPRA S.A.C</t>
  </si>
  <si>
    <t>000145</t>
  </si>
  <si>
    <t>6587724</t>
  </si>
  <si>
    <t>000576</t>
  </si>
  <si>
    <t>09090880</t>
  </si>
  <si>
    <t>GUTIERREZ RAMIREZ, YENI</t>
  </si>
  <si>
    <t>000635</t>
  </si>
  <si>
    <t>200039367</t>
  </si>
  <si>
    <t>GUZMAN TORRES ANYELA LETHY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</si>
  <si>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</si>
  <si>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</si>
  <si>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</si>
  <si>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</si>
  <si>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</si>
  <si>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</si>
  <si>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</si>
  <si>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000154</t>
  </si>
  <si>
    <t>6659603</t>
  </si>
  <si>
    <t>HUAMANI HUAMANI , JULIO CESAR</t>
  </si>
  <si>
    <t>000156</t>
  </si>
  <si>
    <t>000160</t>
  </si>
  <si>
    <t>6585722</t>
  </si>
  <si>
    <t>HUAMANI REVILLA ,AIDA MARIA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</si>
  <si>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</si>
  <si>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</si>
  <si>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</si>
  <si>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</si>
  <si>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</si>
  <si>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</si>
  <si>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</si>
  <si>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000164</t>
  </si>
  <si>
    <t>6659857</t>
  </si>
  <si>
    <t>HUAMANI URDAY,ELISBAN REY</t>
  </si>
  <si>
    <t>000165</t>
  </si>
  <si>
    <t>6587767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</si>
  <si>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</si>
  <si>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</si>
  <si>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</si>
  <si>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</si>
  <si>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</si>
  <si>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</si>
  <si>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</si>
  <si>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000717</t>
  </si>
  <si>
    <t>220017508</t>
  </si>
  <si>
    <t>HUAMANI YLATAIPE NELIDA DEYSI</t>
  </si>
  <si>
    <t>PACHAYZA-AHUINTA</t>
  </si>
  <si>
    <t>000173</t>
  </si>
  <si>
    <t>6590349</t>
  </si>
  <si>
    <t>LAZARO ALVAREZ SEGUNDO</t>
  </si>
  <si>
    <t>000178</t>
  </si>
  <si>
    <t>6593627</t>
  </si>
  <si>
    <t>MANSILLA CASTRO, EULOGIA LEANDRA</t>
  </si>
  <si>
    <t>000591</t>
  </si>
  <si>
    <t>19003883</t>
  </si>
  <si>
    <t>MONTALVO ALVAREZ, MARLIT JUDY</t>
  </si>
  <si>
    <t>000182</t>
  </si>
  <si>
    <t>6659533</t>
  </si>
  <si>
    <t>MONTALVO HUAMANI ,GLORIA YRENE</t>
  </si>
  <si>
    <t>000187</t>
  </si>
  <si>
    <t>6579592</t>
  </si>
  <si>
    <t>MONTALVO HUAMANI, LORENZO ROSENDO</t>
  </si>
  <si>
    <t>000645</t>
  </si>
  <si>
    <t>200005302</t>
  </si>
  <si>
    <t>MONTALVO NEYRA SUSY EVELIN</t>
  </si>
  <si>
    <t>000667</t>
  </si>
  <si>
    <t>200005316</t>
  </si>
  <si>
    <t>MONTALVO QUISPE DE HUAMANI EVELIN</t>
  </si>
  <si>
    <t>000702</t>
  </si>
  <si>
    <t>003386</t>
  </si>
  <si>
    <t>MONTALVO VERA URIEL</t>
  </si>
  <si>
    <t>000708</t>
  </si>
  <si>
    <t>200002900</t>
  </si>
  <si>
    <t>NEIRA USCAMAYTA COYSE CELY</t>
  </si>
  <si>
    <t>000203</t>
  </si>
  <si>
    <t>6587962</t>
  </si>
  <si>
    <t>NOVA MONTALVO,MAYKOL</t>
  </si>
  <si>
    <t>000574</t>
  </si>
  <si>
    <t>9091136</t>
  </si>
  <si>
    <t>PUGA CHUQUIYANQUI ETEL</t>
  </si>
  <si>
    <t>PACHAYZA BAJA</t>
  </si>
  <si>
    <t>000212</t>
  </si>
  <si>
    <t>6587935</t>
  </si>
  <si>
    <t>QUISPE PRADO, CELIA</t>
  </si>
  <si>
    <t>000615</t>
  </si>
  <si>
    <t>20102223</t>
  </si>
  <si>
    <t xml:space="preserve">RAMIREZ CHAVEZ JOSE LUIS </t>
  </si>
  <si>
    <t>000219</t>
  </si>
  <si>
    <t>6579545</t>
  </si>
  <si>
    <t>RAMIREZ TORRES ,IRMA</t>
  </si>
  <si>
    <t>000750</t>
  </si>
  <si>
    <t>23022196</t>
  </si>
  <si>
    <t>SAMAR MENDOZA, SORAYA</t>
  </si>
  <si>
    <t>TOMACO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</si>
  <si>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</si>
  <si>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</si>
  <si>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</si>
  <si>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</si>
  <si>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</si>
  <si>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</si>
  <si>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</si>
  <si>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</si>
  <si>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</si>
  <si>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</si>
  <si>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</si>
  <si>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</si>
  <si>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000607</t>
  </si>
  <si>
    <t xml:space="preserve">TORRES CABRERA  MERY </t>
  </si>
  <si>
    <t>CALLE SOLEDAD</t>
  </si>
  <si>
    <t>000233</t>
  </si>
  <si>
    <t>6593618</t>
  </si>
  <si>
    <t>TORRES HUASHUAYO ,JUAN NICOLAS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</si>
  <si>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</si>
  <si>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</si>
  <si>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</si>
  <si>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</si>
  <si>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</si>
  <si>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</si>
  <si>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</si>
  <si>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</si>
  <si>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</si>
  <si>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000244</t>
  </si>
  <si>
    <t>6578308</t>
  </si>
  <si>
    <t>TORRES VERA,JHON ADALID</t>
  </si>
  <si>
    <t>000245</t>
  </si>
  <si>
    <t>6564032</t>
  </si>
  <si>
    <t>TORRES VERA,SEBASTIAN FABIAN</t>
  </si>
  <si>
    <t>000755</t>
  </si>
  <si>
    <t>22393045</t>
  </si>
  <si>
    <t>URDAY CHAUCAYANQUI , SIMA GUILLERMINA</t>
  </si>
  <si>
    <t>PACHAYZA-JOCHATA</t>
  </si>
  <si>
    <t>000258</t>
  </si>
  <si>
    <t>9092098</t>
  </si>
  <si>
    <t>USCAMAYTA DE CRUZ BETTY MODESTA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</si>
  <si>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</si>
  <si>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</si>
  <si>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</si>
  <si>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</si>
  <si>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</si>
  <si>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</si>
  <si>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</si>
  <si>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</si>
  <si>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</si>
  <si>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000606</t>
  </si>
  <si>
    <t>19005343</t>
  </si>
  <si>
    <t>VERA MONTALVO, ROYLITH VIKI</t>
  </si>
  <si>
    <t>000270</t>
  </si>
  <si>
    <t>6590594</t>
  </si>
  <si>
    <t>VERA PALOMINO ,BERNABE FERNANDO</t>
  </si>
  <si>
    <t>000271</t>
  </si>
  <si>
    <t>6586894</t>
  </si>
  <si>
    <t>VERA PALOMINO,LESMES SAUL</t>
  </si>
  <si>
    <t>COPIAS</t>
  </si>
  <si>
    <t xml:space="preserve">       </t>
  </si>
  <si>
    <t>GRIFO DE AGUA</t>
  </si>
  <si>
    <t>INGRESOS MULTAS</t>
  </si>
  <si>
    <t>000533</t>
  </si>
  <si>
    <t>6593433</t>
  </si>
  <si>
    <t>ROMERO CHAUCAYANQUI JUSTO MARCELO</t>
  </si>
  <si>
    <t>000004</t>
  </si>
  <si>
    <t>6585597</t>
  </si>
  <si>
    <t xml:space="preserve">ANTACHOQUE VERA,JUAN JUSTO </t>
  </si>
  <si>
    <t>200039366</t>
  </si>
  <si>
    <t>000041</t>
  </si>
  <si>
    <t>6571820</t>
  </si>
  <si>
    <t xml:space="preserve">NAVINTA VDA DE  ANTACHOQUE,JULIA </t>
  </si>
  <si>
    <t>000278</t>
  </si>
  <si>
    <t>60062464</t>
  </si>
  <si>
    <t>ANTACHOQUE NAVINTA ,LETDY EVANIA</t>
  </si>
  <si>
    <t>000745</t>
  </si>
  <si>
    <t>23015477</t>
  </si>
  <si>
    <t>CARPIO VERA, BERLIN</t>
  </si>
  <si>
    <t>CL 28 DE JULIO S/N</t>
  </si>
  <si>
    <t>000295</t>
  </si>
  <si>
    <t>6590154</t>
  </si>
  <si>
    <t>CASTRO HUAMANI ,LEONCIO</t>
  </si>
  <si>
    <t>CASTRO USCAMAITA ,REGINA</t>
  </si>
  <si>
    <t>000310</t>
  </si>
  <si>
    <t>60061372</t>
  </si>
  <si>
    <t>CHAUCAYANQUI MANCILLA ,WALTER EFRAIN</t>
  </si>
  <si>
    <t>000718</t>
  </si>
  <si>
    <t>22392657</t>
  </si>
  <si>
    <t>CHAVEZ HUAMANI, JESSICA DORIS</t>
  </si>
  <si>
    <t>000694</t>
  </si>
  <si>
    <t>21130885</t>
  </si>
  <si>
    <t>CHAVEZ TORRES CASTOR MILTON</t>
  </si>
  <si>
    <t>000315</t>
  </si>
  <si>
    <t>60061411</t>
  </si>
  <si>
    <t>CHAVEZ USCAMAYTA ,JUANA JULIA</t>
  </si>
  <si>
    <t>000317</t>
  </si>
  <si>
    <t>60062519</t>
  </si>
  <si>
    <t>CHUQUIYANQUI ALFARO ,JORGE LUIS</t>
  </si>
  <si>
    <t>000322</t>
  </si>
  <si>
    <t>60061422</t>
  </si>
  <si>
    <t>CHUQUIYANQUI DURAN ,NATTY LUZ</t>
  </si>
  <si>
    <t>000330</t>
  </si>
  <si>
    <t>6577356</t>
  </si>
  <si>
    <t>000751</t>
  </si>
  <si>
    <t>240000341</t>
  </si>
  <si>
    <t>COMITE DE REGANTES CC ISPACAS</t>
  </si>
  <si>
    <t>000758</t>
  </si>
  <si>
    <t>22393042</t>
  </si>
  <si>
    <t>GUTIERREZ CHALCO , NERY</t>
  </si>
  <si>
    <t>000360</t>
  </si>
  <si>
    <t>60062087</t>
  </si>
  <si>
    <t>HUAMANI ALLCA ,DEMETRIO LORENZO SIMON</t>
  </si>
  <si>
    <t>000364</t>
  </si>
  <si>
    <t>60061367</t>
  </si>
  <si>
    <t>HUAMANI CHALCO ,GABRIEL JUAN</t>
  </si>
  <si>
    <t>000368</t>
  </si>
  <si>
    <t>6590207</t>
  </si>
  <si>
    <t>HUAMANI COA ,ANDRES PEDRO</t>
  </si>
  <si>
    <t>000449</t>
  </si>
  <si>
    <t>6579985</t>
  </si>
  <si>
    <t>HUAMANI DE QUISPE NERY</t>
  </si>
  <si>
    <t>000378</t>
  </si>
  <si>
    <t>60062076</t>
  </si>
  <si>
    <t>HUAMANI MONTALVO ,BERTHA PAULINA</t>
  </si>
  <si>
    <t>000388</t>
  </si>
  <si>
    <t>6562293</t>
  </si>
  <si>
    <t>HUAMANI URDAY ,JORGE ISRAEL</t>
  </si>
  <si>
    <t>000582</t>
  </si>
  <si>
    <t>61319041</t>
  </si>
  <si>
    <t>I.E.I. DIVINO NIÑO JESUS CUYO CUYO</t>
  </si>
  <si>
    <t>CALLE, CUYO CUYO S/N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</si>
  <si>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</si>
  <si>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</si>
  <si>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</si>
  <si>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</si>
  <si>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</si>
  <si>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</si>
  <si>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</si>
  <si>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</si>
  <si>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</si>
  <si>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000407</t>
  </si>
  <si>
    <t>6588729</t>
  </si>
  <si>
    <t>MANCILLA CHALCO DE RAMIREZ ,CELESTINA PRUDENCIA</t>
  </si>
  <si>
    <t>000411</t>
  </si>
  <si>
    <t>220017520</t>
  </si>
  <si>
    <t>MANSILLA NAVINTA ,EUSEBIA JUANA</t>
  </si>
  <si>
    <t>000587</t>
  </si>
  <si>
    <t>NAVINTA CORIMANYA, YANED ELIDA</t>
  </si>
  <si>
    <t>000434</t>
  </si>
  <si>
    <t>6590514</t>
  </si>
  <si>
    <t>NEIRA DE TORRES ,IGNACIA CELIA</t>
  </si>
  <si>
    <t>000443</t>
  </si>
  <si>
    <t>6574504</t>
  </si>
  <si>
    <t>000444</t>
  </si>
  <si>
    <t>6562243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</si>
  <si>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</si>
  <si>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</si>
  <si>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</si>
  <si>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</si>
  <si>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</si>
  <si>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</si>
  <si>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</si>
  <si>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000472</t>
  </si>
  <si>
    <t>60062488</t>
  </si>
  <si>
    <t>SIVINCHA TORRES ,TOMAS PERICO</t>
  </si>
  <si>
    <t>000485</t>
  </si>
  <si>
    <t>60061355</t>
  </si>
  <si>
    <t>TORRES GONZALES ,OSBAL JESUS</t>
  </si>
  <si>
    <t>000306</t>
  </si>
  <si>
    <t>60062450</t>
  </si>
  <si>
    <t>TORRES LOPEZ ELVIRA, PAULA</t>
  </si>
  <si>
    <t>TORRES USCAMAYTA , EUDOCIA ROSARIO</t>
  </si>
  <si>
    <t>000497</t>
  </si>
  <si>
    <t>60062070</t>
  </si>
  <si>
    <t>USCAMAITA CHALCO ,JOSELIN MARGOT</t>
  </si>
  <si>
    <t>000503</t>
  </si>
  <si>
    <t>60062058</t>
  </si>
  <si>
    <t>USCAMAITA VERA ,CLEMENCIA QUINTINA</t>
  </si>
  <si>
    <t>000504</t>
  </si>
  <si>
    <t>6577414</t>
  </si>
  <si>
    <t>000650</t>
  </si>
  <si>
    <t>200011840</t>
  </si>
  <si>
    <t>USCAMAYTA CORIMANYA ISABEL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</si>
  <si>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</si>
  <si>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</si>
  <si>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</si>
  <si>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</si>
  <si>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</si>
  <si>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</si>
  <si>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</si>
  <si>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000519</t>
  </si>
  <si>
    <t>6581163</t>
  </si>
  <si>
    <t>VERA PALOMINO ,REMIGIO MANUEL</t>
  </si>
  <si>
    <t>000711</t>
  </si>
  <si>
    <t>220017580</t>
  </si>
  <si>
    <t>SANCHEZ GONZALES LOURDES</t>
  </si>
  <si>
    <t>000092</t>
  </si>
  <si>
    <t>21003057</t>
  </si>
  <si>
    <t>ANTACHOQUE ANCO, YULY INES</t>
  </si>
  <si>
    <t>000550</t>
  </si>
  <si>
    <t>9090322</t>
  </si>
  <si>
    <t>ARUTAYPE TORRES TERESITA DE JESUS</t>
  </si>
  <si>
    <t>000102</t>
  </si>
  <si>
    <t>6584514</t>
  </si>
  <si>
    <t>CASTRO CORIMANYA,ESTANISLAO FLAVIO</t>
  </si>
  <si>
    <t>000104</t>
  </si>
  <si>
    <t>6579755</t>
  </si>
  <si>
    <t>CHACONDORI ANTACHOQUE,MARITZA</t>
  </si>
  <si>
    <t>000105</t>
  </si>
  <si>
    <t>6564196</t>
  </si>
  <si>
    <t>CHALCO COA, JUAN CARLOS</t>
  </si>
  <si>
    <t>000107</t>
  </si>
  <si>
    <t>220014924</t>
  </si>
  <si>
    <t>CHALCO MANSILLA, OLGER</t>
  </si>
  <si>
    <t>000116</t>
  </si>
  <si>
    <t>220017305</t>
  </si>
  <si>
    <t>CHAVEZ ARUTAYPE ,SEGUNDO</t>
  </si>
  <si>
    <t>000118</t>
  </si>
  <si>
    <t>6579463</t>
  </si>
  <si>
    <t>CHAVEZ USCAMAYTA, JUANA JULIA</t>
  </si>
  <si>
    <t>000760</t>
  </si>
  <si>
    <t>22392839</t>
  </si>
  <si>
    <t>CHUQUIYANQUI ALFARO , NILTON</t>
  </si>
  <si>
    <t>000121</t>
  </si>
  <si>
    <t>6578511</t>
  </si>
  <si>
    <t>CHUQUIYANQUI HUAMANI, FROILAN E.</t>
  </si>
  <si>
    <t>000122</t>
  </si>
  <si>
    <t>6563967</t>
  </si>
  <si>
    <t>CHUQUIYANQUI LUQUE ,FRANCISCA</t>
  </si>
  <si>
    <t>000128</t>
  </si>
  <si>
    <t>6571035</t>
  </si>
  <si>
    <t>COA HUAHUACONDO ,JUAN CARLOS</t>
  </si>
  <si>
    <t>000736</t>
  </si>
  <si>
    <t>220017501</t>
  </si>
  <si>
    <t>COA TORRES, FANNY CINTIA</t>
  </si>
  <si>
    <t>PARTE ALTA- SECTOR CHUNACATA</t>
  </si>
  <si>
    <t>000134</t>
  </si>
  <si>
    <t>6564307</t>
  </si>
  <si>
    <t>CORIMANYA HUAMANI REYNA PINA</t>
  </si>
  <si>
    <t>000140</t>
  </si>
  <si>
    <t>200002893</t>
  </si>
  <si>
    <t>000593</t>
  </si>
  <si>
    <t>23013261</t>
  </si>
  <si>
    <t>GUILLEN MAMANI, RUTH MARINA</t>
  </si>
  <si>
    <t>000148</t>
  </si>
  <si>
    <t>21000870</t>
  </si>
  <si>
    <t>000149</t>
  </si>
  <si>
    <t>6587898</t>
  </si>
  <si>
    <t>HUAMANI CORIMANYA, ANYELA MARIA</t>
  </si>
  <si>
    <t>000628</t>
  </si>
  <si>
    <t>2004080</t>
  </si>
  <si>
    <t>000155</t>
  </si>
  <si>
    <t>6573826</t>
  </si>
  <si>
    <t>HUAMANI HUAMANI ,LUCRECIA WANDA</t>
  </si>
  <si>
    <t>000674</t>
  </si>
  <si>
    <t>200002894</t>
  </si>
  <si>
    <t>HUAMANI PALOMINO RUS ERIKA</t>
  </si>
  <si>
    <t>000162</t>
  </si>
  <si>
    <t>6585734</t>
  </si>
  <si>
    <t>HUAMANI URDAY ,PAULINA</t>
  </si>
  <si>
    <t>000649</t>
  </si>
  <si>
    <t>200002881</t>
  </si>
  <si>
    <t>HUAMANI URDAY GREGORIO MELITON</t>
  </si>
  <si>
    <t>000163</t>
  </si>
  <si>
    <t>6659580</t>
  </si>
  <si>
    <t>HUAMANI URDAY, MARIA FELIPA</t>
  </si>
  <si>
    <t>000171</t>
  </si>
  <si>
    <t>6585525</t>
  </si>
  <si>
    <t>I.E. ANDRES AVELINO CACERES</t>
  </si>
  <si>
    <t>000172</t>
  </si>
  <si>
    <t>6578765</t>
  </si>
  <si>
    <t>SECTOR PACHAYZA-PARTE ALTA</t>
  </si>
  <si>
    <t>000179</t>
  </si>
  <si>
    <t>220017570</t>
  </si>
  <si>
    <t>MANSILLA NEYRA ,ASILA</t>
  </si>
  <si>
    <t>22393044</t>
  </si>
  <si>
    <t>MONTALVO HUAMANI, TONY KERVER. .</t>
  </si>
  <si>
    <t>000673</t>
  </si>
  <si>
    <t>21003041</t>
  </si>
  <si>
    <t>MONTALVO VERA ANA CECILIA</t>
  </si>
  <si>
    <t>000618</t>
  </si>
  <si>
    <t>21130883</t>
  </si>
  <si>
    <t>MONTALVO VERA LINDA YOVITA</t>
  </si>
  <si>
    <t>000194</t>
  </si>
  <si>
    <t>6579692</t>
  </si>
  <si>
    <t>MONTALVO, GUILLERMINA DOMITILA</t>
  </si>
  <si>
    <t>000204</t>
  </si>
  <si>
    <t>6585730</t>
  </si>
  <si>
    <t>PALOMINO HUAMANI VIUDA DE HUAMANI JUANA</t>
  </si>
  <si>
    <t>000218</t>
  </si>
  <si>
    <t>6586799</t>
  </si>
  <si>
    <t>RAMIREZ MONTALVO ,DELIA EDITH</t>
  </si>
  <si>
    <t>000222</t>
  </si>
  <si>
    <t>6590896</t>
  </si>
  <si>
    <t>RIVERA PARQUE ,ANGEL RAUL</t>
  </si>
  <si>
    <t>000603</t>
  </si>
  <si>
    <t>19012705</t>
  </si>
  <si>
    <t>TORRES CHALCO THALIA LISZETH</t>
  </si>
  <si>
    <t>000267</t>
  </si>
  <si>
    <t>6589974</t>
  </si>
  <si>
    <t>TORRES DE VERA MATILDE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</si>
  <si>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</si>
  <si>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</si>
  <si>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</si>
  <si>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</si>
  <si>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</si>
  <si>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</si>
  <si>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</si>
  <si>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</si>
  <si>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</si>
  <si>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000170</t>
  </si>
  <si>
    <t>6593588</t>
  </si>
  <si>
    <t>TORRES HUASHUAYO JAMES BENEDICTO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</si>
  <si>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</si>
  <si>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</si>
  <si>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</si>
  <si>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</si>
  <si>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</si>
  <si>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</si>
  <si>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000713</t>
  </si>
  <si>
    <t>220017567</t>
  </si>
  <si>
    <t>TORRES USCAMAYTA HECTOR</t>
  </si>
  <si>
    <t>22392842</t>
  </si>
  <si>
    <t>000253</t>
  </si>
  <si>
    <t>6587960</t>
  </si>
  <si>
    <t>URDAY CONDO, WILIAN</t>
  </si>
  <si>
    <t>000665</t>
  </si>
  <si>
    <t>200011832</t>
  </si>
  <si>
    <t>VERA ALLCA NIEVES MARIA</t>
  </si>
  <si>
    <t>VERA PALOMINO, REMIGIO</t>
  </si>
  <si>
    <t>000740</t>
  </si>
  <si>
    <t>23022182</t>
  </si>
  <si>
    <t>VERA SIVINCHA, ANDRES PEDRO</t>
  </si>
  <si>
    <t xml:space="preserve">INGRESOS </t>
  </si>
  <si>
    <t>INGRESOS DE CAJA CHICA</t>
  </si>
  <si>
    <t>MES DE ENERO</t>
  </si>
  <si>
    <t>MES DE FEBRERO</t>
  </si>
  <si>
    <t>MES DE MARZO</t>
  </si>
  <si>
    <t>REMUNERACION (OPERADOR 03 MESES)</t>
  </si>
  <si>
    <t>HONORARIOS VARIABLES ( por trabajos de tentido de maguera Ronal Chanca)</t>
  </si>
  <si>
    <t>NUEVO SISTEMA DEL CAAPD adelanto</t>
  </si>
  <si>
    <t>UTILES DE OFICINA Y OTROS.</t>
  </si>
  <si>
    <t>CELULAR DE OFICINA compra y comision por deposito.</t>
  </si>
  <si>
    <t>MANTENIMIENTO CUATROMITO  compra de aceite</t>
  </si>
  <si>
    <t>MOVILIDAD (Taxi a Pachayza para directivos, Taxi por compra de requerimientos en Arequipa)</t>
  </si>
  <si>
    <t>TANQUES GRIFO DE AGUA (Compra de perforadora (30) , compra de valvula, abrazadera y reducción (305), compra de valvula, tee y enlaces (177), deposito por compra de manguera y otros( 2,500.00), comision por deposito (27), deposito por compra de maguera y otros(2,676.00), comision por deposito(27), deposito  para compra de dos tanques( s/21,052.00), comision por deposito de tanques (211), comision por cotizacion(110), compra de manguera (676), comision por deposito (7)</t>
  </si>
  <si>
    <t>INAUGURACIÓN DE GRIFO DE AGUA (compra de incencio,cocaruro,kañihua y cinta (24), vino (100), gaseosa,champan, vasos(80), cuetecillos (5).</t>
  </si>
  <si>
    <t>ALIMENTACIÓN Operador Walter Mamani (Mes de enero almuerzos en Arequipa por compra de requerimiento (30), Mes de febrero almuerzos en Arequipa por compra de requerimiento (30).</t>
  </si>
  <si>
    <t>EPP PARA EL OPERARIO</t>
  </si>
  <si>
    <t>TRANSPORTE DE LOS REQUERIMIENTOS DE ACCESORIOS DE AGUA POTABLE Y DESAGUE</t>
  </si>
  <si>
    <t xml:space="preserve">REQUERIMIENTO COMPRA DE ACCESORIOS DE AGUA Y DESAGUE PARA INVENTARIO FERRETERIA </t>
  </si>
  <si>
    <t>EGRESO OFICINA TOTAL</t>
  </si>
  <si>
    <t>EGRESO FERRETERIA TOTAL</t>
  </si>
  <si>
    <t>VIAJES Operador Walter Mamani (Mes de enero pasaje Ispacas-Arequipa para compra de requerimiento de ferreteria (45),  pasaje de retorno Arequipa Ispacas (45), ticket de embarque (1.50), Mes de febrero pasaje  Ispacas-Arequipa para compra de requerimiento de ferreteria (40), pasaje de retorno Arequipa-Ispacas (40). taxi (80)</t>
  </si>
  <si>
    <t>SALDO AL 31 DE DICIEMBRE</t>
  </si>
  <si>
    <t>INGRESO GRIFO DE AGUA</t>
  </si>
  <si>
    <t xml:space="preserve">                  </t>
  </si>
  <si>
    <t>000762</t>
  </si>
  <si>
    <t>22392844</t>
  </si>
  <si>
    <t>LYNDA KEYVI , USCAMAYTA CHALCO</t>
  </si>
  <si>
    <t>CARRETERA PRINCIPAL S/N</t>
  </si>
  <si>
    <t>22392843</t>
  </si>
  <si>
    <t>000761</t>
  </si>
  <si>
    <t>22392838</t>
  </si>
  <si>
    <t>MENESES ANTACHOQUE , DAMARIS THAID</t>
  </si>
  <si>
    <t>JARACHINE</t>
  </si>
  <si>
    <t>CAJA DE</t>
  </si>
  <si>
    <t>200005307</t>
  </si>
  <si>
    <t>ESCOBAR DE CASQUINO ROSAA</t>
  </si>
  <si>
    <t>22392841</t>
  </si>
  <si>
    <t>CALLA HUARSAYA ,LUIS</t>
  </si>
  <si>
    <t>FAIJO SURCO , SANDRA</t>
  </si>
  <si>
    <t>22392837</t>
  </si>
  <si>
    <t>190005356</t>
  </si>
  <si>
    <t>VEGA HUAMANI , LORENZA</t>
  </si>
  <si>
    <t>000765</t>
  </si>
  <si>
    <t>22393039</t>
  </si>
  <si>
    <t>HUAMANI HUAMANI, SILVIA GLADYS</t>
  </si>
  <si>
    <t>PASAJE VIRGEN DE LAS NIEVES</t>
  </si>
  <si>
    <t>000764</t>
  </si>
  <si>
    <t>22392845</t>
  </si>
  <si>
    <t>PALOMINO MANSILLA ,  JULIANA VICTORIA</t>
  </si>
  <si>
    <t>PACHAYZA PARTE ALTA S/N</t>
  </si>
  <si>
    <t xml:space="preserve">                </t>
  </si>
  <si>
    <t>TOTAL  DE EGRESOS</t>
  </si>
  <si>
    <t>MOVILIDAD PETAR</t>
  </si>
  <si>
    <t>EGRESOS DE MOVILIDAD PARA MANTENIMIENTO DEL PETAR Y  OTROS. AGOSTO 2025</t>
  </si>
  <si>
    <t>RESUMEN DE CAJA MAYOR MES ABRIL, MAYO, JUNIO, JULIO, AGOSTO 2025</t>
  </si>
  <si>
    <t>EGRESOS OFICINA ABRIL, MAYO, JUNIO, JULIO, AGOSTO</t>
  </si>
  <si>
    <t>EGRESOS  ABRIL, MAYO, JUNIO, JULIO, AGOSTO FERRETERIA</t>
  </si>
  <si>
    <t>N°</t>
  </si>
  <si>
    <t>USUARIOS EN CORTE</t>
  </si>
  <si>
    <t>CONEXIÓN</t>
  </si>
  <si>
    <t>DIRECCIÓN</t>
  </si>
  <si>
    <t>CALLE VIRGEN DE LAS NIEVES.</t>
  </si>
  <si>
    <t>MEDIDOR ENTERRADO</t>
  </si>
  <si>
    <t>CAMBIAR MEDIDOR</t>
  </si>
  <si>
    <t>000768</t>
  </si>
  <si>
    <t>22392764</t>
  </si>
  <si>
    <t>23020875</t>
  </si>
  <si>
    <t>TORRES CABRERA, ROSMEL VICTOR</t>
  </si>
  <si>
    <t>000770</t>
  </si>
  <si>
    <t>22393000</t>
  </si>
  <si>
    <t>000769</t>
  </si>
  <si>
    <t>22393005</t>
  </si>
  <si>
    <t>CORTES ZURITA, JUAN FRANSISCO</t>
  </si>
  <si>
    <t>USCAMAYTA HUAMANI, JUAN ADAN</t>
  </si>
  <si>
    <t>HUAMANI TORRES, CORINA VALERIANA</t>
  </si>
  <si>
    <t>000766</t>
  </si>
  <si>
    <t>22392758</t>
  </si>
  <si>
    <t>000772</t>
  </si>
  <si>
    <t>22260480</t>
  </si>
  <si>
    <t>000767</t>
  </si>
  <si>
    <t>22393003</t>
  </si>
  <si>
    <t>000773</t>
  </si>
  <si>
    <t>22392997</t>
  </si>
  <si>
    <t>CHAUCAYANQUI URDAY, JORGE LUIS</t>
  </si>
  <si>
    <t>HUAMANI CORIMANYA ANYELA</t>
  </si>
  <si>
    <t>NAVINTA ALFARO, PILAR AMERICA</t>
  </si>
  <si>
    <t>PACHAYZA - PUCRO</t>
  </si>
  <si>
    <t>USUARIOS CON MEDIDORES ENTERRADOS, SEGUIMIENTO, MALOGRADOS, LIMPIAR MEDIDOR,CAMBIO DE MEDIDOR</t>
  </si>
  <si>
    <t>REGISTRO DE DESAGUE MALOGRADO</t>
  </si>
  <si>
    <t>000774</t>
  </si>
  <si>
    <t>21090242</t>
  </si>
  <si>
    <t>000779</t>
  </si>
  <si>
    <t>20209138</t>
  </si>
  <si>
    <t>ESCOBAR CORIMANYA, VICENTE PAUL</t>
  </si>
  <si>
    <t>NEYRA SIVINCHA, NORMA YSABEL</t>
  </si>
  <si>
    <t>000778</t>
  </si>
  <si>
    <t>21133468</t>
  </si>
  <si>
    <t>000776</t>
  </si>
  <si>
    <t>21146464</t>
  </si>
  <si>
    <t>000775</t>
  </si>
  <si>
    <t>21140812</t>
  </si>
  <si>
    <t>000777</t>
  </si>
  <si>
    <t>21008360</t>
  </si>
  <si>
    <t>ARUTAYPE USCAMAYTA, ELIDA MAGALI</t>
  </si>
  <si>
    <t>HUAMANI CHAVEZ, NOHELIA GUISSEL</t>
  </si>
  <si>
    <t>MONTALVO DE CHAVEZ, JESUS LEONOR</t>
  </si>
  <si>
    <t>TORRES VERA, LIBIA MARLENY</t>
  </si>
  <si>
    <t xml:space="preserve">    </t>
  </si>
  <si>
    <t xml:space="preserve">  </t>
  </si>
  <si>
    <t>21133410</t>
  </si>
  <si>
    <t>6581491</t>
  </si>
  <si>
    <t>000781</t>
  </si>
  <si>
    <t>21086217</t>
  </si>
  <si>
    <t>000780</t>
  </si>
  <si>
    <t>22392865</t>
  </si>
  <si>
    <t>NEIRA USCAMAYTA, BEGONIA GABRIELA</t>
  </si>
  <si>
    <t>PACHAYZA - PUCRO S/N</t>
  </si>
  <si>
    <t>ROMERO ESCOBAR INGRID MAITE</t>
  </si>
  <si>
    <t>SECTOR PACHAYZA - AWINTA S/N</t>
  </si>
  <si>
    <t>INGRESOS VARIABLES (INSTALACION, CONSTRUCCION Y M.O.) DICIEMBRE 2025</t>
  </si>
  <si>
    <t>INGRESO X COBRO DE RECIBOS DICIEMBRE 2025</t>
  </si>
  <si>
    <t>GF</t>
  </si>
  <si>
    <t>000783</t>
  </si>
  <si>
    <t>20386248</t>
  </si>
  <si>
    <t>000793</t>
  </si>
  <si>
    <t>21133489</t>
  </si>
  <si>
    <t>000787</t>
  </si>
  <si>
    <t>21089863</t>
  </si>
  <si>
    <t>000786</t>
  </si>
  <si>
    <t>21146265</t>
  </si>
  <si>
    <t>CASTRO USCAMAYTA MARCELINO RICARDO</t>
  </si>
  <si>
    <t>HUAMANI ÁLVAREZ,FLOR BLANCA</t>
  </si>
  <si>
    <t>CHAUPI S/N</t>
  </si>
  <si>
    <t>TORRES HUAMANI,ANGELA EMILY</t>
  </si>
  <si>
    <t>000784</t>
  </si>
  <si>
    <t>21133484</t>
  </si>
  <si>
    <t>SANCHEZ GONZALES ANITA</t>
  </si>
  <si>
    <t>000788</t>
  </si>
  <si>
    <t>21133041</t>
  </si>
  <si>
    <t>000790</t>
  </si>
  <si>
    <t>22393002</t>
  </si>
  <si>
    <t>000785</t>
  </si>
  <si>
    <t>21090791</t>
  </si>
  <si>
    <t>000789</t>
  </si>
  <si>
    <t>22392999</t>
  </si>
  <si>
    <t>000791</t>
  </si>
  <si>
    <t>20520454</t>
  </si>
  <si>
    <t>000782</t>
  </si>
  <si>
    <t>22392863</t>
  </si>
  <si>
    <t>000792</t>
  </si>
  <si>
    <t>21133419</t>
  </si>
  <si>
    <t>ANCO RAMOS,SONIA ROXANA</t>
  </si>
  <si>
    <t>PACHAYZA-PUCRO S/N</t>
  </si>
  <si>
    <t>PARTE BAJA - SECTOR HUAYCHA S/N</t>
  </si>
  <si>
    <t>COA CORIMANYA,MELISA RUSS</t>
  </si>
  <si>
    <t>PAMPA S/N</t>
  </si>
  <si>
    <t>NEYRA ESCOBAR,VICTOR HUGO</t>
  </si>
  <si>
    <t>NEYRA RAMIREZ,WASHINTON LUIGI</t>
  </si>
  <si>
    <t>PARTE BAJA - SECTOR TARAPATA</t>
  </si>
  <si>
    <t>VERA,BASILIA</t>
  </si>
  <si>
    <t>JUEVES</t>
  </si>
  <si>
    <t>VIERNES</t>
  </si>
  <si>
    <t>SABADO</t>
  </si>
  <si>
    <t>DOMINGO</t>
  </si>
  <si>
    <t>000796</t>
  </si>
  <si>
    <t>22392996</t>
  </si>
  <si>
    <t>000798</t>
  </si>
  <si>
    <t>24261117</t>
  </si>
  <si>
    <t>ALVAREZ CHUQUIYANQUI, MARIBEL NAYELI</t>
  </si>
  <si>
    <t>AUCAYPATA S/N</t>
  </si>
  <si>
    <t>ARROYO QUISPE,JERCY ROLANDY</t>
  </si>
  <si>
    <t>000797</t>
  </si>
  <si>
    <t>SILLOCA HUAMANI,MARLENY ELIANA</t>
  </si>
  <si>
    <t>24261115</t>
  </si>
  <si>
    <t>000794</t>
  </si>
  <si>
    <t>24261119</t>
  </si>
  <si>
    <t>000795</t>
  </si>
  <si>
    <t>21133466</t>
  </si>
  <si>
    <t>MARTINEZ ZAMBRANO,GIAN FRANCO</t>
  </si>
  <si>
    <t>URDAY COA,JESSICA MERI</t>
  </si>
  <si>
    <t>PACHAYZA-PARTE ALTA S/N</t>
  </si>
  <si>
    <t>LUNES</t>
  </si>
  <si>
    <t>MARTES</t>
  </si>
  <si>
    <t>MIERCOLES</t>
  </si>
  <si>
    <t xml:space="preserve">     </t>
  </si>
  <si>
    <t>nov-dic-ene /     S/15.00 corte</t>
  </si>
  <si>
    <t>oct-nov-dic-ene /   S/109.00 corte</t>
  </si>
  <si>
    <t>set-oct-nov-dic-ene/     S/25.00 corte</t>
  </si>
  <si>
    <t>nov-dic-ene /     S/17.50 corte</t>
  </si>
  <si>
    <t>oct-nov-dic-ene /   S/51.00 corte</t>
  </si>
  <si>
    <t>oct-nov-dic-ene /   S/20.00 corte</t>
  </si>
  <si>
    <t>nov-dic-ene /     S/16.50 corte</t>
  </si>
  <si>
    <t>nov-dic-ene /     S/22.50 corte</t>
  </si>
  <si>
    <t>nov-dic-ene /     S/114.50 corte</t>
  </si>
  <si>
    <t>nov-dic-ene /     S/37.50 corte</t>
  </si>
  <si>
    <t>nov-dic-ene /     S/53.50 corte</t>
  </si>
  <si>
    <t>oct-nov-dic-ene /   S/87.00 corte</t>
  </si>
  <si>
    <t>nov-dic-ene /     S/35.50 corte</t>
  </si>
  <si>
    <t>nov-dic-ene /     S/50.50 corte</t>
  </si>
  <si>
    <t>oct-nov-dic-ene /   S/37.00 corte</t>
  </si>
  <si>
    <t>oct-nov-dic-ene /   S/33.50 corte</t>
  </si>
  <si>
    <t>set-oct-nov-dic-ene/     S/55.00 corte</t>
  </si>
  <si>
    <t>nov-dic-ene /     S/33.50 corte</t>
  </si>
  <si>
    <t>oct-nov-dic-ene /   S/108.00 corte</t>
  </si>
  <si>
    <t>nov-dic-ene /     S/36.50 corte</t>
  </si>
  <si>
    <t>set-oct-nov-dic-ene/     S/63.50 corte</t>
  </si>
  <si>
    <t>nov-dic-ene /     S/34.50 corte</t>
  </si>
  <si>
    <t>oct-nov-dic-ene /   S/55.00 corte</t>
  </si>
  <si>
    <t>set-oct-nov-dic-ene/     S/97.50 corte</t>
  </si>
  <si>
    <t>oct-nov-dic-ene /   S/21.50 corte</t>
  </si>
  <si>
    <t>nov-dic-ene /     S/25.50 corte</t>
  </si>
  <si>
    <t>ago-set-oct-nov-dic-ene/ S/30.00 corte</t>
  </si>
  <si>
    <t>oct-nov-dic-ene /   S/79.00  corte</t>
  </si>
  <si>
    <t>nov-dic-ene /     S/15.00  corte</t>
  </si>
  <si>
    <t>ago-set-oct-nov-dic-ene/ S/134.00 corte</t>
  </si>
  <si>
    <t>nov-dic-ene /     S/167.50  corte</t>
  </si>
  <si>
    <t>nov-dic-ene /     S/64.00  corte</t>
  </si>
  <si>
    <t>set-oct-nov-dic-ene/     S/92.50 corte</t>
  </si>
  <si>
    <t>oct-nov-dic-ene /   S/118.00  corte</t>
  </si>
  <si>
    <t>nov-dic-ene /     S/42.50  corte</t>
  </si>
  <si>
    <t>nov-dic-ene /     S/16.50  corte</t>
  </si>
  <si>
    <t>oct-nov-dic-ene /   S/20.00  corte</t>
  </si>
  <si>
    <t>nov-dic-ene /     S/24.00  corte</t>
  </si>
  <si>
    <t>oct-nov-dic-ene /   S/29.50  corte</t>
  </si>
  <si>
    <t>nov-dic-ene /     S/39.50  corte</t>
  </si>
  <si>
    <t>nov-dic-ene /     S/54.50  corte</t>
  </si>
  <si>
    <t>nov-dic-ene /     S/67.00  corte</t>
  </si>
  <si>
    <t>set-oct-nov-dic-ene/     S/56.00 corte</t>
  </si>
  <si>
    <t>nov-dic-ene /     S/58.00  corte</t>
  </si>
  <si>
    <t>nov-dic-ene /     S/68.00  corte</t>
  </si>
  <si>
    <t>nov-dic-ene /     S/25.50  corte</t>
  </si>
  <si>
    <t>oct-nov-dic-ene /   S/53.00  corte</t>
  </si>
  <si>
    <t>oct-nov-dic-ene /   S/83.00  corte</t>
  </si>
  <si>
    <t>oct-nov-dic-ene /   S/40.00  corte</t>
  </si>
  <si>
    <t>oct-nov-dic-ene /   S/109.50  corte</t>
  </si>
  <si>
    <t>set-oct-nov-dic-ene/     S/58.50 corte</t>
  </si>
  <si>
    <t>set-oct-nov-dic-ene/     S/20.00 corte</t>
  </si>
  <si>
    <t>ago-set-oct-nov-dic-ene/  S/31.50 corte</t>
  </si>
  <si>
    <t>nov-dic-ene /     S/98.50  corte</t>
  </si>
  <si>
    <t>oct-nov-dic-ene /   S/27.00  corte</t>
  </si>
  <si>
    <t>nov-dic-ene /     S/49.00  corte</t>
  </si>
  <si>
    <t>nov-dic-ene /     S/136.50  corte</t>
  </si>
  <si>
    <t>nov-dic-ene /     S/34.50  corte</t>
  </si>
  <si>
    <t>oct-nov-dic-ene /   S/259.00  corte</t>
  </si>
  <si>
    <t>nov-dic-ene /     S/23.50  corte</t>
  </si>
  <si>
    <t>nov-dic-ene /     S/19.00  corte</t>
  </si>
  <si>
    <t>nov-dic-ene /     S/23.00  corte</t>
  </si>
  <si>
    <t>oct-nov-dic-ene /   S/112.00  corte</t>
  </si>
  <si>
    <t>oct-nov-dic-ene /   S/90.00  corte</t>
  </si>
  <si>
    <t>nov-dic-ene /     S/87.50  corte</t>
  </si>
  <si>
    <t>.</t>
  </si>
  <si>
    <t>usuarios de construccion por uso de agua</t>
  </si>
  <si>
    <t xml:space="preserve"> ENERO 2025</t>
  </si>
  <si>
    <t>ABRIL-MAYO 2025</t>
  </si>
  <si>
    <t xml:space="preserve"> SETIEMBRE- OCTUBRE 2025</t>
  </si>
  <si>
    <t xml:space="preserve"> JUNIO - JULIO 2025</t>
  </si>
  <si>
    <t>ENERO Y JUNIO 2025</t>
  </si>
  <si>
    <t>OCTUBRE-NOVIEMBRE 2025</t>
  </si>
  <si>
    <t xml:space="preserve"> OCTUBRE 2025</t>
  </si>
  <si>
    <t xml:space="preserve"> ABRIL 2025</t>
  </si>
  <si>
    <t xml:space="preserve"> AGOSTO 2025</t>
  </si>
  <si>
    <t xml:space="preserve"> NOVIEMBRE 2025</t>
  </si>
  <si>
    <t xml:space="preserve"> JUNIO 2025</t>
  </si>
  <si>
    <t xml:space="preserve">  OCTUBRE 2025</t>
  </si>
  <si>
    <t xml:space="preserve"> JULIO - AGOSTO 2025</t>
  </si>
  <si>
    <t xml:space="preserve">  SETIEMBRE - OCTUBRE 2025</t>
  </si>
  <si>
    <t xml:space="preserve">  ENERO 2025</t>
  </si>
  <si>
    <t xml:space="preserve"> JULIO-AGOSTO 2025</t>
  </si>
  <si>
    <t xml:space="preserve">  ENERO-FEBRERO-MARZO 2025</t>
  </si>
  <si>
    <t xml:space="preserve">  SETIEMBRE-OCTUBRE-NOVIEMBRE-DICIEMBRE  2025</t>
  </si>
  <si>
    <t xml:space="preserve"> MARZO-NOVIEMBRE 2025</t>
  </si>
  <si>
    <t xml:space="preserve"> MARZO 2025</t>
  </si>
  <si>
    <t xml:space="preserve"> OCTUBRE -NOVIEMBRE 2025</t>
  </si>
  <si>
    <t xml:space="preserve"> DICIEMBRE 2025</t>
  </si>
  <si>
    <t>LIMPIAR MEDIDOR</t>
  </si>
  <si>
    <t xml:space="preserve"> MEDIDOR ENTERRADO</t>
  </si>
  <si>
    <t xml:space="preserve">MEDIDOR ENTERRADO </t>
  </si>
  <si>
    <t xml:space="preserve">MEDIDOR DENTRO DE LA CASA </t>
  </si>
  <si>
    <t>CAMBIAR MEDIDOR(MEDIDOR ENTERRADO)</t>
  </si>
  <si>
    <t>LEYENDA</t>
  </si>
  <si>
    <t>(LIMPIAR MEDIDOR)</t>
  </si>
  <si>
    <t>(MEDIDOR ENTERRADO)</t>
  </si>
  <si>
    <t>(MEDIDOR DENTRO DE LA CASA)</t>
  </si>
  <si>
    <t>( DESAGUE MALOGRADO)</t>
  </si>
  <si>
    <t xml:space="preserve">  SETIEMBRE Y DICEIMBRE 2025</t>
  </si>
  <si>
    <t>MEDIDOR MALOGRADO</t>
  </si>
  <si>
    <t>(CAMBIAR MEDIDOR)(MEDIDOR MALOGRADO)</t>
  </si>
  <si>
    <t xml:space="preserve"> NOVIEMBRE-DICIEMBRE 2025</t>
  </si>
  <si>
    <t>SIN MEDIDOR</t>
  </si>
  <si>
    <t>( SIN MEDIDOR)</t>
  </si>
  <si>
    <t xml:space="preserve">  SETIEMBRE Y DICIEMBRE</t>
  </si>
  <si>
    <t xml:space="preserve"> OCTUBRE-DICIEMBRE 2025</t>
  </si>
  <si>
    <r>
      <t>MEDIDOR MALOGRADO-</t>
    </r>
    <r>
      <rPr>
        <b/>
        <sz val="11"/>
        <color rgb="FF005E00"/>
        <rFont val="Calibri"/>
        <family val="2"/>
        <scheme val="minor"/>
      </rPr>
      <t>MEDIDOR ENTERRADO</t>
    </r>
  </si>
  <si>
    <t xml:space="preserve"> SET-OCTUBRE- DICIEMBRE 2025</t>
  </si>
  <si>
    <t xml:space="preserve">CHALCO ESCOBAR,REYNA  </t>
  </si>
  <si>
    <t>OCTUBRE/ENERO</t>
  </si>
  <si>
    <t>NOVIEMBRE-DICIEMBRE-ENERO</t>
  </si>
  <si>
    <t xml:space="preserve">DOMINGO </t>
  </si>
  <si>
    <t>SERVICIO DE AGUA POTABLE 04 CUBOS. MINERA OREX -" PROSOL" VAA-865</t>
  </si>
  <si>
    <t>SERVICIO DE AGUA POTABLE 04 CUBOS. JHONSON ARAGON</t>
  </si>
  <si>
    <t>SERVICIO DE AGUA POTABLE 10 CUBOS. LICACHI</t>
  </si>
  <si>
    <t>SERVICIO DE AGUA POTABLE 04 CUBOS. MARTHA HUAMANI</t>
  </si>
  <si>
    <t>SERVICIO DE AGUA POTABLE 10 CUBOS. PROSOL ISPACAS</t>
  </si>
  <si>
    <t>SERVICIO DE AGUA POTABLE 04 CUBOS. MINERA TITAN S.R.L</t>
  </si>
  <si>
    <t>SERVICIO DE AGUA POTABLE 09 CUBOS. ZAYDA QUISPE</t>
  </si>
  <si>
    <t>SERVICIO DE AGUA POTABLE 02 CUBOS. HECTOR TORRES</t>
  </si>
  <si>
    <t>SERVICIO DE AGUA POTABLE 04 CUBOS. ROLANDO</t>
  </si>
  <si>
    <t>SERVICIO DE AGUA POTABLE 11 CUBOS. ROLANDO</t>
  </si>
  <si>
    <t>SERVICIO DE AGUA POTABLE 04 CUBOS. JHONSON ESCOBAR</t>
  </si>
  <si>
    <t>SERVICIO DE AGUA POTABLE 09 CUBOS. ROLANDO</t>
  </si>
  <si>
    <t>SERVICIO DE AGUA POTABLE 04 CUBOS. JESUS</t>
  </si>
  <si>
    <t>SERVICIO DE AGUA POTABLE 06 CUBOS. VICENTE SIVINCHA</t>
  </si>
  <si>
    <t>SERVICIO DE AGUA POTABLE 02 CUBOS. WALTER NAVINTA</t>
  </si>
  <si>
    <t>SERVICIO DE AGUA POTABLE 09 CUBOS. RAMIRO</t>
  </si>
  <si>
    <t>SERVICIO DE AGUA POTABLE 04 CUBOS. CIMAR /OREX</t>
  </si>
  <si>
    <t>SERVICIO DE AGUA POTABLE 04 CUBOS. JOYER MONTALVO</t>
  </si>
  <si>
    <t>SERVICIO DE AGUA POTABLE 08 CUBOS. RAMIRO</t>
  </si>
  <si>
    <t>SERVICIO DE AGUA POTABLE 04 CUBOS. MINERA TITAN DEL PERU S.R.L</t>
  </si>
  <si>
    <t>SERVICIO DE AGUA POTABLE 01 CUBOS. ADAN CORIMANYA</t>
  </si>
  <si>
    <t>SERVICIO DE AGUA POTABLE 02 CUBOS. MINERA TITAN DEL PERU S.R.L</t>
  </si>
  <si>
    <t>SERVICIO DE AGUA POTABLE 04 CUBOS. MINERA OREX - "CIMAR" X5X-913</t>
  </si>
  <si>
    <t>SERVICIO DE AGUA POTABLE 13 CUBOS. RAMIRO</t>
  </si>
  <si>
    <t>SERVICIO DE AGUA POTABLE 02 CUBOS. MARIA</t>
  </si>
  <si>
    <t>SERVICIO DE AGUA POTABLE 04 CUBOS. ROY</t>
  </si>
  <si>
    <t>SERVICIO DE AGUA POTABLE 03 CUBOS. JOYER MONTALVO</t>
  </si>
  <si>
    <t>DIMINGO</t>
  </si>
  <si>
    <t>INGRESOS MULTAS FEBRERO 2026</t>
  </si>
  <si>
    <t>RC</t>
  </si>
  <si>
    <t xml:space="preserve">RC  </t>
  </si>
  <si>
    <t>SERVICIO DE AGUA POTABLE 04 CUBOS. OREX "PROSOL" PLACA VAA-865</t>
  </si>
  <si>
    <t>SERVICIO DE AGUA POTABLE 08 CUBOS. ROY</t>
  </si>
  <si>
    <t>SERVICIO DE AGUA POTABLE 06 CUBOS. RAMIRO</t>
  </si>
  <si>
    <t>SERVICIO DE AGUA POTABLE 03 CUBOS. PLANTA ORION</t>
  </si>
  <si>
    <t>SERVICIO DE AGUA POTABLE 06 CUBOS. LUIS</t>
  </si>
  <si>
    <t>SERVICIO DE AGUA POTABLE 02 CUBOS. KATY</t>
  </si>
  <si>
    <t>SERVICIO DE AGUA POTABLE 04 CUBOS. MINERA SOL DE ORO</t>
  </si>
  <si>
    <t>SERVICIO DE AGUA POTABLE 04 CUBOS. WALTER NAVINTA</t>
  </si>
  <si>
    <t>SERVICIO DE AGUA POTABLE 04 CUBOS. MINERA OREX VAA-865 "CIMAR"</t>
  </si>
  <si>
    <t>SERVICIO DE AGUA POTABLE 01 CUBOS. GERARDO  MONTALVO TORRES</t>
  </si>
  <si>
    <t>SERVICIO DE AGUA POTABLE 04 CUBOS.  MARCIA</t>
  </si>
  <si>
    <t>SERVICIO DE AGUA POTABLE 04 CUBOS. GRUPO ALIAGA</t>
  </si>
  <si>
    <t>SERVICIO DE AGUA POTABLE 01 CUBOS. MARCOS</t>
  </si>
  <si>
    <t>SERVICIO DE AGUA POTABLE 04 CUBOS. MINERA OREX "PROSOL" VAA-865</t>
  </si>
  <si>
    <t>SERVICIO DE AGUA POTABLE 01 CUBOS. ESMERALDA</t>
  </si>
  <si>
    <t>SERVICIO DE AGUA POTABLE 04 CUBOS. ECTOR TORRES</t>
  </si>
  <si>
    <t>SERVICIO DE AGUA POTABLE 04 CUBOS. VICENTE SIVINCHA</t>
  </si>
  <si>
    <t>SERVICIO DE AGUA POTABLE 04 CUBOS. DIEGO RAMOS</t>
  </si>
  <si>
    <t>SERVICIO DE AGUA POTABLE 04 CUBOS. SOL DE LOS ANDES</t>
  </si>
  <si>
    <t>SERVICIO DE AGUA POTABLE 04 CUBOS. SOL E LOS ANDES</t>
  </si>
  <si>
    <t>SERVICIO DE AGUA POTABLE 02 CUBOS. MARCIA</t>
  </si>
  <si>
    <t>SERVICIO DE AGUA POTABLE 03 CUBOS. MIGUEL CHALCO</t>
  </si>
  <si>
    <t>SERVICIO DE AGUA POTABLE 04 CUBOS. MINERA CORIRE</t>
  </si>
  <si>
    <t>SERVICIO DE AGUA POTABLE 04 CUBOS. MINERA OREX PROSOL VAA-865</t>
  </si>
  <si>
    <t>FEBRERO</t>
  </si>
  <si>
    <t>OCTUBRE/FEBRERO</t>
  </si>
  <si>
    <t>NOVIEMBRE/FEBRERO</t>
  </si>
  <si>
    <t>DICIEMBRE-ENERO-FEBRERO</t>
  </si>
  <si>
    <t>ENERO-FERBRERO</t>
  </si>
  <si>
    <t>SETIEMBRE/ENERO</t>
  </si>
  <si>
    <t>NOVIEMBRE/FEBERO</t>
  </si>
  <si>
    <t>ENERO-FEBRERO</t>
  </si>
  <si>
    <t>NOVIEMBE/FEBRERO</t>
  </si>
  <si>
    <t>EGRESOS DEL MES  DE FEBRERO 2026</t>
  </si>
  <si>
    <t>COMPRA DE 4 SIX PAC DE NEGRITA Y UN PAQUETE DE MEDIO LITRO DE GASEOSA COC COLA PARA PACACHO EN CUYO CUYO</t>
  </si>
  <si>
    <t>SE PAGO DE LECTURADO DE LA FECHA 01/02/26 Y 02/2/26. NOEMI MANCILLA VARGAS</t>
  </si>
  <si>
    <t>PAGO DE INTERNET. BETSY VILCA TORRES</t>
  </si>
  <si>
    <t>COMPRA DE GASOLINA 2.546 GALONES PARA LA CUATRIMOTO. WALTER MAMANI</t>
  </si>
  <si>
    <t>COMPRA DE SILLON PARA OFICINA. WALTER MAMANI</t>
  </si>
  <si>
    <t>COMPRA DE VALVULA FLOTADORA. WALTER MAMANI</t>
  </si>
  <si>
    <t>MANTENIMIENTO DE RED DE AGUA POTABLE 26/01/26 PACHAYZA PARTE ALTA. JESUS TORRES CHALCO</t>
  </si>
  <si>
    <t>MANTENIMIENTO DE RED DE AGUA POTABLE 26/01/26 (PEON) PACHAYZA PARTE ALTA. JAMES TORRES HUASHUAYO</t>
  </si>
  <si>
    <t>MANTENIMIENTO DE RED DE AGUA POTABLE 26/01/26   PACHAYZA PARTE ALTA. ALEJANDRO TORRES CHALCO</t>
  </si>
  <si>
    <t>MANTENIMIENTO DE RED DE AGUA POTABLE 26/01/26 (PEON) PACHAYZA PARTE ALTA. LUISTORRES USCAMAITA</t>
  </si>
  <si>
    <t>LECTURADO DE LA FECHA 01/02/26 Y 02/02/26. LUZ USCAMAYTA CHAVEZ</t>
  </si>
  <si>
    <t>LECTURADO DE LA FECHA 01/02/26 Y 02/02/26. JAMES TORRES HUASHUAYO</t>
  </si>
  <si>
    <t>LECTURADO DE LA FECHA 01/02/26 Y 02/02/26</t>
  </si>
  <si>
    <t>1 VIAJE. COSAS PARA CONSTRUCCION (AGREGADOS TORRES). CELY TORRES</t>
  </si>
  <si>
    <t>TRABAJO, APOYO AL SEÑOR WALTER CAMBIO DE BOMBA. JESUS TORRES CHALCO</t>
  </si>
  <si>
    <t>PAGO DE 2 MILLARES DE RECIBO DE AGUA Y 10 RECIBOS DE INGRESO. BETSY VILCA TORRES</t>
  </si>
  <si>
    <t>COMPRA DE GASOLINA 2.647  GALONES PARA LA CUATRIMOTO. WALTER MAMANI</t>
  </si>
  <si>
    <t>COMPRA DE 2 ALICATES DE PRESION. WALTER MAMANI</t>
  </si>
  <si>
    <t>COMPRA DE LLAVE DE CADENA EXTRACTOR DE FILTRO DE ACEITE. WALTER MAMANI</t>
  </si>
  <si>
    <t>TAXI DE LA OFICINA A PACHAYZA PARA ARREGLAR EL AGUA, WALTER MAMANI</t>
  </si>
  <si>
    <t>TRABAJO DE MAQUINARIA DE LA FECHA 27/01/26 (TRACTORS MAQUINARIA). RONAL CHAVEZ</t>
  </si>
  <si>
    <t>COMPRA DE GUANTES Y PERNOS. WALTER  MAMANI</t>
  </si>
  <si>
    <t>MANTENIMIENTO DE MATRIZ. WALTER MAMANI- ALEJANDRO COLLADO ZOTO</t>
  </si>
  <si>
    <t>MANTENIMIENTO DE MATRIZ. WALTER MAMANI- DANTE MAMANI HALLASI</t>
  </si>
  <si>
    <t>COMPRA DE 3 UNIDADES DE ROTAMARTILLO. WALTER MAMANI</t>
  </si>
  <si>
    <t>COMPRA DE 13 ALMUERZOS Y GASEOSAS. WALTER MAMANI</t>
  </si>
  <si>
    <t xml:space="preserve">               </t>
  </si>
  <si>
    <t>DICIEMBRE-ENERO- FEBRERO</t>
  </si>
  <si>
    <t>SERVICIO DE AGUA POTABLE 03 CUBOS. DIEGO RAMOS</t>
  </si>
  <si>
    <t>SERVICIO DE AGUA POTABLE 04 CUBOS. ELOY</t>
  </si>
  <si>
    <t>SERVICIO DE AGUA POTABLE 03 CUBOS.  DANIEL</t>
  </si>
  <si>
    <t>SERVICIO DE AGUA POTABLE 12 CUBOS. ELOY</t>
  </si>
  <si>
    <t>SERVICIO DE AGUA POTABLE 04 CUBOS. RAMIRO</t>
  </si>
  <si>
    <t>SERVICIO DE AGUA POTABLE 07 CUBOS. SAYDA QUISPE</t>
  </si>
  <si>
    <t>SERVICIO DE AGUA POTABLE 07 CUBOS. ELOY</t>
  </si>
  <si>
    <t>SERVICIO DE AGUA POTABLE 17 CUBOS. MINERA LA JOYA</t>
  </si>
  <si>
    <t>SERVICIO DE AGUA POTABLE 03 CUBOS. MINERA YANAQUIHUA</t>
  </si>
  <si>
    <t>SERVICIO DE AGUA POTABLE 04 CUBOS. MINERA TITAN</t>
  </si>
  <si>
    <t>SERVICIO DE AGUA POTABLE 04 CUBOS. MINERA LA JOYA</t>
  </si>
  <si>
    <t>SERVICIO DE AGUA POTABLE 07 CUBOS. RAMIRO</t>
  </si>
  <si>
    <t>SERVICIO DE AGUA POTABLE 04 CUBOS. MINERA OREX "CIMARS" VAA-865</t>
  </si>
  <si>
    <t>SERVICIO DE AGUA POTABLE 04 CUBOS. CRISTIAN ESCOBAR</t>
  </si>
  <si>
    <t>SERVICIO DE AGUA POTABLE 04 CUBOS. MINERA SOL DE LOS ANDES</t>
  </si>
  <si>
    <t>SERVICIO DE AGUA POTABLE 17 CUBOS. LA JOYA</t>
  </si>
  <si>
    <t>SERVICIO DE AGUA POTABLE 17 CUBOS. RAMIRO</t>
  </si>
  <si>
    <t xml:space="preserve">SERVICIO DE AGUA POTABLE 16 CUBOS. LA JOYA </t>
  </si>
  <si>
    <t>SETIEMBRE-FEBRERO</t>
  </si>
  <si>
    <t>SETIEMBRE/FEBRER</t>
  </si>
  <si>
    <t xml:space="preserve">      </t>
  </si>
  <si>
    <t>CONSTUCCION. MARITA USCAMAYTA MONTALVO</t>
  </si>
  <si>
    <t>RECONEXION DE AGUA.  NOHELIA HUAMANI CHAVEZ</t>
  </si>
  <si>
    <t>RECONEXION DE AGUA.  BERNARDINA MANCILLA HILATAIPE</t>
  </si>
  <si>
    <t>RECONEXION DE AGUA. MARIA SIVINCHA DE CHAVEZ</t>
  </si>
  <si>
    <t>V</t>
  </si>
  <si>
    <t>VENTA DE 2 UNIONES PULITIDENO</t>
  </si>
  <si>
    <t>RECONEXION DE AGUA. JAIME RAMIREZ USCAMAITA</t>
  </si>
  <si>
    <t>VENTA DE 3TUBOS DE 1/2, MEDIDOR LLAVES, CODOS, UNION, GOMAS, CAJA DE MEDIDOR Y TAPA, ABRAZADERA, TUBO, TEFLON, MANO DE OBRA. DANNY VERA</t>
  </si>
  <si>
    <t>3 UNIDADES ROSCAS. 2 PARA PEGAR, 1 T, 3 CODOS CON ROSCA, 6 TEFLONES, ADEA, UNION UNIVERSAL</t>
  </si>
  <si>
    <t>CUADERNO ANILLADO, CAJA DE LAPIZ, PAQUETE DE FOLDER, CAJA DE FASTENERS. WALTER MAMANI.</t>
  </si>
  <si>
    <t>TRABAJO EN EL GRIFO DE AGUA FECHAS 01/02/26- 08/02/06- 15/02/26- 22/02/26. CELY TORRES HUAMANI</t>
  </si>
  <si>
    <t>GASOLINA PARA LA CUATRIMOTO GLN 2.235. WALTER MAMANI</t>
  </si>
  <si>
    <t>COMPRA DE 5/4 DE POLLO. LUIS TORRES USCAMAITA</t>
  </si>
  <si>
    <t>COMPRA DE 1 PAQUETE DE AGUA. BETSY VILCA TORRES</t>
  </si>
  <si>
    <t>COMPRA DE CAPUCHINOS DE LA ANTERIOR REUNION. BETSY VILCA TORRES</t>
  </si>
  <si>
    <t>PAGO DE SUELDO DEL MES DE FEBRERO. BETSY VILCA TORRES</t>
  </si>
  <si>
    <t>SERVICIO DE AGUA POTABLE 04 CUBOS. MINERA ORION</t>
  </si>
  <si>
    <t>SERVICIO DE AGUA POTABLE 03 CUBOS. MINERA ORION</t>
  </si>
  <si>
    <t>SERVICIO DE AGUA POTABLE 04 CUBOS. SOL DE ORO</t>
  </si>
  <si>
    <t>SERVICIO DE AGUA POTABLE 01 CUBOS. HECTOR TORRES</t>
  </si>
  <si>
    <t>SERVICIO DE AGUA POTABLE 07 CUBOS. ROLANDO</t>
  </si>
  <si>
    <t>SERVICIO DE AGUA POTABLE 04 CUBOS. COMEDOR AGUSTO</t>
  </si>
  <si>
    <t>SERVICIO DE AGUA POTABLE 04 CUBOS. CIMARS</t>
  </si>
  <si>
    <t>SERVICIO DE AGUA POTABLE 02 CUBOS. MINERA TITAN</t>
  </si>
  <si>
    <t>RESUMEN DE CAJA CHICA MES FEBRERO 2026</t>
  </si>
  <si>
    <t>CAJA MES DE FEBRERO DEL 2026</t>
  </si>
  <si>
    <t>COMPRA DE MATERIALES  FEBRERO  2026</t>
  </si>
  <si>
    <t>OFI</t>
  </si>
  <si>
    <t>LEC</t>
  </si>
  <si>
    <t>GS</t>
  </si>
  <si>
    <t>OTROS</t>
  </si>
  <si>
    <t>MANTENIEMIENTO</t>
  </si>
  <si>
    <t>APOY</t>
  </si>
  <si>
    <t xml:space="preserve">OFI  </t>
  </si>
  <si>
    <t>TAXI</t>
  </si>
  <si>
    <t>MAQ</t>
  </si>
  <si>
    <t>GRIFO</t>
  </si>
  <si>
    <t>GAS</t>
  </si>
  <si>
    <t>N. REC</t>
  </si>
  <si>
    <t>INGRESOS POR GRIFO DE AGUA (FEBRERO 2026)</t>
  </si>
  <si>
    <t>ALI</t>
  </si>
  <si>
    <t>mes febrero dias (01-08-15-22)</t>
  </si>
  <si>
    <t>MAQUINARIA (27/01/26) empres tractors maquianria</t>
  </si>
  <si>
    <r>
      <t>MULTAS (</t>
    </r>
    <r>
      <rPr>
        <sz val="12"/>
        <color theme="1"/>
        <rFont val="Calibri"/>
        <family val="2"/>
        <scheme val="minor"/>
      </rPr>
      <t>reconexion)</t>
    </r>
  </si>
  <si>
    <r>
      <rPr>
        <b/>
        <sz val="12"/>
        <color theme="1"/>
        <rFont val="Calibri"/>
        <family val="2"/>
        <scheme val="minor"/>
      </rPr>
      <t>ALIMENTACION</t>
    </r>
    <r>
      <rPr>
        <sz val="12"/>
        <color theme="1"/>
        <rFont val="Calibri"/>
        <family val="2"/>
        <scheme val="minor"/>
      </rPr>
      <t xml:space="preserve"> (directiva, personal y otros)</t>
    </r>
  </si>
  <si>
    <r>
      <rPr>
        <b/>
        <sz val="12"/>
        <color theme="1"/>
        <rFont val="Calibri"/>
        <family val="2"/>
        <scheme val="minor"/>
      </rPr>
      <t>REMUNERACION</t>
    </r>
    <r>
      <rPr>
        <sz val="12"/>
        <color theme="1"/>
        <rFont val="Calibri"/>
        <family val="2"/>
        <scheme val="minor"/>
      </rPr>
      <t xml:space="preserve"> (secretaria )</t>
    </r>
  </si>
  <si>
    <r>
      <rPr>
        <b/>
        <sz val="12"/>
        <color theme="1"/>
        <rFont val="Calibri"/>
        <family val="2"/>
        <scheme val="minor"/>
      </rPr>
      <t>HONORARIOS VARIABLES</t>
    </r>
    <r>
      <rPr>
        <sz val="12"/>
        <color theme="1"/>
        <rFont val="Calibri"/>
        <family val="2"/>
        <scheme val="minor"/>
      </rPr>
      <t xml:space="preserve"> ( X lecturado, personal de apoyo, limpieza buzones desague, otros)</t>
    </r>
  </si>
  <si>
    <t>DEVOLUCION POR COMPRA DE VALVULA, ALICATE ,LLAVE, ROTAMARTILO, GUANTES</t>
  </si>
  <si>
    <r>
      <rPr>
        <b/>
        <sz val="12"/>
        <color theme="1"/>
        <rFont val="Calibri"/>
        <family val="2"/>
        <scheme val="minor"/>
      </rPr>
      <t xml:space="preserve">SERVICIOS BASICOS </t>
    </r>
    <r>
      <rPr>
        <sz val="12"/>
        <color theme="1"/>
        <rFont val="Calibri"/>
        <family val="2"/>
        <scheme val="minor"/>
      </rPr>
      <t>( internet)</t>
    </r>
  </si>
  <si>
    <t>UTILES DE OFICINA Y OTROS (silla de secretaria, cuaderno anillado, millar de recibos ingresos)</t>
  </si>
  <si>
    <r>
      <rPr>
        <b/>
        <sz val="12"/>
        <color theme="1"/>
        <rFont val="Calibri"/>
        <family val="2"/>
        <scheme val="minor"/>
      </rPr>
      <t>MANTENIMIENTO DE MATRIZ</t>
    </r>
    <r>
      <rPr>
        <sz val="12"/>
        <color theme="1"/>
        <rFont val="Calibri"/>
        <family val="2"/>
        <scheme val="minor"/>
      </rPr>
      <t xml:space="preserve"> ( pago a peones)</t>
    </r>
  </si>
  <si>
    <r>
      <rPr>
        <b/>
        <sz val="12"/>
        <color theme="1"/>
        <rFont val="Calibri"/>
        <family val="2"/>
        <scheme val="minor"/>
      </rPr>
      <t>TRABAJO DOMINGOS</t>
    </r>
    <r>
      <rPr>
        <sz val="12"/>
        <color theme="1"/>
        <rFont val="Calibri"/>
        <family val="2"/>
        <scheme val="minor"/>
      </rPr>
      <t xml:space="preserve"> (Cely Torres)</t>
    </r>
  </si>
  <si>
    <r>
      <rPr>
        <b/>
        <sz val="12"/>
        <color theme="1"/>
        <rFont val="Calibri"/>
        <family val="2"/>
        <scheme val="minor"/>
      </rPr>
      <t>MOVILIDAD</t>
    </r>
    <r>
      <rPr>
        <sz val="12"/>
        <color theme="1"/>
        <rFont val="Calibri"/>
        <family val="2"/>
        <scheme val="minor"/>
      </rPr>
      <t xml:space="preserve"> (Taxi a pachayza para arreglar el agua)</t>
    </r>
  </si>
  <si>
    <r>
      <rPr>
        <b/>
        <sz val="12"/>
        <color theme="1"/>
        <rFont val="Calibri"/>
        <family val="2"/>
        <scheme val="minor"/>
      </rPr>
      <t xml:space="preserve">COMBUSTIBLE </t>
    </r>
    <r>
      <rPr>
        <sz val="12"/>
        <color theme="1"/>
        <rFont val="Calibri"/>
        <family val="2"/>
        <scheme val="minor"/>
      </rPr>
      <t>(gasolina cuatrimoto)</t>
    </r>
  </si>
  <si>
    <t>INGRESOS X VENTA DE ACCESORIOS Y TUBERIAS FEBRERO 2026</t>
  </si>
  <si>
    <t xml:space="preserve">INGRESO X COBRO DE RECIBOS FEBRERO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</si>
</sst>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S/&quot;\ #,##0.00;[Red]\-&quot;S/&quot;\ #,##0.00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;@"/>
    <numFmt numFmtId="165" formatCode="&quot;S/.&quot;#,##0.00"/>
    <numFmt numFmtId="166" formatCode="_-* #,##0.00\ _€_-;\-* #,##0.00\ _€_-;_-* &quot;-&quot;??\ _€_-;_-@_-"/>
    <numFmt numFmtId="167" formatCode="_-[$S/-280A]\ * #,##0.00_-;\-[$S/-280A]\ * #,##0.00_-;_-[$S/-280A]\ * &quot;-&quot;??_-;_-@_-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6600F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5E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5E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002A6D"/>
      <name val="Calibri"/>
      <family val="2"/>
      <scheme val="minor"/>
    </font>
    <font>
      <b/>
      <sz val="11"/>
      <color rgb="FFF81419"/>
      <name val="Calibri"/>
      <family val="2"/>
      <scheme val="minor"/>
    </font>
    <font>
      <sz val="11"/>
      <color rgb="FFF8141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240D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823E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BB8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80CC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16F6CB"/>
        <bgColor indexed="64"/>
      </patternFill>
    </fill>
    <fill>
      <patternFill patternType="solid">
        <fgColor rgb="FF63A4F7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1" fillId="0" borderId="0"/>
  </cellStyleXfs>
  <cellXfs count="453">
    <xf numFmtId="0" fontId="0" fillId="0" borderId="0" xfId="0"/>
    <xf numFmtId="16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3" fontId="0" fillId="0" borderId="1" xfId="0" applyNumberFormat="1" applyBorder="1"/>
    <xf numFmtId="0" fontId="1" fillId="0" borderId="0" xfId="0" applyFont="1" applyAlignment="1">
      <alignment horizontal="center" vertical="center"/>
    </xf>
    <xf numFmtId="43" fontId="0" fillId="0" borderId="0" xfId="0" applyNumberFormat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165" fontId="3" fillId="5" borderId="7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5" xfId="0" applyNumberFormat="1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right" vertical="center"/>
    </xf>
    <xf numFmtId="0" fontId="0" fillId="0" borderId="10" xfId="0" applyBorder="1"/>
    <xf numFmtId="0" fontId="1" fillId="0" borderId="12" xfId="0" applyFont="1" applyBorder="1" applyAlignment="1">
      <alignment horizontal="right"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0" applyNumberFormat="1" applyFont="1" applyBorder="1" applyAlignment="1">
      <alignment vertical="center"/>
    </xf>
    <xf numFmtId="14" fontId="4" fillId="2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2" borderId="1" xfId="0" applyFont="1" applyFill="1" applyBorder="1"/>
    <xf numFmtId="165" fontId="5" fillId="2" borderId="1" xfId="0" applyNumberFormat="1" applyFont="1" applyFill="1" applyBorder="1"/>
    <xf numFmtId="0" fontId="9" fillId="0" borderId="0" xfId="0" applyFont="1" applyAlignment="1">
      <alignment horizontal="center"/>
    </xf>
    <xf numFmtId="43" fontId="7" fillId="0" borderId="0" xfId="0" applyNumberFormat="1" applyFont="1"/>
    <xf numFmtId="0" fontId="10" fillId="0" borderId="0" xfId="0" applyFont="1"/>
    <xf numFmtId="0" fontId="1" fillId="3" borderId="10" xfId="0" applyFont="1" applyFill="1" applyBorder="1" applyAlignment="1">
      <alignment horizontal="right"/>
    </xf>
    <xf numFmtId="43" fontId="7" fillId="3" borderId="12" xfId="0" applyNumberFormat="1" applyFont="1" applyFill="1" applyBorder="1"/>
    <xf numFmtId="0" fontId="1" fillId="0" borderId="0" xfId="0" applyFont="1"/>
    <xf numFmtId="0" fontId="12" fillId="0" borderId="0" xfId="0" applyFont="1" applyAlignment="1">
      <alignment horizontal="center"/>
    </xf>
    <xf numFmtId="43" fontId="7" fillId="3" borderId="13" xfId="0" applyNumberFormat="1" applyFont="1" applyFill="1" applyBorder="1"/>
    <xf numFmtId="165" fontId="4" fillId="8" borderId="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left" vertical="center"/>
    </xf>
    <xf numFmtId="0" fontId="5" fillId="0" borderId="9" xfId="0" applyFont="1" applyBorder="1" applyAlignment="1">
      <alignment vertical="center" wrapText="1"/>
    </xf>
    <xf numFmtId="164" fontId="0" fillId="0" borderId="0" xfId="0" applyNumberFormat="1"/>
    <xf numFmtId="49" fontId="0" fillId="0" borderId="0" xfId="0" applyNumberFormat="1"/>
    <xf numFmtId="0" fontId="14" fillId="0" borderId="0" xfId="0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15" fillId="10" borderId="0" xfId="0" applyFont="1" applyFill="1"/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3" fontId="4" fillId="0" borderId="0" xfId="0" applyNumberFormat="1" applyFont="1" applyAlignment="1">
      <alignment vertical="center"/>
    </xf>
    <xf numFmtId="0" fontId="4" fillId="0" borderId="0" xfId="0" applyFont="1"/>
    <xf numFmtId="43" fontId="15" fillId="0" borderId="0" xfId="0" applyNumberFormat="1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43" fontId="6" fillId="3" borderId="0" xfId="0" applyNumberFormat="1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13" fillId="3" borderId="0" xfId="0" applyFont="1" applyFill="1" applyAlignment="1">
      <alignment horizontal="right" vertical="center"/>
    </xf>
    <xf numFmtId="43" fontId="13" fillId="3" borderId="0" xfId="0" applyNumberFormat="1" applyFont="1" applyFill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1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43" fontId="4" fillId="2" borderId="1" xfId="0" applyNumberFormat="1" applyFont="1" applyFill="1" applyBorder="1" applyAlignment="1">
      <alignment horizontal="right" vertical="center"/>
    </xf>
    <xf numFmtId="43" fontId="1" fillId="3" borderId="13" xfId="0" applyNumberFormat="1" applyFont="1" applyFill="1" applyBorder="1"/>
    <xf numFmtId="41" fontId="4" fillId="2" borderId="4" xfId="0" applyNumberFormat="1" applyFont="1" applyFill="1" applyBorder="1" applyAlignment="1">
      <alignment horizontal="center" vertical="center"/>
    </xf>
    <xf numFmtId="41" fontId="1" fillId="3" borderId="11" xfId="0" applyNumberFormat="1" applyFont="1" applyFill="1" applyBorder="1" applyAlignment="1">
      <alignment horizontal="center"/>
    </xf>
    <xf numFmtId="43" fontId="1" fillId="3" borderId="13" xfId="0" applyNumberFormat="1" applyFont="1" applyFill="1" applyBorder="1" applyAlignment="1">
      <alignment vertical="center"/>
    </xf>
    <xf numFmtId="43" fontId="7" fillId="3" borderId="1" xfId="0" applyNumberFormat="1" applyFont="1" applyFill="1" applyBorder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7" fillId="3" borderId="13" xfId="0" applyNumberFormat="1" applyFont="1" applyFill="1" applyBorder="1" applyAlignment="1">
      <alignment horizontal="center" vertical="center"/>
    </xf>
    <xf numFmtId="43" fontId="7" fillId="11" borderId="11" xfId="0" applyNumberFormat="1" applyFont="1" applyFill="1" applyBorder="1"/>
    <xf numFmtId="43" fontId="7" fillId="13" borderId="10" xfId="0" applyNumberFormat="1" applyFont="1" applyFill="1" applyBorder="1"/>
    <xf numFmtId="43" fontId="7" fillId="13" borderId="11" xfId="0" applyNumberFormat="1" applyFont="1" applyFill="1" applyBorder="1"/>
    <xf numFmtId="0" fontId="1" fillId="13" borderId="12" xfId="0" applyFont="1" applyFill="1" applyBorder="1" applyAlignment="1">
      <alignment horizontal="center" vertical="center"/>
    </xf>
    <xf numFmtId="43" fontId="0" fillId="11" borderId="1" xfId="0" applyNumberFormat="1" applyFill="1" applyBorder="1" applyAlignment="1">
      <alignment horizontal="center" vertical="center"/>
    </xf>
    <xf numFmtId="43" fontId="7" fillId="11" borderId="12" xfId="0" applyNumberFormat="1" applyFont="1" applyFill="1" applyBorder="1"/>
    <xf numFmtId="43" fontId="19" fillId="14" borderId="13" xfId="0" applyNumberFormat="1" applyFont="1" applyFill="1" applyBorder="1" applyAlignment="1">
      <alignment horizontal="center" vertical="center"/>
    </xf>
    <xf numFmtId="43" fontId="0" fillId="12" borderId="21" xfId="0" applyNumberFormat="1" applyFill="1" applyBorder="1"/>
    <xf numFmtId="43" fontId="0" fillId="0" borderId="7" xfId="0" applyNumberFormat="1" applyBorder="1"/>
    <xf numFmtId="43" fontId="0" fillId="12" borderId="23" xfId="0" applyNumberFormat="1" applyFill="1" applyBorder="1"/>
    <xf numFmtId="0" fontId="11" fillId="11" borderId="25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43" fontId="0" fillId="0" borderId="23" xfId="0" applyNumberFormat="1" applyBorder="1"/>
    <xf numFmtId="43" fontId="0" fillId="0" borderId="21" xfId="0" applyNumberFormat="1" applyBorder="1"/>
    <xf numFmtId="43" fontId="0" fillId="0" borderId="22" xfId="0" applyNumberFormat="1" applyBorder="1"/>
    <xf numFmtId="0" fontId="11" fillId="11" borderId="24" xfId="0" applyFont="1" applyFill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43" fontId="0" fillId="0" borderId="26" xfId="0" applyNumberFormat="1" applyBorder="1"/>
    <xf numFmtId="43" fontId="0" fillId="0" borderId="27" xfId="0" applyNumberFormat="1" applyBorder="1"/>
    <xf numFmtId="43" fontId="0" fillId="0" borderId="28" xfId="0" applyNumberFormat="1" applyBorder="1"/>
    <xf numFmtId="43" fontId="0" fillId="0" borderId="29" xfId="0" applyNumberFormat="1" applyBorder="1"/>
    <xf numFmtId="43" fontId="0" fillId="0" borderId="30" xfId="0" applyNumberFormat="1" applyBorder="1"/>
    <xf numFmtId="0" fontId="11" fillId="11" borderId="13" xfId="0" applyFont="1" applyFill="1" applyBorder="1" applyAlignment="1">
      <alignment horizontal="center" vertical="center"/>
    </xf>
    <xf numFmtId="164" fontId="0" fillId="0" borderId="23" xfId="0" applyNumberFormat="1" applyBorder="1"/>
    <xf numFmtId="43" fontId="19" fillId="14" borderId="13" xfId="0" applyNumberFormat="1" applyFont="1" applyFill="1" applyBorder="1"/>
    <xf numFmtId="0" fontId="17" fillId="14" borderId="13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14" fontId="4" fillId="2" borderId="31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2" borderId="0" xfId="0" applyFill="1"/>
    <xf numFmtId="4" fontId="5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4" fontId="5" fillId="0" borderId="9" xfId="0" applyNumberFormat="1" applyFont="1" applyBorder="1" applyAlignment="1">
      <alignment vertical="center"/>
    </xf>
    <xf numFmtId="43" fontId="2" fillId="0" borderId="1" xfId="0" applyNumberFormat="1" applyFont="1" applyBorder="1"/>
    <xf numFmtId="0" fontId="20" fillId="0" borderId="0" xfId="0" applyFont="1"/>
    <xf numFmtId="0" fontId="4" fillId="0" borderId="0" xfId="0" applyFont="1" applyAlignment="1">
      <alignment horizontal="left" vertical="center" wrapText="1"/>
    </xf>
    <xf numFmtId="0" fontId="11" fillId="11" borderId="12" xfId="0" applyFont="1" applyFill="1" applyBorder="1" applyAlignment="1">
      <alignment horizontal="center" vertical="center" wrapText="1"/>
    </xf>
    <xf numFmtId="43" fontId="0" fillId="0" borderId="33" xfId="0" applyNumberFormat="1" applyBorder="1"/>
    <xf numFmtId="43" fontId="0" fillId="0" borderId="34" xfId="0" applyNumberFormat="1" applyBorder="1"/>
    <xf numFmtId="43" fontId="0" fillId="0" borderId="35" xfId="0" applyNumberFormat="1" applyBorder="1"/>
    <xf numFmtId="43" fontId="7" fillId="12" borderId="12" xfId="0" applyNumberFormat="1" applyFont="1" applyFill="1" applyBorder="1"/>
    <xf numFmtId="166" fontId="7" fillId="13" borderId="1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5" fontId="3" fillId="12" borderId="7" xfId="0" applyNumberFormat="1" applyFont="1" applyFill="1" applyBorder="1" applyAlignment="1">
      <alignment horizontal="center" vertical="center"/>
    </xf>
    <xf numFmtId="0" fontId="0" fillId="17" borderId="2" xfId="0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3" fillId="17" borderId="4" xfId="0" applyFont="1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166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166" fontId="1" fillId="3" borderId="13" xfId="0" applyNumberFormat="1" applyFont="1" applyFill="1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166" fontId="0" fillId="0" borderId="7" xfId="0" applyNumberFormat="1" applyBorder="1" applyAlignment="1">
      <alignment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43" fontId="1" fillId="0" borderId="13" xfId="0" applyNumberFormat="1" applyFont="1" applyBorder="1"/>
    <xf numFmtId="0" fontId="1" fillId="0" borderId="0" xfId="0" applyFont="1" applyAlignment="1">
      <alignment horizontal="right"/>
    </xf>
    <xf numFmtId="14" fontId="4" fillId="3" borderId="36" xfId="0" applyNumberFormat="1" applyFont="1" applyFill="1" applyBorder="1" applyAlignment="1">
      <alignment horizontal="center" vertical="center"/>
    </xf>
    <xf numFmtId="14" fontId="4" fillId="3" borderId="37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right" vertical="center"/>
    </xf>
    <xf numFmtId="43" fontId="7" fillId="3" borderId="39" xfId="0" applyNumberFormat="1" applyFont="1" applyFill="1" applyBorder="1" applyAlignment="1">
      <alignment vertical="center"/>
    </xf>
    <xf numFmtId="0" fontId="12" fillId="0" borderId="0" xfId="0" applyFont="1"/>
    <xf numFmtId="49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/>
    </xf>
    <xf numFmtId="43" fontId="0" fillId="0" borderId="1" xfId="0" applyNumberFormat="1" applyBorder="1" applyAlignment="1">
      <alignment vertical="center" wrapText="1"/>
    </xf>
    <xf numFmtId="0" fontId="23" fillId="0" borderId="1" xfId="0" applyFont="1" applyBorder="1"/>
    <xf numFmtId="44" fontId="0" fillId="0" borderId="0" xfId="0" applyNumberFormat="1" applyAlignment="1">
      <alignment horizontal="center"/>
    </xf>
    <xf numFmtId="44" fontId="0" fillId="0" borderId="0" xfId="0" applyNumberFormat="1"/>
    <xf numFmtId="4" fontId="0" fillId="0" borderId="0" xfId="0" applyNumberFormat="1"/>
    <xf numFmtId="0" fontId="0" fillId="3" borderId="0" xfId="0" applyFill="1"/>
    <xf numFmtId="0" fontId="6" fillId="20" borderId="0" xfId="0" applyFont="1" applyFill="1" applyAlignment="1">
      <alignment horizontal="center" vertical="center"/>
    </xf>
    <xf numFmtId="0" fontId="0" fillId="4" borderId="0" xfId="0" applyFill="1"/>
    <xf numFmtId="0" fontId="6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25" fillId="21" borderId="1" xfId="0" applyNumberFormat="1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vertical="center"/>
    </xf>
    <xf numFmtId="44" fontId="6" fillId="3" borderId="0" xfId="0" applyNumberFormat="1" applyFont="1" applyFill="1" applyAlignment="1">
      <alignment vertical="center"/>
    </xf>
    <xf numFmtId="44" fontId="16" fillId="0" borderId="1" xfId="0" applyNumberFormat="1" applyFont="1" applyBorder="1" applyAlignment="1">
      <alignment vertical="center"/>
    </xf>
    <xf numFmtId="0" fontId="13" fillId="3" borderId="10" xfId="0" applyFont="1" applyFill="1" applyBorder="1" applyAlignment="1">
      <alignment horizontal="right" vertical="center"/>
    </xf>
    <xf numFmtId="44" fontId="13" fillId="3" borderId="12" xfId="0" applyNumberFormat="1" applyFont="1" applyFill="1" applyBorder="1" applyAlignment="1">
      <alignment vertical="center"/>
    </xf>
    <xf numFmtId="0" fontId="0" fillId="22" borderId="0" xfId="0" applyFill="1"/>
    <xf numFmtId="0" fontId="4" fillId="0" borderId="17" xfId="0" applyFont="1" applyBorder="1" applyAlignment="1">
      <alignment horizontal="left" vertical="center"/>
    </xf>
    <xf numFmtId="44" fontId="6" fillId="22" borderId="3" xfId="0" applyNumberFormat="1" applyFont="1" applyFill="1" applyBorder="1" applyAlignment="1">
      <alignment vertical="center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0" fontId="5" fillId="2" borderId="7" xfId="0" applyFont="1" applyFill="1" applyBorder="1" applyAlignment="1">
      <alignment horizontal="center" vertical="center"/>
    </xf>
    <xf numFmtId="0" fontId="0" fillId="23" borderId="0" xfId="0" applyFill="1"/>
    <xf numFmtId="0" fontId="9" fillId="23" borderId="0" xfId="0" applyFont="1" applyFill="1" applyAlignment="1">
      <alignment horizontal="center"/>
    </xf>
    <xf numFmtId="43" fontId="2" fillId="0" borderId="7" xfId="0" applyNumberFormat="1" applyFont="1" applyBorder="1"/>
    <xf numFmtId="0" fontId="26" fillId="11" borderId="12" xfId="0" applyFont="1" applyFill="1" applyBorder="1" applyAlignment="1">
      <alignment horizontal="center" vertical="center" wrapText="1"/>
    </xf>
    <xf numFmtId="43" fontId="7" fillId="20" borderId="12" xfId="0" applyNumberFormat="1" applyFont="1" applyFill="1" applyBorder="1"/>
    <xf numFmtId="43" fontId="1" fillId="20" borderId="12" xfId="0" applyNumberFormat="1" applyFont="1" applyFill="1" applyBorder="1" applyAlignment="1">
      <alignment horizontal="center" vertical="center"/>
    </xf>
    <xf numFmtId="0" fontId="7" fillId="24" borderId="9" xfId="0" applyFont="1" applyFill="1" applyBorder="1" applyAlignment="1">
      <alignment horizontal="center"/>
    </xf>
    <xf numFmtId="165" fontId="7" fillId="24" borderId="9" xfId="0" applyNumberFormat="1" applyFont="1" applyFill="1" applyBorder="1" applyAlignment="1">
      <alignment horizontal="center"/>
    </xf>
    <xf numFmtId="43" fontId="5" fillId="0" borderId="1" xfId="0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4" fontId="5" fillId="2" borderId="7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32" xfId="0" applyBorder="1"/>
    <xf numFmtId="0" fontId="3" fillId="16" borderId="3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vertical="center"/>
    </xf>
    <xf numFmtId="14" fontId="0" fillId="0" borderId="1" xfId="0" applyNumberFormat="1" applyBorder="1"/>
    <xf numFmtId="43" fontId="5" fillId="0" borderId="7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2" fontId="0" fillId="0" borderId="0" xfId="0" applyNumberFormat="1"/>
    <xf numFmtId="14" fontId="0" fillId="0" borderId="29" xfId="0" applyNumberFormat="1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8" fontId="0" fillId="0" borderId="0" xfId="0" applyNumberFormat="1" applyAlignment="1">
      <alignment horizontal="center"/>
    </xf>
    <xf numFmtId="2" fontId="5" fillId="0" borderId="1" xfId="0" applyNumberFormat="1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1" fillId="0" borderId="37" xfId="0" applyFont="1" applyBorder="1" applyAlignment="1">
      <alignment horizontal="right" vertical="center"/>
    </xf>
    <xf numFmtId="0" fontId="0" fillId="0" borderId="40" xfId="0" applyBorder="1" applyAlignment="1">
      <alignment horizontal="center" vertical="center"/>
    </xf>
    <xf numFmtId="43" fontId="1" fillId="3" borderId="41" xfId="0" applyNumberFormat="1" applyFont="1" applyFill="1" applyBorder="1" applyAlignment="1">
      <alignment vertical="center"/>
    </xf>
    <xf numFmtId="0" fontId="0" fillId="0" borderId="9" xfId="0" applyBorder="1"/>
    <xf numFmtId="43" fontId="0" fillId="0" borderId="32" xfId="0" applyNumberFormat="1" applyBorder="1"/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1" fillId="0" borderId="1" xfId="1" applyBorder="1"/>
    <xf numFmtId="0" fontId="1" fillId="0" borderId="1" xfId="0" applyFont="1" applyBorder="1"/>
    <xf numFmtId="0" fontId="32" fillId="0" borderId="1" xfId="1" applyFont="1" applyBorder="1"/>
    <xf numFmtId="0" fontId="32" fillId="0" borderId="1" xfId="0" applyFont="1" applyBorder="1"/>
    <xf numFmtId="14" fontId="0" fillId="0" borderId="7" xfId="0" applyNumberFormat="1" applyBorder="1"/>
    <xf numFmtId="14" fontId="0" fillId="0" borderId="42" xfId="0" applyNumberFormat="1" applyBorder="1"/>
    <xf numFmtId="14" fontId="0" fillId="0" borderId="9" xfId="0" applyNumberFormat="1" applyBorder="1"/>
    <xf numFmtId="43" fontId="1" fillId="0" borderId="0" xfId="0" applyNumberFormat="1" applyFont="1"/>
    <xf numFmtId="0" fontId="0" fillId="0" borderId="7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1" fillId="0" borderId="17" xfId="0" applyFont="1" applyBorder="1" applyAlignment="1">
      <alignment horizontal="center" vertical="center"/>
    </xf>
    <xf numFmtId="43" fontId="0" fillId="4" borderId="0" xfId="0" applyNumberFormat="1" applyFill="1"/>
    <xf numFmtId="43" fontId="0" fillId="0" borderId="9" xfId="0" applyNumberFormat="1" applyBorder="1" applyAlignment="1">
      <alignment vertical="top"/>
    </xf>
    <xf numFmtId="43" fontId="0" fillId="0" borderId="9" xfId="0" applyNumberFormat="1" applyBorder="1"/>
    <xf numFmtId="14" fontId="0" fillId="0" borderId="32" xfId="0" applyNumberFormat="1" applyBorder="1"/>
    <xf numFmtId="14" fontId="0" fillId="0" borderId="18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4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45" xfId="0" applyNumberFormat="1" applyBorder="1" applyAlignment="1">
      <alignment horizontal="center" vertical="center"/>
    </xf>
    <xf numFmtId="14" fontId="0" fillId="0" borderId="48" xfId="0" applyNumberFormat="1" applyBorder="1" applyAlignment="1">
      <alignment horizontal="center" vertical="center"/>
    </xf>
    <xf numFmtId="14" fontId="0" fillId="0" borderId="49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5" xfId="0" applyBorder="1"/>
    <xf numFmtId="0" fontId="0" fillId="0" borderId="42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51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3" fillId="0" borderId="0" xfId="0" applyFont="1"/>
    <xf numFmtId="0" fontId="1" fillId="26" borderId="1" xfId="0" applyFont="1" applyFill="1" applyBorder="1"/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27" borderId="0" xfId="0" applyFill="1"/>
    <xf numFmtId="0" fontId="0" fillId="28" borderId="0" xfId="0" applyFill="1"/>
    <xf numFmtId="0" fontId="0" fillId="29" borderId="0" xfId="0" applyFill="1"/>
    <xf numFmtId="0" fontId="38" fillId="14" borderId="0" xfId="0" applyFont="1" applyFill="1"/>
    <xf numFmtId="0" fontId="0" fillId="30" borderId="0" xfId="0" applyFill="1"/>
    <xf numFmtId="0" fontId="1" fillId="26" borderId="6" xfId="0" applyFont="1" applyFill="1" applyBorder="1"/>
    <xf numFmtId="0" fontId="39" fillId="0" borderId="1" xfId="0" applyFont="1" applyBorder="1" applyAlignment="1">
      <alignment wrapText="1"/>
    </xf>
    <xf numFmtId="0" fontId="39" fillId="0" borderId="1" xfId="0" applyFont="1" applyBorder="1"/>
    <xf numFmtId="17" fontId="39" fillId="0" borderId="1" xfId="0" applyNumberFormat="1" applyFont="1" applyBorder="1"/>
    <xf numFmtId="0" fontId="39" fillId="26" borderId="1" xfId="0" applyFont="1" applyFill="1" applyBorder="1" applyAlignment="1">
      <alignment wrapText="1"/>
    </xf>
    <xf numFmtId="0" fontId="39" fillId="0" borderId="9" xfId="0" applyFont="1" applyBorder="1"/>
    <xf numFmtId="0" fontId="39" fillId="26" borderId="9" xfId="0" applyFont="1" applyFill="1" applyBorder="1"/>
    <xf numFmtId="0" fontId="39" fillId="26" borderId="1" xfId="0" applyFont="1" applyFill="1" applyBorder="1"/>
    <xf numFmtId="0" fontId="39" fillId="0" borderId="7" xfId="0" applyFont="1" applyBorder="1"/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0" fillId="32" borderId="0" xfId="0" applyFill="1"/>
    <xf numFmtId="0" fontId="41" fillId="31" borderId="32" xfId="0" applyFont="1" applyFill="1" applyBorder="1"/>
    <xf numFmtId="0" fontId="0" fillId="31" borderId="0" xfId="0" applyFill="1"/>
    <xf numFmtId="0" fontId="37" fillId="0" borderId="7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41" fillId="0" borderId="1" xfId="0" applyFont="1" applyBorder="1"/>
    <xf numFmtId="0" fontId="4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42" fillId="0" borderId="1" xfId="0" applyFont="1" applyBorder="1" applyAlignment="1">
      <alignment horizontal="center" vertical="center" wrapText="1"/>
    </xf>
    <xf numFmtId="0" fontId="1" fillId="33" borderId="1" xfId="0" applyFont="1" applyFill="1" applyBorder="1"/>
    <xf numFmtId="0" fontId="41" fillId="31" borderId="0" xfId="0" applyFont="1" applyFill="1"/>
    <xf numFmtId="0" fontId="43" fillId="0" borderId="1" xfId="0" applyFont="1" applyBorder="1"/>
    <xf numFmtId="43" fontId="0" fillId="0" borderId="17" xfId="0" applyNumberFormat="1" applyBorder="1"/>
    <xf numFmtId="4" fontId="0" fillId="4" borderId="0" xfId="0" applyNumberFormat="1" applyFill="1"/>
    <xf numFmtId="0" fontId="0" fillId="0" borderId="51" xfId="0" applyBorder="1" applyAlignment="1">
      <alignment horizontal="left" vertical="top"/>
    </xf>
    <xf numFmtId="2" fontId="0" fillId="0" borderId="52" xfId="0" applyNumberFormat="1" applyBorder="1" applyAlignment="1">
      <alignment horizontal="right" vertical="center"/>
    </xf>
    <xf numFmtId="2" fontId="0" fillId="0" borderId="28" xfId="0" applyNumberFormat="1" applyBorder="1" applyAlignment="1">
      <alignment horizontal="right" vertical="center"/>
    </xf>
    <xf numFmtId="2" fontId="0" fillId="0" borderId="30" xfId="0" applyNumberFormat="1" applyBorder="1" applyAlignment="1">
      <alignment horizontal="right" vertical="center"/>
    </xf>
    <xf numFmtId="2" fontId="0" fillId="0" borderId="53" xfId="0" applyNumberFormat="1" applyBorder="1" applyAlignment="1">
      <alignment horizontal="right" vertical="center"/>
    </xf>
    <xf numFmtId="2" fontId="0" fillId="0" borderId="27" xfId="0" applyNumberFormat="1" applyBorder="1" applyAlignment="1">
      <alignment horizontal="right" vertical="center"/>
    </xf>
    <xf numFmtId="2" fontId="0" fillId="0" borderId="54" xfId="0" applyNumberFormat="1" applyBorder="1" applyAlignment="1">
      <alignment horizontal="right" vertical="center"/>
    </xf>
    <xf numFmtId="14" fontId="0" fillId="0" borderId="56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14" fontId="0" fillId="0" borderId="58" xfId="0" applyNumberFormat="1" applyBorder="1" applyAlignment="1">
      <alignment horizontal="center" vertical="center"/>
    </xf>
    <xf numFmtId="14" fontId="0" fillId="0" borderId="59" xfId="0" applyNumberFormat="1" applyBorder="1" applyAlignment="1">
      <alignment horizontal="center" vertical="center"/>
    </xf>
    <xf numFmtId="2" fontId="0" fillId="0" borderId="60" xfId="0" applyNumberFormat="1" applyBorder="1" applyAlignment="1">
      <alignment horizontal="right" vertical="center"/>
    </xf>
    <xf numFmtId="14" fontId="0" fillId="0" borderId="50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0" fontId="0" fillId="0" borderId="43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2" fontId="0" fillId="0" borderId="39" xfId="0" applyNumberFormat="1" applyBorder="1" applyAlignment="1">
      <alignment horizontal="right" vertical="center"/>
    </xf>
    <xf numFmtId="14" fontId="0" fillId="0" borderId="51" xfId="0" applyNumberFormat="1" applyBorder="1"/>
    <xf numFmtId="0" fontId="0" fillId="26" borderId="0" xfId="0" applyFill="1"/>
    <xf numFmtId="0" fontId="0" fillId="0" borderId="42" xfId="0" applyBorder="1"/>
    <xf numFmtId="43" fontId="0" fillId="0" borderId="42" xfId="0" applyNumberFormat="1" applyBorder="1"/>
    <xf numFmtId="2" fontId="0" fillId="0" borderId="29" xfId="0" applyNumberFormat="1" applyBorder="1"/>
    <xf numFmtId="14" fontId="0" fillId="0" borderId="25" xfId="0" applyNumberFormat="1" applyBorder="1"/>
    <xf numFmtId="0" fontId="0" fillId="0" borderId="25" xfId="0" applyBorder="1"/>
    <xf numFmtId="2" fontId="0" fillId="0" borderId="25" xfId="0" applyNumberFormat="1" applyBorder="1"/>
    <xf numFmtId="4" fontId="0" fillId="26" borderId="0" xfId="0" applyNumberFormat="1" applyFill="1"/>
    <xf numFmtId="0" fontId="7" fillId="0" borderId="0" xfId="0" applyFont="1" applyAlignment="1">
      <alignment horizontal="left" vertical="center" wrapText="1"/>
    </xf>
    <xf numFmtId="14" fontId="0" fillId="0" borderId="25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164" fontId="5" fillId="3" borderId="1" xfId="0" applyNumberFormat="1" applyFont="1" applyFill="1" applyBorder="1" applyAlignment="1">
      <alignment horizontal="center" vertical="center"/>
    </xf>
    <xf numFmtId="164" fontId="5" fillId="26" borderId="1" xfId="0" applyNumberFormat="1" applyFont="1" applyFill="1" applyBorder="1" applyAlignment="1">
      <alignment horizontal="center" vertical="center"/>
    </xf>
    <xf numFmtId="14" fontId="4" fillId="26" borderId="1" xfId="0" applyNumberFormat="1" applyFont="1" applyFill="1" applyBorder="1" applyAlignment="1">
      <alignment horizontal="center"/>
    </xf>
    <xf numFmtId="164" fontId="5" fillId="1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5" fillId="34" borderId="1" xfId="0" applyNumberFormat="1" applyFont="1" applyFill="1" applyBorder="1" applyAlignment="1">
      <alignment horizontal="center" vertical="center"/>
    </xf>
    <xf numFmtId="164" fontId="5" fillId="35" borderId="1" xfId="0" applyNumberFormat="1" applyFont="1" applyFill="1" applyBorder="1" applyAlignment="1">
      <alignment horizontal="center" vertical="center"/>
    </xf>
    <xf numFmtId="164" fontId="5" fillId="20" borderId="1" xfId="0" applyNumberFormat="1" applyFont="1" applyFill="1" applyBorder="1" applyAlignment="1">
      <alignment horizontal="center" vertical="center"/>
    </xf>
    <xf numFmtId="164" fontId="5" fillId="36" borderId="1" xfId="0" applyNumberFormat="1" applyFont="1" applyFill="1" applyBorder="1" applyAlignment="1">
      <alignment horizontal="center" vertical="center"/>
    </xf>
    <xf numFmtId="164" fontId="5" fillId="37" borderId="1" xfId="0" applyNumberFormat="1" applyFont="1" applyFill="1" applyBorder="1" applyAlignment="1">
      <alignment horizontal="center" vertical="center"/>
    </xf>
    <xf numFmtId="0" fontId="0" fillId="0" borderId="57" xfId="0" applyBorder="1"/>
    <xf numFmtId="0" fontId="21" fillId="18" borderId="61" xfId="0" applyFont="1" applyFill="1" applyBorder="1" applyAlignment="1">
      <alignment vertical="center"/>
    </xf>
    <xf numFmtId="0" fontId="21" fillId="18" borderId="62" xfId="0" applyFont="1" applyFill="1" applyBorder="1" applyAlignment="1">
      <alignment vertical="center"/>
    </xf>
    <xf numFmtId="0" fontId="19" fillId="18" borderId="62" xfId="0" applyFont="1" applyFill="1" applyBorder="1" applyAlignment="1">
      <alignment horizontal="center" vertical="center"/>
    </xf>
    <xf numFmtId="0" fontId="22" fillId="18" borderId="62" xfId="0" applyFont="1" applyFill="1" applyBorder="1" applyAlignment="1">
      <alignment horizontal="center" vertical="center"/>
    </xf>
    <xf numFmtId="0" fontId="21" fillId="18" borderId="63" xfId="0" applyFont="1" applyFill="1" applyBorder="1" applyAlignment="1">
      <alignment vertical="center"/>
    </xf>
    <xf numFmtId="0" fontId="0" fillId="0" borderId="55" xfId="0" applyBorder="1"/>
    <xf numFmtId="165" fontId="3" fillId="16" borderId="53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2" fontId="0" fillId="0" borderId="15" xfId="0" applyNumberFormat="1" applyBorder="1" applyAlignment="1">
      <alignment horizontal="right" vertical="center"/>
    </xf>
    <xf numFmtId="0" fontId="0" fillId="0" borderId="49" xfId="0" applyBorder="1"/>
    <xf numFmtId="2" fontId="0" fillId="0" borderId="28" xfId="0" applyNumberFormat="1" applyBorder="1"/>
    <xf numFmtId="43" fontId="1" fillId="3" borderId="28" xfId="0" applyNumberFormat="1" applyFont="1" applyFill="1" applyBorder="1" applyAlignment="1">
      <alignment horizontal="center" vertical="center"/>
    </xf>
    <xf numFmtId="0" fontId="0" fillId="0" borderId="48" xfId="0" applyBorder="1"/>
    <xf numFmtId="0" fontId="0" fillId="0" borderId="30" xfId="0" applyBorder="1"/>
    <xf numFmtId="0" fontId="7" fillId="0" borderId="0" xfId="0" applyFont="1" applyAlignment="1">
      <alignment horizontal="left" vertical="center"/>
    </xf>
    <xf numFmtId="43" fontId="1" fillId="0" borderId="1" xfId="0" applyNumberFormat="1" applyFont="1" applyBorder="1" applyAlignment="1">
      <alignment vertical="center"/>
    </xf>
    <xf numFmtId="0" fontId="0" fillId="0" borderId="6" xfId="0" applyBorder="1"/>
    <xf numFmtId="0" fontId="1" fillId="0" borderId="7" xfId="0" applyFont="1" applyBorder="1" applyAlignment="1">
      <alignment horizontal="right" vertical="center"/>
    </xf>
    <xf numFmtId="43" fontId="1" fillId="0" borderId="7" xfId="0" applyNumberFormat="1" applyFont="1" applyBorder="1" applyAlignment="1">
      <alignment vertical="center"/>
    </xf>
    <xf numFmtId="0" fontId="21" fillId="19" borderId="58" xfId="0" applyFont="1" applyFill="1" applyBorder="1" applyAlignment="1">
      <alignment vertical="center"/>
    </xf>
    <xf numFmtId="0" fontId="21" fillId="19" borderId="51" xfId="0" applyFont="1" applyFill="1" applyBorder="1" applyAlignment="1">
      <alignment vertical="center"/>
    </xf>
    <xf numFmtId="0" fontId="19" fillId="19" borderId="51" xfId="0" applyFont="1" applyFill="1" applyBorder="1" applyAlignment="1">
      <alignment horizontal="center" vertical="center"/>
    </xf>
    <xf numFmtId="0" fontId="21" fillId="19" borderId="60" xfId="0" applyFont="1" applyFill="1" applyBorder="1" applyAlignment="1">
      <alignment vertical="center"/>
    </xf>
    <xf numFmtId="0" fontId="3" fillId="16" borderId="49" xfId="0" applyFont="1" applyFill="1" applyBorder="1" applyAlignment="1">
      <alignment horizontal="center" vertical="center"/>
    </xf>
    <xf numFmtId="165" fontId="3" fillId="16" borderId="28" xfId="0" applyNumberFormat="1" applyFont="1" applyFill="1" applyBorder="1" applyAlignment="1">
      <alignment horizontal="center" vertical="center"/>
    </xf>
    <xf numFmtId="164" fontId="5" fillId="0" borderId="49" xfId="0" applyNumberFormat="1" applyFont="1" applyBorder="1" applyAlignment="1">
      <alignment horizontal="center" vertical="center"/>
    </xf>
    <xf numFmtId="4" fontId="5" fillId="0" borderId="28" xfId="0" applyNumberFormat="1" applyFont="1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29" xfId="0" applyFont="1" applyBorder="1" applyAlignment="1">
      <alignment horizontal="right" vertical="center"/>
    </xf>
    <xf numFmtId="43" fontId="1" fillId="3" borderId="30" xfId="0" applyNumberFormat="1" applyFont="1" applyFill="1" applyBorder="1" applyAlignment="1">
      <alignment vertical="center"/>
    </xf>
    <xf numFmtId="0" fontId="21" fillId="15" borderId="58" xfId="0" applyFont="1" applyFill="1" applyBorder="1" applyAlignment="1">
      <alignment vertical="center"/>
    </xf>
    <xf numFmtId="0" fontId="21" fillId="15" borderId="51" xfId="0" applyFont="1" applyFill="1" applyBorder="1" applyAlignment="1">
      <alignment vertical="center"/>
    </xf>
    <xf numFmtId="0" fontId="19" fillId="15" borderId="51" xfId="0" applyFont="1" applyFill="1" applyBorder="1" applyAlignment="1">
      <alignment horizontal="center" vertical="center"/>
    </xf>
    <xf numFmtId="0" fontId="21" fillId="15" borderId="60" xfId="0" applyFont="1" applyFill="1" applyBorder="1" applyAlignment="1">
      <alignment vertical="center"/>
    </xf>
    <xf numFmtId="0" fontId="3" fillId="11" borderId="49" xfId="0" applyFont="1" applyFill="1" applyBorder="1" applyAlignment="1">
      <alignment horizontal="center" vertical="center"/>
    </xf>
    <xf numFmtId="165" fontId="3" fillId="11" borderId="2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43" fontId="1" fillId="0" borderId="0" xfId="0" applyNumberFormat="1" applyFont="1" applyAlignment="1">
      <alignment vertical="center"/>
    </xf>
    <xf numFmtId="0" fontId="0" fillId="17" borderId="57" xfId="0" applyFill="1" applyBorder="1" applyAlignment="1">
      <alignment vertical="center"/>
    </xf>
    <xf numFmtId="0" fontId="0" fillId="17" borderId="66" xfId="0" applyFill="1" applyBorder="1" applyAlignment="1">
      <alignment vertical="center"/>
    </xf>
    <xf numFmtId="0" fontId="3" fillId="17" borderId="62" xfId="0" applyFont="1" applyFill="1" applyBorder="1" applyAlignment="1">
      <alignment horizontal="center" vertical="center"/>
    </xf>
    <xf numFmtId="0" fontId="0" fillId="17" borderId="63" xfId="0" applyFill="1" applyBorder="1" applyAlignment="1">
      <alignment vertical="center"/>
    </xf>
    <xf numFmtId="0" fontId="3" fillId="12" borderId="67" xfId="0" applyFont="1" applyFill="1" applyBorder="1" applyAlignment="1">
      <alignment vertical="center"/>
    </xf>
    <xf numFmtId="165" fontId="3" fillId="12" borderId="27" xfId="0" applyNumberFormat="1" applyFont="1" applyFill="1" applyBorder="1" applyAlignment="1">
      <alignment horizontal="center" vertical="center"/>
    </xf>
    <xf numFmtId="14" fontId="4" fillId="2" borderId="67" xfId="0" applyNumberFormat="1" applyFont="1" applyFill="1" applyBorder="1" applyAlignment="1">
      <alignment horizontal="right" vertical="center"/>
    </xf>
    <xf numFmtId="43" fontId="4" fillId="2" borderId="28" xfId="0" applyNumberFormat="1" applyFont="1" applyFill="1" applyBorder="1" applyAlignment="1">
      <alignment horizontal="right" vertical="center"/>
    </xf>
    <xf numFmtId="14" fontId="4" fillId="2" borderId="68" xfId="0" applyNumberFormat="1" applyFont="1" applyFill="1" applyBorder="1" applyAlignment="1">
      <alignment horizontal="right" vertical="center"/>
    </xf>
    <xf numFmtId="0" fontId="1" fillId="0" borderId="56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7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3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4" fontId="15" fillId="0" borderId="9" xfId="0" applyNumberFormat="1" applyFont="1" applyBorder="1" applyAlignment="1">
      <alignment horizontal="center" vertical="center"/>
    </xf>
    <xf numFmtId="44" fontId="15" fillId="0" borderId="32" xfId="0" applyNumberFormat="1" applyFont="1" applyBorder="1" applyAlignment="1">
      <alignment horizontal="center" vertical="center"/>
    </xf>
    <xf numFmtId="44" fontId="15" fillId="0" borderId="7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2">
    <cellStyle name="Normal" xfId="0" builtinId="0"/>
    <cellStyle name="Normal 2" xfId="1" xr:uid="{EE83D34C-0C30-47FA-AE27-F546D0046771}"/>
  </cellStyles>
  <dxfs count="0"/>
  <tableStyles count="0" defaultTableStyle="TableStyleMedium2" defaultPivotStyle="PivotStyleLight16"/>
  <colors>
    <mruColors>
      <color rgb="FF16F6CB"/>
      <color rgb="FF823E00"/>
      <color rgb="FFFF860D"/>
      <color rgb="FFFA8C12"/>
      <color rgb="FFFF240D"/>
      <color rgb="FF280CCE"/>
      <color rgb="FF2B0DE1"/>
      <color rgb="FFFF0000"/>
      <color rgb="FFF8141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A875-523B-4E45-BAF9-F8DAC202E4BB}">
  <sheetPr>
    <tabColor rgb="FF92D050"/>
  </sheetPr>
  <dimension ref="A3:AA61"/>
  <sheetViews>
    <sheetView zoomScaleNormal="100" workbookViewId="0">
      <pane ySplit="6" topLeftCell="A25" activePane="bottomLeft" state="frozen"/>
      <selection pane="bottomLeft" activeCell="N49" sqref="N49"/>
    </sheetView>
  </sheetViews>
  <sheetFormatPr baseColWidth="10" defaultRowHeight="15" x14ac:dyDescent="0.25"/>
  <cols>
    <col min="1" max="1" width="15.42578125" bestFit="1" customWidth="1"/>
    <col min="2" max="2" width="13.7109375" customWidth="1"/>
    <col min="3" max="7" width="12.5703125" customWidth="1"/>
    <col min="8" max="8" width="12.42578125" bestFit="1" customWidth="1"/>
    <col min="12" max="12" width="10.85546875" customWidth="1"/>
    <col min="26" max="26" width="11.85546875" bestFit="1" customWidth="1"/>
  </cols>
  <sheetData>
    <row r="3" spans="1:9" ht="18.75" x14ac:dyDescent="0.3">
      <c r="B3" s="201"/>
      <c r="C3" s="202" t="s">
        <v>2772</v>
      </c>
      <c r="D3" s="202"/>
      <c r="E3" s="202"/>
      <c r="F3" s="32"/>
      <c r="G3" s="32"/>
    </row>
    <row r="5" spans="1:9" ht="15.75" thickBot="1" x14ac:dyDescent="0.3"/>
    <row r="6" spans="1:9" ht="30.75" thickBot="1" x14ac:dyDescent="0.3">
      <c r="A6" s="120" t="s">
        <v>26</v>
      </c>
      <c r="B6" s="113" t="s">
        <v>30</v>
      </c>
      <c r="C6" s="108" t="s">
        <v>31</v>
      </c>
      <c r="D6" s="114" t="s">
        <v>2062</v>
      </c>
      <c r="E6" s="143" t="s">
        <v>2063</v>
      </c>
      <c r="F6" s="143" t="s">
        <v>1348</v>
      </c>
      <c r="G6" s="204" t="s">
        <v>2387</v>
      </c>
      <c r="H6" s="123" t="s">
        <v>27</v>
      </c>
      <c r="I6" s="109" t="s">
        <v>28</v>
      </c>
    </row>
    <row r="7" spans="1:9" x14ac:dyDescent="0.25">
      <c r="A7" s="121">
        <v>46054</v>
      </c>
      <c r="B7" s="115">
        <f>SUMIFS(RECIBOS!$L$4:$L$1057,RECIBOS!$A$4:$A$1057,CAJA!A7)</f>
        <v>0</v>
      </c>
      <c r="C7" s="106">
        <f>SUMIFS(INGRESOS!$F$13:$F$37,INGRESOS!$B$13:$B$37,CAJA!A7)</f>
        <v>0</v>
      </c>
      <c r="D7" s="116">
        <f>SUMIFS(INGRESOS!$F$43:$F$181,INGRESOS!$B$43:$B$181,CAJA!A7)</f>
        <v>320</v>
      </c>
      <c r="E7" s="144">
        <f>SUMIFS(INGRESOS!$F$187:$F$194,INGRESOS!$B$187:$B$194,CAJA!A7)</f>
        <v>0</v>
      </c>
      <c r="F7" s="144">
        <f t="array" ref="F7:F37">SUMIFS(INGRESOS!F201:F204,INGRESOS!B201:B204,CAJA!A7:A37)</f>
        <v>0</v>
      </c>
      <c r="G7" s="115">
        <f>SUMIFS(EGRESOS!$F$46:$F$59,EGRESOS!$B$46:$B$59,CAJA!A7)</f>
        <v>0</v>
      </c>
      <c r="H7" s="110">
        <f>SUMIFS(EGRESOS!$F$4:$F$38,EGRESOS!$B$4:$B$38,CAJA!A7)</f>
        <v>0</v>
      </c>
      <c r="I7" s="107">
        <f>(B7+C7+D7+F7)-H7</f>
        <v>320</v>
      </c>
    </row>
    <row r="8" spans="1:9" x14ac:dyDescent="0.25">
      <c r="A8" s="121">
        <v>46055</v>
      </c>
      <c r="B8" s="115">
        <f>SUMIFS(RECIBOS!$L$4:$L$1057,RECIBOS!$A$4:$A$1057,CAJA!A8)</f>
        <v>707</v>
      </c>
      <c r="C8" s="5">
        <f>SUMIFS(INGRESOS!$F$13:$F$37,INGRESOS!$B$13:$B$37,CAJA!A8)</f>
        <v>0</v>
      </c>
      <c r="D8" s="117">
        <f>SUMIFS(INGRESOS!$F$43:$F$181,INGRESOS!$B$43:$B$181,CAJA!A8)</f>
        <v>630</v>
      </c>
      <c r="E8" s="144">
        <f>SUMIFS(INGRESOS!$F$187:$F$194,INGRESOS!$B$187:$B$194,CAJA!A8)</f>
        <v>100</v>
      </c>
      <c r="F8" s="145">
        <v>0</v>
      </c>
      <c r="G8" s="115">
        <f>SUMIFS(EGRESOS!$F$46:$F$59,EGRESOS!$B$46:$B$59,CAJA!A8)</f>
        <v>0</v>
      </c>
      <c r="H8" s="111">
        <f>SUMIFS(EGRESOS!$F$4:$F$38,EGRESOS!$B$4:$B$38,CAJA!A8)</f>
        <v>0</v>
      </c>
      <c r="I8" s="105">
        <f>(I7+B8+C8+D8+H8+F8)-H8</f>
        <v>1657</v>
      </c>
    </row>
    <row r="9" spans="1:9" x14ac:dyDescent="0.25">
      <c r="A9" s="121">
        <v>46056</v>
      </c>
      <c r="B9" s="115">
        <f>SUMIFS(RECIBOS!$L$4:$L$1057,RECIBOS!$A$4:$A$1057,CAJA!A9)</f>
        <v>78</v>
      </c>
      <c r="C9" s="5">
        <f>SUMIFS(INGRESOS!$F$13:$F$37,INGRESOS!$B$13:$B$37,CAJA!A9)</f>
        <v>0</v>
      </c>
      <c r="D9" s="117">
        <f>SUMIFS(INGRESOS!$F$43:$F$181,INGRESOS!$B$43:$B$181,CAJA!A9)</f>
        <v>330</v>
      </c>
      <c r="E9" s="144">
        <f>SUMIFS(INGRESOS!$F$187:$F$194,INGRESOS!$B$187:$B$194,CAJA!A9)</f>
        <v>0</v>
      </c>
      <c r="F9" s="145">
        <v>0</v>
      </c>
      <c r="G9" s="115">
        <f>SUMIFS(EGRESOS!$F$46:$F$59,EGRESOS!$B$46:$B$59,CAJA!A9)</f>
        <v>0</v>
      </c>
      <c r="H9" s="111">
        <f>SUMIFS(EGRESOS!$F$4:$F$38,EGRESOS!$B$4:$B$38,CAJA!A9)</f>
        <v>0</v>
      </c>
      <c r="I9" s="105">
        <f>(I8+B9+C9+D9+H9+F9)-H9</f>
        <v>2065</v>
      </c>
    </row>
    <row r="10" spans="1:9" x14ac:dyDescent="0.25">
      <c r="A10" s="121">
        <v>46057</v>
      </c>
      <c r="B10" s="115">
        <f>SUMIFS(RECIBOS!$L$4:$L$1057,RECIBOS!$A$4:$A$1057,CAJA!A10)</f>
        <v>0</v>
      </c>
      <c r="C10" s="5">
        <f>SUMIFS(INGRESOS!$F$13:$F$37,INGRESOS!$B$13:$B$37,CAJA!A10)</f>
        <v>0</v>
      </c>
      <c r="D10" s="117">
        <f>SUMIFS(INGRESOS!$F$43:$F$181,INGRESOS!$B$43:$B$181,CAJA!A10)</f>
        <v>250</v>
      </c>
      <c r="E10" s="144">
        <f>SUMIFS(INGRESOS!$F$187:$F$194,INGRESOS!$B$187:$B$194,CAJA!A10)</f>
        <v>0</v>
      </c>
      <c r="F10" s="145">
        <v>0</v>
      </c>
      <c r="G10" s="115">
        <f>SUMIFS(EGRESOS!$F$46:$F$59,EGRESOS!$B$46:$B$59,CAJA!A10)</f>
        <v>0</v>
      </c>
      <c r="H10" s="111">
        <f>SUMIFS(EGRESOS!$F$4:$F$38,EGRESOS!$B$4:$B$38,CAJA!A10)</f>
        <v>0</v>
      </c>
      <c r="I10" s="105">
        <f>(I9+B10+C10+D10+F10)-H10</f>
        <v>2315</v>
      </c>
    </row>
    <row r="11" spans="1:9" x14ac:dyDescent="0.25">
      <c r="A11" s="121">
        <v>46058</v>
      </c>
      <c r="B11" s="115">
        <f>SUMIFS(RECIBOS!$L$4:$L$1057,RECIBOS!$A$4:$A$1057,CAJA!A11)</f>
        <v>44.5</v>
      </c>
      <c r="C11" s="5">
        <f>SUMIFS(INGRESOS!$F$13:$F$37,INGRESOS!$B$13:$B$37,CAJA!A11)</f>
        <v>0</v>
      </c>
      <c r="D11" s="117">
        <f>SUMIFS(INGRESOS!$F$43:$F$181,INGRESOS!$B$43:$B$181,CAJA!A11)</f>
        <v>140</v>
      </c>
      <c r="E11" s="144">
        <f>SUMIFS(INGRESOS!$F$187:$F$194,INGRESOS!$B$187:$B$194,CAJA!A11)</f>
        <v>0</v>
      </c>
      <c r="F11" s="145">
        <v>0</v>
      </c>
      <c r="G11" s="115">
        <f>SUMIFS(EGRESOS!$F$46:$F$59,EGRESOS!$B$46:$B$59,CAJA!A11)</f>
        <v>0</v>
      </c>
      <c r="H11" s="111">
        <f>SUMIFS(EGRESOS!$F$4:$F$38,EGRESOS!$B$4:$B$38,CAJA!A11)</f>
        <v>0</v>
      </c>
      <c r="I11" s="105">
        <f>(I10+B11+C11+D11+F11)-H11</f>
        <v>2499.5</v>
      </c>
    </row>
    <row r="12" spans="1:9" x14ac:dyDescent="0.25">
      <c r="A12" s="121">
        <v>46059</v>
      </c>
      <c r="B12" s="115">
        <f>SUMIFS(RECIBOS!$L$4:$L$1057,RECIBOS!$A$4:$A$1057,CAJA!A12)</f>
        <v>0</v>
      </c>
      <c r="C12" s="5">
        <f>SUMIFS(INGRESOS!$F$13:$F$37,INGRESOS!$B$13:$B$37,CAJA!A12)</f>
        <v>0</v>
      </c>
      <c r="D12" s="117">
        <f>SUMIFS(INGRESOS!$F$43:$F$181,INGRESOS!$B$43:$B$181,CAJA!A12)</f>
        <v>350</v>
      </c>
      <c r="E12" s="144">
        <f>SUMIFS(INGRESOS!$F$187:$F$194,INGRESOS!$B$187:$B$194,CAJA!A12)</f>
        <v>0</v>
      </c>
      <c r="F12" s="145">
        <v>0</v>
      </c>
      <c r="G12" s="115">
        <f>SUMIFS(EGRESOS!$F$46:$F$59,EGRESOS!$B$46:$B$59,CAJA!A12)</f>
        <v>0</v>
      </c>
      <c r="H12" s="111">
        <f>SUMIFS(EGRESOS!$F$4:$F$38,EGRESOS!$B$4:$B$38,CAJA!A12)</f>
        <v>379</v>
      </c>
      <c r="I12" s="105">
        <f>(I11+B12+C12+D12+F12)-H12</f>
        <v>2470.5</v>
      </c>
    </row>
    <row r="13" spans="1:9" x14ac:dyDescent="0.25">
      <c r="A13" s="121">
        <v>46060</v>
      </c>
      <c r="B13" s="115">
        <f>SUMIFS(RECIBOS!$L$4:$L$1057,RECIBOS!$A$4:$A$1057,CAJA!A13)</f>
        <v>411</v>
      </c>
      <c r="C13" s="5">
        <f>SUMIFS(INGRESOS!$F$13:$F$37,INGRESOS!$B$13:$B$37,CAJA!A13)</f>
        <v>0</v>
      </c>
      <c r="D13" s="117">
        <f>SUMIFS(INGRESOS!$F$43:$F$181,INGRESOS!$B$43:$B$181,CAJA!A13)</f>
        <v>180</v>
      </c>
      <c r="E13" s="144">
        <f>SUMIFS(INGRESOS!$F$187:$F$194,INGRESOS!$B$187:$B$194,CAJA!A13)</f>
        <v>0</v>
      </c>
      <c r="F13" s="145">
        <v>0</v>
      </c>
      <c r="G13" s="115">
        <f>SUMIFS(EGRESOS!$F$46:$F$59,EGRESOS!$B$46:$B$59,CAJA!A13)</f>
        <v>0</v>
      </c>
      <c r="H13" s="111">
        <f>SUMIFS(EGRESOS!$F$4:$F$38,EGRESOS!$B$4:$B$38,CAJA!A13)</f>
        <v>0</v>
      </c>
      <c r="I13" s="105">
        <f t="shared" ref="I13:I37" si="0">(I12+B13+C13+D13+F13)-H13</f>
        <v>3061.5</v>
      </c>
    </row>
    <row r="14" spans="1:9" x14ac:dyDescent="0.25">
      <c r="A14" s="121">
        <v>46061</v>
      </c>
      <c r="B14" s="115">
        <f>SUMIFS(RECIBOS!$L$4:$L$1057,RECIBOS!$A$4:$A$1057,CAJA!A14)</f>
        <v>0</v>
      </c>
      <c r="C14" s="5">
        <f>SUMIFS(INGRESOS!$F$13:$F$37,INGRESOS!$B$13:$B$37,CAJA!A14)</f>
        <v>0</v>
      </c>
      <c r="D14" s="117">
        <f>SUMIFS(INGRESOS!$F$43:$F$181,INGRESOS!$B$43:$B$181,CAJA!A14)</f>
        <v>150</v>
      </c>
      <c r="E14" s="144">
        <f>SUMIFS(INGRESOS!$F$187:$F$194,INGRESOS!$B$187:$B$194,CAJA!A14)</f>
        <v>0</v>
      </c>
      <c r="F14" s="145">
        <v>0</v>
      </c>
      <c r="G14" s="115">
        <f>SUMIFS(EGRESOS!$F$46:$F$59,EGRESOS!$B$46:$B$59,CAJA!A14)</f>
        <v>0</v>
      </c>
      <c r="H14" s="111">
        <f>SUMIFS(EGRESOS!$F$4:$F$38,EGRESOS!$B$4:$B$38,CAJA!A14)</f>
        <v>0</v>
      </c>
      <c r="I14" s="105">
        <f t="shared" si="0"/>
        <v>3211.5</v>
      </c>
    </row>
    <row r="15" spans="1:9" x14ac:dyDescent="0.25">
      <c r="A15" s="121">
        <v>46062</v>
      </c>
      <c r="B15" s="115">
        <f>SUMIFS(RECIBOS!$L$4:$L$1057,RECIBOS!$A$4:$A$1057,CAJA!A15)</f>
        <v>247</v>
      </c>
      <c r="C15" s="5">
        <f>SUMIFS(INGRESOS!$F$13:$F$37,INGRESOS!$B$13:$B$37,CAJA!A15)</f>
        <v>0</v>
      </c>
      <c r="D15" s="117">
        <f>SUMIFS(INGRESOS!$F$43:$F$181,INGRESOS!$B$43:$B$181,CAJA!A15)</f>
        <v>410</v>
      </c>
      <c r="E15" s="144">
        <f>SUMIFS(INGRESOS!$F$187:$F$194,INGRESOS!$B$187:$B$194,CAJA!A15)</f>
        <v>0</v>
      </c>
      <c r="F15" s="145">
        <v>0</v>
      </c>
      <c r="G15" s="115">
        <f>SUMIFS(EGRESOS!$F$46:$F$59,EGRESOS!$B$46:$B$59,CAJA!A15)</f>
        <v>0</v>
      </c>
      <c r="H15" s="111">
        <f>SUMIFS(EGRESOS!$F$4:$F$38,EGRESOS!$B$4:$B$38,CAJA!A15)</f>
        <v>0</v>
      </c>
      <c r="I15" s="105">
        <f t="shared" si="0"/>
        <v>3868.5</v>
      </c>
    </row>
    <row r="16" spans="1:9" x14ac:dyDescent="0.25">
      <c r="A16" s="121">
        <v>46063</v>
      </c>
      <c r="B16" s="115">
        <f>SUMIFS(RECIBOS!$L$4:$L$1057,RECIBOS!$A$4:$A$1057,CAJA!A16)</f>
        <v>220</v>
      </c>
      <c r="C16" s="5">
        <f>SUMIFS(INGRESOS!$F$13:$F$37,INGRESOS!$B$13:$B$37,CAJA!A16)</f>
        <v>0</v>
      </c>
      <c r="D16" s="117">
        <f>SUMIFS(INGRESOS!$F$43:$F$181,INGRESOS!$B$43:$B$181,CAJA!A16)</f>
        <v>130</v>
      </c>
      <c r="E16" s="144">
        <f>SUMIFS(INGRESOS!$F$187:$F$194,INGRESOS!$B$187:$B$194,CAJA!A16)</f>
        <v>0</v>
      </c>
      <c r="F16" s="145">
        <v>0</v>
      </c>
      <c r="G16" s="115">
        <f>SUMIFS(EGRESOS!$F$46:$F$59,EGRESOS!$B$46:$B$59,CAJA!A16)</f>
        <v>0</v>
      </c>
      <c r="H16" s="111">
        <f>SUMIFS(EGRESOS!$F$4:$F$38,EGRESOS!$B$4:$B$38,CAJA!A16)</f>
        <v>762</v>
      </c>
      <c r="I16" s="105">
        <f t="shared" si="0"/>
        <v>3456.5</v>
      </c>
    </row>
    <row r="17" spans="1:16" x14ac:dyDescent="0.25">
      <c r="A17" s="121">
        <v>46064</v>
      </c>
      <c r="B17" s="115">
        <f>SUMIFS(RECIBOS!$L$4:$L$1057,RECIBOS!$A$4:$A$1057,CAJA!A17)</f>
        <v>552.5</v>
      </c>
      <c r="C17" s="5">
        <f>SUMIFS(INGRESOS!$F$13:$F$37,INGRESOS!$B$13:$B$37,CAJA!A17)</f>
        <v>0</v>
      </c>
      <c r="D17" s="117">
        <f>SUMIFS(INGRESOS!$F$43:$F$181,INGRESOS!$B$43:$B$181,CAJA!A17)</f>
        <v>160</v>
      </c>
      <c r="E17" s="144">
        <f>SUMIFS(INGRESOS!$F$187:$F$194,INGRESOS!$B$187:$B$194,CAJA!A17)</f>
        <v>0</v>
      </c>
      <c r="F17" s="145">
        <v>0</v>
      </c>
      <c r="G17" s="115">
        <f>SUMIFS(EGRESOS!$F$46:$F$59,EGRESOS!$B$46:$B$59,CAJA!A17)</f>
        <v>0</v>
      </c>
      <c r="H17" s="111">
        <f>SUMIFS(EGRESOS!$F$4:$F$38,EGRESOS!$B$4:$B$38,CAJA!A17)</f>
        <v>0</v>
      </c>
      <c r="I17" s="105">
        <f t="shared" si="0"/>
        <v>4169</v>
      </c>
    </row>
    <row r="18" spans="1:16" x14ac:dyDescent="0.25">
      <c r="A18" s="121">
        <v>46065</v>
      </c>
      <c r="B18" s="115">
        <f>SUMIFS(RECIBOS!$L$4:$L$1057,RECIBOS!$A$4:$A$1057,CAJA!A18)</f>
        <v>558.5</v>
      </c>
      <c r="C18" s="5">
        <f>SUMIFS(INGRESOS!$F$13:$F$37,INGRESOS!$B$13:$B$37,CAJA!A18)</f>
        <v>0</v>
      </c>
      <c r="D18" s="117">
        <f>SUMIFS(INGRESOS!$F$43:$F$181,INGRESOS!$B$43:$B$181,CAJA!A18)</f>
        <v>60</v>
      </c>
      <c r="E18" s="144">
        <f>SUMIFS(INGRESOS!$F$187:$F$194,INGRESOS!$B$187:$B$194,CAJA!A18)</f>
        <v>450</v>
      </c>
      <c r="F18" s="145">
        <v>0</v>
      </c>
      <c r="G18" s="115">
        <f>SUMIFS(EGRESOS!$F$46:$F$59,EGRESOS!$B$46:$B$59,CAJA!A18)</f>
        <v>0</v>
      </c>
      <c r="H18" s="111">
        <f>SUMIFS(EGRESOS!$F$4:$F$38,EGRESOS!$B$4:$B$38,CAJA!A18)</f>
        <v>1550</v>
      </c>
      <c r="I18" s="105">
        <f t="shared" si="0"/>
        <v>3237.5</v>
      </c>
    </row>
    <row r="19" spans="1:16" x14ac:dyDescent="0.25">
      <c r="A19" s="121">
        <v>46066</v>
      </c>
      <c r="B19" s="115">
        <f>SUMIFS(RECIBOS!$L$4:$L$1057,RECIBOS!$A$4:$A$1057,CAJA!A19)</f>
        <v>468</v>
      </c>
      <c r="C19" s="5">
        <f>SUMIFS(INGRESOS!$F$13:$F$37,INGRESOS!$B$13:$B$37,CAJA!A19)</f>
        <v>0</v>
      </c>
      <c r="D19" s="117">
        <f>SUMIFS(INGRESOS!$F$43:$F$181,INGRESOS!$B$43:$B$181,CAJA!A19)</f>
        <v>200</v>
      </c>
      <c r="E19" s="144">
        <f>SUMIFS(INGRESOS!$F$187:$F$194,INGRESOS!$B$187:$B$194,CAJA!A19)</f>
        <v>0</v>
      </c>
      <c r="F19" s="145">
        <v>0</v>
      </c>
      <c r="G19" s="115">
        <f>SUMIFS(EGRESOS!$F$46:$F$59,EGRESOS!$B$46:$B$59,CAJA!A19)</f>
        <v>0</v>
      </c>
      <c r="H19" s="111">
        <f>SUMIFS(EGRESOS!$F$4:$F$38,EGRESOS!$B$4:$B$38,CAJA!A19)</f>
        <v>0</v>
      </c>
      <c r="I19" s="105">
        <f t="shared" si="0"/>
        <v>3905.5</v>
      </c>
    </row>
    <row r="20" spans="1:16" x14ac:dyDescent="0.25">
      <c r="A20" s="121">
        <v>46067</v>
      </c>
      <c r="B20" s="115">
        <f>SUMIFS(RECIBOS!$L$4:$L$1057,RECIBOS!$A$4:$A$1057,CAJA!A20)</f>
        <v>104.5</v>
      </c>
      <c r="C20" s="5">
        <f>SUMIFS(INGRESOS!$F$13:$F$37,INGRESOS!$B$13:$B$37,CAJA!A20)</f>
        <v>0</v>
      </c>
      <c r="D20" s="117">
        <f>SUMIFS(INGRESOS!$F$43:$F$181,INGRESOS!$B$43:$B$181,CAJA!A20)</f>
        <v>90</v>
      </c>
      <c r="E20" s="144">
        <f>SUMIFS(INGRESOS!$F$187:$F$194,INGRESOS!$B$187:$B$194,CAJA!A20)</f>
        <v>0</v>
      </c>
      <c r="F20" s="145">
        <v>0</v>
      </c>
      <c r="G20" s="115">
        <f>SUMIFS(EGRESOS!$F$46:$F$59,EGRESOS!$B$46:$B$59,CAJA!A20)</f>
        <v>0</v>
      </c>
      <c r="H20" s="111">
        <f>SUMIFS(EGRESOS!$F$4:$F$38,EGRESOS!$B$4:$B$38,CAJA!A20)</f>
        <v>0</v>
      </c>
      <c r="I20" s="105">
        <f t="shared" si="0"/>
        <v>4100</v>
      </c>
    </row>
    <row r="21" spans="1:16" x14ac:dyDescent="0.25">
      <c r="A21" s="121">
        <v>46068</v>
      </c>
      <c r="B21" s="115">
        <f>SUMIFS(RECIBOS!$L$4:$L$1057,RECIBOS!$A$4:$A$1057,CAJA!A21)</f>
        <v>0</v>
      </c>
      <c r="C21" s="5">
        <f>SUMIFS(INGRESOS!$F$13:$F$37,INGRESOS!$B$13:$B$37,CAJA!A21)</f>
        <v>0</v>
      </c>
      <c r="D21" s="117">
        <f>SUMIFS(INGRESOS!$F$43:$F$181,INGRESOS!$B$43:$B$181,CAJA!A21)</f>
        <v>120</v>
      </c>
      <c r="E21" s="144">
        <f>SUMIFS(INGRESOS!$F$187:$F$194,INGRESOS!$B$187:$B$194,CAJA!A21)</f>
        <v>0</v>
      </c>
      <c r="F21" s="145">
        <v>0</v>
      </c>
      <c r="G21" s="115">
        <f>SUMIFS(EGRESOS!$F$46:$F$59,EGRESOS!$B$46:$B$59,CAJA!A21)</f>
        <v>0</v>
      </c>
      <c r="H21" s="111">
        <f>SUMIFS(EGRESOS!$F$4:$F$38,EGRESOS!$B$4:$B$38,CAJA!A21)</f>
        <v>0</v>
      </c>
      <c r="I21" s="105">
        <f t="shared" si="0"/>
        <v>4220</v>
      </c>
    </row>
    <row r="22" spans="1:16" x14ac:dyDescent="0.25">
      <c r="A22" s="121">
        <v>46069</v>
      </c>
      <c r="B22" s="115">
        <f>SUMIFS(RECIBOS!$L$4:$L$1057,RECIBOS!$A$4:$A$1057,CAJA!A22)</f>
        <v>83.5</v>
      </c>
      <c r="C22" s="5">
        <f>SUMIFS(INGRESOS!$F$13:$F$37,INGRESOS!$B$13:$B$37,CAJA!A22)</f>
        <v>0</v>
      </c>
      <c r="D22" s="117">
        <f>SUMIFS(INGRESOS!$F$43:$F$181,INGRESOS!$B$43:$B$181,CAJA!A22)</f>
        <v>370</v>
      </c>
      <c r="E22" s="144">
        <f>SUMIFS(INGRESOS!$F$187:$F$194,INGRESOS!$B$187:$B$194,CAJA!A22)</f>
        <v>0</v>
      </c>
      <c r="F22" s="145">
        <v>26</v>
      </c>
      <c r="G22" s="115">
        <f>SUMIFS(EGRESOS!$F$46:$F$59,EGRESOS!$B$46:$B$59,CAJA!A22)</f>
        <v>0</v>
      </c>
      <c r="H22" s="111">
        <f>SUMIFS(EGRESOS!$F$4:$F$38,EGRESOS!$B$4:$B$38,CAJA!A22)</f>
        <v>100</v>
      </c>
      <c r="I22" s="105">
        <f t="shared" si="0"/>
        <v>4599.5</v>
      </c>
    </row>
    <row r="23" spans="1:16" x14ac:dyDescent="0.25">
      <c r="A23" s="121">
        <v>46070</v>
      </c>
      <c r="B23" s="115">
        <f>SUMIFS(RECIBOS!$L$4:$L$1057,RECIBOS!$A$4:$A$1057,CAJA!A23)</f>
        <v>349.5</v>
      </c>
      <c r="C23" s="5">
        <f>SUMIFS(INGRESOS!$F$13:$F$37,INGRESOS!$B$13:$B$37,CAJA!A23)</f>
        <v>0</v>
      </c>
      <c r="D23" s="117">
        <f>SUMIFS(INGRESOS!$F$43:$F$181,INGRESOS!$B$43:$B$181,CAJA!A23)</f>
        <v>710</v>
      </c>
      <c r="E23" s="144">
        <f>SUMIFS(INGRESOS!$F$187:$F$194,INGRESOS!$B$187:$B$194,CAJA!A23)</f>
        <v>150</v>
      </c>
      <c r="F23" s="145">
        <v>0</v>
      </c>
      <c r="G23" s="115">
        <f>SUMIFS(EGRESOS!$F$46:$F$59,EGRESOS!$B$46:$B$59,CAJA!A23)</f>
        <v>0</v>
      </c>
      <c r="H23" s="111">
        <f>SUMIFS(EGRESOS!$F$4:$F$38,EGRESOS!$B$4:$B$38,CAJA!A23)</f>
        <v>499</v>
      </c>
      <c r="I23" s="105">
        <f t="shared" si="0"/>
        <v>5160</v>
      </c>
    </row>
    <row r="24" spans="1:16" x14ac:dyDescent="0.25">
      <c r="A24" s="121">
        <v>46071</v>
      </c>
      <c r="B24" s="115">
        <f>SUMIFS(RECIBOS!$L$4:$L$1057,RECIBOS!$A$4:$A$1057,CAJA!A24)</f>
        <v>0</v>
      </c>
      <c r="C24" s="5">
        <f>SUMIFS(INGRESOS!$F$13:$F$37,INGRESOS!$B$13:$B$37,CAJA!A24)</f>
        <v>0</v>
      </c>
      <c r="D24" s="117">
        <f>SUMIFS(INGRESOS!$F$43:$F$181,INGRESOS!$B$43:$B$181,CAJA!A24)</f>
        <v>720</v>
      </c>
      <c r="E24" s="144">
        <f>SUMIFS(INGRESOS!$F$187:$F$194,INGRESOS!$B$187:$B$194,CAJA!A24)</f>
        <v>0</v>
      </c>
      <c r="F24" s="145">
        <v>0</v>
      </c>
      <c r="G24" s="115">
        <f>SUMIFS(EGRESOS!$F$46:$F$59,EGRESOS!$B$46:$B$59,CAJA!A24)</f>
        <v>0</v>
      </c>
      <c r="H24" s="111">
        <f>SUMIFS(EGRESOS!$F$4:$F$38,EGRESOS!$B$4:$B$38,CAJA!A24)</f>
        <v>30</v>
      </c>
      <c r="I24" s="105">
        <f t="shared" si="0"/>
        <v>5850</v>
      </c>
    </row>
    <row r="25" spans="1:16" x14ac:dyDescent="0.25">
      <c r="A25" s="121">
        <v>46072</v>
      </c>
      <c r="B25" s="115">
        <f>SUMIFS(RECIBOS!$L$4:$L$1057,RECIBOS!$A$4:$A$1057,CAJA!A25)</f>
        <v>69</v>
      </c>
      <c r="C25" s="5">
        <f>SUMIFS(INGRESOS!$F$13:$F$37,INGRESOS!$B$13:$B$37,CAJA!A25)</f>
        <v>0</v>
      </c>
      <c r="D25" s="117">
        <f>SUMIFS(INGRESOS!$F$43:$F$181,INGRESOS!$B$43:$B$181,CAJA!A25)</f>
        <v>600</v>
      </c>
      <c r="E25" s="144">
        <f>SUMIFS(INGRESOS!$F$187:$F$194,INGRESOS!$B$187:$B$194,CAJA!A25)</f>
        <v>0</v>
      </c>
      <c r="F25" s="145">
        <v>0</v>
      </c>
      <c r="G25" s="115">
        <f>SUMIFS(EGRESOS!$F$46:$F$59,EGRESOS!$B$46:$B$59,CAJA!A25)</f>
        <v>0</v>
      </c>
      <c r="H25" s="111">
        <f>SUMIFS(EGRESOS!$F$4:$F$38,EGRESOS!$B$4:$B$38,CAJA!A25)</f>
        <v>0</v>
      </c>
      <c r="I25" s="105">
        <f t="shared" si="0"/>
        <v>6519</v>
      </c>
    </row>
    <row r="26" spans="1:16" x14ac:dyDescent="0.25">
      <c r="A26" s="121">
        <v>46073</v>
      </c>
      <c r="B26" s="115">
        <f>SUMIFS(RECIBOS!$L$4:$L$1057,RECIBOS!$A$4:$A$1057,CAJA!A26)</f>
        <v>45.5</v>
      </c>
      <c r="C26" s="5">
        <f>SUMIFS(INGRESOS!$F$13:$F$37,INGRESOS!$B$13:$B$37,CAJA!A26)</f>
        <v>0</v>
      </c>
      <c r="D26" s="117">
        <f>SUMIFS(INGRESOS!$F$43:$F$181,INGRESOS!$B$43:$B$181,CAJA!A26)</f>
        <v>710</v>
      </c>
      <c r="E26" s="144">
        <f>SUMIFS(INGRESOS!$F$187:$F$194,INGRESOS!$B$187:$B$194,CAJA!A26)</f>
        <v>0</v>
      </c>
      <c r="F26" s="145">
        <v>419</v>
      </c>
      <c r="G26" s="115">
        <f>SUMIFS(EGRESOS!$F$46:$F$59,EGRESOS!$B$46:$B$59,CAJA!A26)</f>
        <v>0</v>
      </c>
      <c r="H26" s="111">
        <f>SUMIFS(EGRESOS!$F$4:$F$38,EGRESOS!$B$4:$B$38,CAJA!A26)</f>
        <v>591.5</v>
      </c>
      <c r="I26" s="105">
        <f t="shared" si="0"/>
        <v>7102</v>
      </c>
    </row>
    <row r="27" spans="1:16" x14ac:dyDescent="0.25">
      <c r="A27" s="121">
        <v>46074</v>
      </c>
      <c r="B27" s="115">
        <f>SUMIFS(RECIBOS!$L$4:$L$1057,RECIBOS!$A$4:$A$1057,CAJA!A27)</f>
        <v>11.5</v>
      </c>
      <c r="C27" s="5">
        <f>SUMIFS(INGRESOS!$F$13:$F$37,INGRESOS!$B$13:$B$37,CAJA!A27)</f>
        <v>0</v>
      </c>
      <c r="D27" s="117">
        <f>SUMIFS(INGRESOS!$F$43:$F$181,INGRESOS!$B$43:$B$181,CAJA!A27)</f>
        <v>320</v>
      </c>
      <c r="E27" s="144">
        <f>SUMIFS(INGRESOS!$F$187:$F$194,INGRESOS!$B$187:$B$194,CAJA!A27)</f>
        <v>0</v>
      </c>
      <c r="F27" s="145">
        <v>0</v>
      </c>
      <c r="G27" s="115">
        <f>SUMIFS(EGRESOS!$F$46:$F$59,EGRESOS!$B$46:$B$59,CAJA!A27)</f>
        <v>0</v>
      </c>
      <c r="H27" s="111">
        <f>SUMIFS(EGRESOS!$F$4:$F$38,EGRESOS!$B$4:$B$38,CAJA!A27)</f>
        <v>839</v>
      </c>
      <c r="I27" s="105">
        <f t="shared" si="0"/>
        <v>6594.5</v>
      </c>
    </row>
    <row r="28" spans="1:16" x14ac:dyDescent="0.25">
      <c r="A28" s="121">
        <v>46075</v>
      </c>
      <c r="B28" s="115">
        <f>SUMIFS(RECIBOS!$L$4:$L$1057,RECIBOS!$A$4:$A$1057,CAJA!A28)</f>
        <v>0</v>
      </c>
      <c r="C28" s="5">
        <f>SUMIFS(INGRESOS!$F$13:$F$37,INGRESOS!$B$13:$B$37,CAJA!A28)</f>
        <v>0</v>
      </c>
      <c r="D28" s="117">
        <f>SUMIFS(INGRESOS!$F$43:$F$181,INGRESOS!$B$43:$B$181,CAJA!A28)</f>
        <v>340</v>
      </c>
      <c r="E28" s="144">
        <f>SUMIFS(INGRESOS!$F$187:$F$194,INGRESOS!$B$187:$B$194,CAJA!A28)</f>
        <v>0</v>
      </c>
      <c r="F28" s="145">
        <v>0</v>
      </c>
      <c r="G28" s="115">
        <f>SUMIFS(EGRESOS!$F$46:$F$59,EGRESOS!$B$46:$B$59,CAJA!A28)</f>
        <v>0</v>
      </c>
      <c r="H28" s="111">
        <f>SUMIFS(EGRESOS!$F$4:$F$38,EGRESOS!$B$4:$B$38,CAJA!A28)</f>
        <v>0</v>
      </c>
      <c r="I28" s="105">
        <f t="shared" si="0"/>
        <v>6934.5</v>
      </c>
    </row>
    <row r="29" spans="1:16" x14ac:dyDescent="0.25">
      <c r="A29" s="121">
        <v>46076</v>
      </c>
      <c r="B29" s="115">
        <f>SUMIFS(RECIBOS!$L$4:$L$1057,RECIBOS!$A$4:$A$1057,CAJA!A29)</f>
        <v>287</v>
      </c>
      <c r="C29" s="5">
        <f>SUMIFS(INGRESOS!$F$13:$F$37,INGRESOS!$B$13:$B$37,CAJA!A29)</f>
        <v>0</v>
      </c>
      <c r="D29" s="117">
        <f>SUMIFS(INGRESOS!$F$43:$F$181,INGRESOS!$B$43:$B$181,CAJA!A29)</f>
        <v>150</v>
      </c>
      <c r="E29" s="144">
        <f>SUMIFS(INGRESOS!$F$187:$F$194,INGRESOS!$B$187:$B$194,CAJA!A29)</f>
        <v>0</v>
      </c>
      <c r="F29" s="145">
        <v>0</v>
      </c>
      <c r="G29" s="115">
        <f>SUMIFS(EGRESOS!$F$46:$F$59,EGRESOS!$B$46:$B$59,CAJA!A29)</f>
        <v>0</v>
      </c>
      <c r="H29" s="111">
        <f>SUMIFS(EGRESOS!$F$4:$F$38,EGRESOS!$B$4:$B$38,CAJA!A29)</f>
        <v>0</v>
      </c>
      <c r="I29" s="105">
        <f t="shared" si="0"/>
        <v>7371.5</v>
      </c>
    </row>
    <row r="30" spans="1:16" x14ac:dyDescent="0.25">
      <c r="A30" s="121">
        <v>46077</v>
      </c>
      <c r="B30" s="115">
        <f>SUMIFS(RECIBOS!$L$4:$L$1057,RECIBOS!$A$4:$A$1057,CAJA!A30)</f>
        <v>233.5</v>
      </c>
      <c r="C30" s="5">
        <f>SUMIFS(INGRESOS!$F$13:$F$37,INGRESOS!$B$13:$B$37,CAJA!A30)</f>
        <v>0</v>
      </c>
      <c r="D30" s="117">
        <f>SUMIFS(INGRESOS!$F$43:$F$181,INGRESOS!$B$43:$B$181,CAJA!A30)</f>
        <v>170</v>
      </c>
      <c r="E30" s="144">
        <f>SUMIFS(INGRESOS!$F$187:$F$194,INGRESOS!$B$187:$B$194,CAJA!A30)</f>
        <v>0</v>
      </c>
      <c r="F30" s="145">
        <v>0</v>
      </c>
      <c r="G30" s="115">
        <f>SUMIFS(EGRESOS!$F$46:$F$59,EGRESOS!$B$46:$B$59,CAJA!A30)</f>
        <v>0</v>
      </c>
      <c r="H30" s="111">
        <f>SUMIFS(EGRESOS!$F$4:$F$38,EGRESOS!$B$4:$B$38,CAJA!A30)</f>
        <v>0</v>
      </c>
      <c r="I30" s="105">
        <f t="shared" si="0"/>
        <v>7775</v>
      </c>
    </row>
    <row r="31" spans="1:16" x14ac:dyDescent="0.25">
      <c r="A31" s="121">
        <v>46078</v>
      </c>
      <c r="B31" s="115">
        <f>SUMIFS(RECIBOS!$L$4:$L$1057,RECIBOS!$A$4:$A$1057,CAJA!A31)</f>
        <v>111.5</v>
      </c>
      <c r="C31" s="5">
        <f>SUMIFS(INGRESOS!$F$13:$F$37,INGRESOS!$B$13:$B$37,CAJA!A31)</f>
        <v>0</v>
      </c>
      <c r="D31" s="117">
        <f>SUMIFS(INGRESOS!$F$43:$F$181,INGRESOS!$B$43:$B$181,CAJA!A31)</f>
        <v>40</v>
      </c>
      <c r="E31" s="144">
        <f>SUMIFS(INGRESOS!$F$187:$F$194,INGRESOS!$B$187:$B$194,CAJA!A31)</f>
        <v>0</v>
      </c>
      <c r="F31" s="145">
        <v>0</v>
      </c>
      <c r="G31" s="115">
        <f>SUMIFS(EGRESOS!$F$46:$F$59,EGRESOS!$B$46:$B$59,CAJA!A31)</f>
        <v>0</v>
      </c>
      <c r="H31" s="111">
        <f>SUMIFS(EGRESOS!$F$4:$F$38,EGRESOS!$B$4:$B$38,CAJA!A31)</f>
        <v>618</v>
      </c>
      <c r="I31" s="105">
        <f t="shared" si="0"/>
        <v>7308.5</v>
      </c>
    </row>
    <row r="32" spans="1:16" x14ac:dyDescent="0.25">
      <c r="A32" s="121">
        <v>46079</v>
      </c>
      <c r="B32" s="115">
        <f>SUMIFS(RECIBOS!$L$4:$L$1057,RECIBOS!$A$4:$A$1057,CAJA!A32)</f>
        <v>182</v>
      </c>
      <c r="C32" s="5">
        <f>SUMIFS(INGRESOS!$F$13:$F$37,INGRESOS!$B$13:$B$37,CAJA!A32)</f>
        <v>0</v>
      </c>
      <c r="D32" s="117">
        <f>SUMIFS(INGRESOS!$F$43:$F$181,INGRESOS!$B$43:$B$181,CAJA!A32)</f>
        <v>70</v>
      </c>
      <c r="E32" s="144">
        <f>SUMIFS(INGRESOS!$F$187:$F$194,INGRESOS!$B$187:$B$194,CAJA!A32)</f>
        <v>0</v>
      </c>
      <c r="F32" s="145">
        <v>51.3</v>
      </c>
      <c r="G32" s="115">
        <f>SUMIFS(EGRESOS!$F$46:$F$59,EGRESOS!$B$46:$B$59,CAJA!A32)</f>
        <v>0</v>
      </c>
      <c r="H32" s="111">
        <f>SUMIFS(EGRESOS!$F$4:$F$38,EGRESOS!$B$4:$B$38,CAJA!A32)</f>
        <v>0</v>
      </c>
      <c r="I32" s="105">
        <f t="shared" si="0"/>
        <v>7611.8</v>
      </c>
      <c r="J32" t="s">
        <v>2443</v>
      </c>
      <c r="P32" t="s">
        <v>2442</v>
      </c>
    </row>
    <row r="33" spans="1:27" x14ac:dyDescent="0.25">
      <c r="A33" s="121">
        <v>46080</v>
      </c>
      <c r="B33" s="115">
        <f>SUMIFS(RECIBOS!$L$4:$L$1057,RECIBOS!$A$4:$A$1057,CAJA!A33)</f>
        <v>0</v>
      </c>
      <c r="C33" s="5">
        <f>SUMIFS(INGRESOS!$F$13:$F$37,INGRESOS!$B$13:$B$37,CAJA!A33)</f>
        <v>0</v>
      </c>
      <c r="D33" s="117">
        <f>SUMIFS(INGRESOS!$F$43:$F$181,INGRESOS!$B$43:$B$181,CAJA!A33)</f>
        <v>80</v>
      </c>
      <c r="E33" s="144">
        <f>SUMIFS(INGRESOS!$F$187:$F$194,INGRESOS!$B$187:$B$194,CAJA!A33)</f>
        <v>0</v>
      </c>
      <c r="F33" s="145">
        <v>0</v>
      </c>
      <c r="G33" s="115">
        <f>SUMIFS(EGRESOS!$F$46:$F$59,EGRESOS!$B$46:$B$59,CAJA!A33)</f>
        <v>0</v>
      </c>
      <c r="H33" s="111">
        <f>SUMIFS(EGRESOS!$F$4:$F$38,EGRESOS!$B$4:$B$38,CAJA!A33)</f>
        <v>0</v>
      </c>
      <c r="I33" s="105">
        <f t="shared" si="0"/>
        <v>7691.8</v>
      </c>
    </row>
    <row r="34" spans="1:27" x14ac:dyDescent="0.25">
      <c r="A34" s="121">
        <v>46081</v>
      </c>
      <c r="B34" s="115">
        <f>SUMIFS(RECIBOS!$L$4:$L$1057,RECIBOS!$A$4:$A$1057,CAJA!A34)</f>
        <v>512.5</v>
      </c>
      <c r="C34" s="5">
        <f>SUMIFS(INGRESOS!$F$13:$F$37,INGRESOS!$B$13:$B$37,CAJA!A34)</f>
        <v>0</v>
      </c>
      <c r="D34" s="117">
        <f>SUMIFS(INGRESOS!$F$43:$F$181,INGRESOS!$B$43:$B$181,CAJA!A34)</f>
        <v>60</v>
      </c>
      <c r="E34" s="144">
        <f>SUMIFS(INGRESOS!$F$187:$F$194,INGRESOS!$B$187:$B$194,CAJA!A34)</f>
        <v>0</v>
      </c>
      <c r="F34" s="145">
        <v>0</v>
      </c>
      <c r="G34" s="115">
        <f>SUMIFS(EGRESOS!$F$46:$F$59,EGRESOS!$B$46:$B$59,CAJA!A34)</f>
        <v>0</v>
      </c>
      <c r="H34" s="111">
        <f>SUMIFS(EGRESOS!$F$4:$F$38,EGRESOS!$B$4:$B$38,CAJA!A34)</f>
        <v>1800</v>
      </c>
      <c r="I34" s="105">
        <f t="shared" si="0"/>
        <v>6464.2999999999993</v>
      </c>
      <c r="L34" s="96"/>
    </row>
    <row r="35" spans="1:27" x14ac:dyDescent="0.25">
      <c r="A35" s="121" t="s">
        <v>51</v>
      </c>
      <c r="B35" s="115">
        <f>SUMIFS(RECIBOS!$L$4:$L$1057,RECIBOS!$A$4:$A$1057,CAJA!A35)</f>
        <v>0</v>
      </c>
      <c r="C35" s="5">
        <f>SUMIFS(INGRESOS!$F$13:$F$37,INGRESOS!$B$13:$B$37,CAJA!A35)</f>
        <v>0</v>
      </c>
      <c r="D35" s="117">
        <f>SUMIFS(INGRESOS!$F$43:$F$181,INGRESOS!$B$43:$B$181,CAJA!A35)</f>
        <v>0</v>
      </c>
      <c r="E35" s="144">
        <f>SUMIFS(INGRESOS!$F$187:$F$194,INGRESOS!$B$187:$B$194,CAJA!A35)</f>
        <v>0</v>
      </c>
      <c r="F35" s="145">
        <v>0</v>
      </c>
      <c r="G35" s="115">
        <f>SUMIFS(EGRESOS!$F$46:$F$59,EGRESOS!$B$46:$B$59,CAJA!A35)</f>
        <v>0</v>
      </c>
      <c r="H35" s="111">
        <f>SUMIFS(EGRESOS!$F$4:$F$38,EGRESOS!$B$4:$B$38,CAJA!A35)</f>
        <v>0</v>
      </c>
      <c r="I35" s="105">
        <f t="shared" si="0"/>
        <v>6464.2999999999993</v>
      </c>
      <c r="M35" t="s">
        <v>51</v>
      </c>
    </row>
    <row r="36" spans="1:27" x14ac:dyDescent="0.25">
      <c r="A36" s="121" t="s">
        <v>51</v>
      </c>
      <c r="B36" s="115">
        <f>SUMIFS(RECIBOS!$L$4:$L$1057,RECIBOS!$A$4:$A$1057,CAJA!A36)</f>
        <v>0</v>
      </c>
      <c r="C36" s="5">
        <f>SUMIFS(INGRESOS!$F$13:$F$37,INGRESOS!$B$13:$B$37,CAJA!A36)</f>
        <v>0</v>
      </c>
      <c r="D36" s="117">
        <f>SUMIFS(INGRESOS!$F$43:$F$181,INGRESOS!$B$43:$B$181,CAJA!A36)</f>
        <v>0</v>
      </c>
      <c r="E36" s="144">
        <f>SUMIFS(INGRESOS!$F$187:$F$194,INGRESOS!$B$187:$B$194,CAJA!A36)</f>
        <v>0</v>
      </c>
      <c r="F36" s="145">
        <v>0</v>
      </c>
      <c r="G36" s="115">
        <f>SUMIFS(EGRESOS!$F$46:$F$59,EGRESOS!$B$46:$B$59,CAJA!A36)</f>
        <v>0</v>
      </c>
      <c r="H36" s="111">
        <f>SUMIFS(EGRESOS!$F$4:$F$38,EGRESOS!$B$4:$B$38,CAJA!A36)</f>
        <v>0</v>
      </c>
      <c r="I36" s="105">
        <f t="shared" si="0"/>
        <v>6464.2999999999993</v>
      </c>
    </row>
    <row r="37" spans="1:27" ht="15.75" thickBot="1" x14ac:dyDescent="0.3">
      <c r="A37" s="121" t="s">
        <v>51</v>
      </c>
      <c r="B37" s="115">
        <f>SUMIFS(RECIBOS!$L$4:$L$1057,RECIBOS!$A$4:$A$1057,CAJA!A37)</f>
        <v>0</v>
      </c>
      <c r="C37" s="118">
        <f>SUMIFS(INGRESOS!$F$13:$F$37,INGRESOS!$B$13:$B$37,CAJA!A37)</f>
        <v>0</v>
      </c>
      <c r="D37" s="119">
        <f>SUMIFS(INGRESOS!$F$43:$F$181,INGRESOS!$B$43:$B$181,CAJA!A37)</f>
        <v>0</v>
      </c>
      <c r="E37" s="144">
        <f>SUMIFS(INGRESOS!$F$187:$F$194,INGRESOS!$B$187:$B$194,CAJA!A37)</f>
        <v>0</v>
      </c>
      <c r="F37" s="146">
        <v>0</v>
      </c>
      <c r="G37" s="115">
        <f>SUMIFS(EGRESOS!$F$46:$F$59,EGRESOS!$B$46:$B$59,CAJA!A37)</f>
        <v>0</v>
      </c>
      <c r="H37" s="112">
        <f>SUMIFS(EGRESOS!$F$4:$F$38,EGRESOS!$B$4:$B$38,CAJA!A37)</f>
        <v>0</v>
      </c>
      <c r="I37" s="105">
        <f t="shared" si="0"/>
        <v>6464.2999999999993</v>
      </c>
    </row>
    <row r="38" spans="1:27" ht="21.75" customHeight="1" thickBot="1" x14ac:dyDescent="0.3">
      <c r="A38" s="126" t="s">
        <v>19</v>
      </c>
      <c r="B38" s="98">
        <f>SUM(B7:B37)</f>
        <v>5276.5</v>
      </c>
      <c r="C38" s="98">
        <f>SUM(C7:C37)</f>
        <v>0</v>
      </c>
      <c r="D38" s="98">
        <f t="shared" ref="D38:H38" si="1">SUM(D7:D37)</f>
        <v>7860</v>
      </c>
      <c r="E38" s="98">
        <f t="shared" si="1"/>
        <v>700</v>
      </c>
      <c r="F38" s="103">
        <f t="shared" si="1"/>
        <v>496.3</v>
      </c>
      <c r="G38" s="205">
        <f t="shared" si="1"/>
        <v>0</v>
      </c>
      <c r="H38" s="122">
        <f t="shared" si="1"/>
        <v>7168.5</v>
      </c>
      <c r="I38" s="147">
        <f>I37</f>
        <v>6464.2999999999993</v>
      </c>
      <c r="X38" t="s">
        <v>2442</v>
      </c>
    </row>
    <row r="39" spans="1:27" ht="15.75" x14ac:dyDescent="0.25">
      <c r="B39" s="33"/>
      <c r="C39" s="33"/>
      <c r="D39" s="33"/>
      <c r="E39" s="33"/>
      <c r="F39" s="33"/>
      <c r="G39" s="33"/>
      <c r="H39" s="33"/>
      <c r="I39" s="33"/>
      <c r="L39" s="96"/>
      <c r="M39" s="96"/>
      <c r="N39" s="96"/>
    </row>
    <row r="40" spans="1:27" x14ac:dyDescent="0.25">
      <c r="A40" s="34" t="s">
        <v>29</v>
      </c>
      <c r="C40" s="102">
        <v>5</v>
      </c>
      <c r="K40" s="198" t="s">
        <v>2368</v>
      </c>
      <c r="L40" s="197" t="s">
        <v>2060</v>
      </c>
      <c r="M40" s="214">
        <v>1</v>
      </c>
      <c r="N40" s="180">
        <v>2</v>
      </c>
      <c r="O40" s="180">
        <v>2</v>
      </c>
      <c r="P40" s="229" t="s">
        <v>51</v>
      </c>
      <c r="Q40" s="180" t="s">
        <v>51</v>
      </c>
      <c r="R40" s="229" t="s">
        <v>51</v>
      </c>
      <c r="S40" s="180" t="s">
        <v>51</v>
      </c>
      <c r="T40" s="180" t="s">
        <v>51</v>
      </c>
      <c r="U40" s="180" t="s">
        <v>51</v>
      </c>
      <c r="V40" s="180"/>
      <c r="W40" s="180"/>
      <c r="X40" s="180"/>
      <c r="Y40" s="180"/>
      <c r="Z40" s="180"/>
      <c r="AA40" s="180"/>
    </row>
    <row r="41" spans="1:27" ht="16.5" thickBot="1" x14ac:dyDescent="0.3">
      <c r="A41" s="34"/>
      <c r="B41" s="33"/>
      <c r="I41" s="7"/>
      <c r="L41" s="180"/>
      <c r="M41" s="180"/>
      <c r="N41" s="180"/>
      <c r="V41" s="180"/>
      <c r="W41" s="180"/>
      <c r="X41" s="180"/>
      <c r="Y41" s="180"/>
    </row>
    <row r="42" spans="1:27" ht="16.5" thickBot="1" x14ac:dyDescent="0.3">
      <c r="A42" s="34"/>
      <c r="B42" s="99"/>
      <c r="C42" s="100">
        <f>B38+C38+D38+E38+F38+C40</f>
        <v>14337.8</v>
      </c>
      <c r="D42" s="148"/>
      <c r="E42" s="148"/>
      <c r="F42" s="101"/>
      <c r="G42" s="206">
        <f>G38</f>
        <v>0</v>
      </c>
      <c r="H42" s="104">
        <f>H38</f>
        <v>7168.5</v>
      </c>
      <c r="I42" s="97">
        <f>C42-H42-G42</f>
        <v>7169.2999999999993</v>
      </c>
      <c r="L42" s="180" t="s">
        <v>2358</v>
      </c>
      <c r="M42" s="180"/>
      <c r="N42" s="180"/>
      <c r="S42" t="s">
        <v>51</v>
      </c>
      <c r="V42" s="180"/>
      <c r="W42" s="180"/>
      <c r="X42" s="180"/>
      <c r="Y42" s="180"/>
    </row>
    <row r="43" spans="1:27" x14ac:dyDescent="0.25">
      <c r="C43" s="95" t="s">
        <v>67</v>
      </c>
      <c r="D43" s="95"/>
      <c r="E43" s="95"/>
      <c r="F43" s="95"/>
      <c r="G43" s="95"/>
      <c r="H43" s="95" t="s">
        <v>27</v>
      </c>
      <c r="I43" s="95" t="s">
        <v>74</v>
      </c>
      <c r="L43" s="180"/>
      <c r="M43" s="180"/>
      <c r="N43" s="180"/>
      <c r="S43" t="s">
        <v>51</v>
      </c>
    </row>
    <row r="44" spans="1:27" x14ac:dyDescent="0.25">
      <c r="L44" s="180"/>
      <c r="M44" s="180"/>
      <c r="N44" s="180"/>
      <c r="P44" s="180"/>
      <c r="Q44" s="180"/>
      <c r="R44" s="96"/>
      <c r="S44" s="96"/>
    </row>
    <row r="45" spans="1:27" x14ac:dyDescent="0.25">
      <c r="I45" s="7"/>
      <c r="K45" t="s">
        <v>51</v>
      </c>
      <c r="L45" s="180" t="s">
        <v>51</v>
      </c>
      <c r="M45" s="180"/>
      <c r="N45" s="180"/>
      <c r="P45" s="180"/>
      <c r="Q45" s="180"/>
      <c r="R45" s="96"/>
      <c r="S45" s="96"/>
    </row>
    <row r="46" spans="1:27" x14ac:dyDescent="0.25">
      <c r="A46" t="s">
        <v>57</v>
      </c>
      <c r="I46" s="7">
        <v>58.2</v>
      </c>
      <c r="L46" s="180"/>
      <c r="M46" s="180"/>
      <c r="N46" s="180"/>
      <c r="P46" s="180"/>
      <c r="Q46" s="180"/>
      <c r="R46" s="96" t="s">
        <v>2443</v>
      </c>
      <c r="S46" s="96"/>
    </row>
    <row r="47" spans="1:27" ht="15.75" thickBot="1" x14ac:dyDescent="0.3">
      <c r="I47" s="7"/>
      <c r="L47" s="180" t="s">
        <v>51</v>
      </c>
      <c r="M47" s="180"/>
      <c r="N47" s="180"/>
      <c r="P47" s="180"/>
      <c r="Q47" s="180"/>
      <c r="R47" s="96"/>
      <c r="S47" s="96"/>
    </row>
    <row r="48" spans="1:27" ht="16.5" thickBot="1" x14ac:dyDescent="0.3">
      <c r="H48" s="35" t="s">
        <v>15</v>
      </c>
      <c r="I48" s="36">
        <f>I42+I46</f>
        <v>7227.4999999999991</v>
      </c>
      <c r="L48" s="181" t="s">
        <v>51</v>
      </c>
      <c r="M48" s="181"/>
      <c r="N48" s="181"/>
      <c r="O48" s="181"/>
      <c r="P48" s="181"/>
      <c r="Q48" s="181"/>
      <c r="R48" t="s">
        <v>51</v>
      </c>
    </row>
    <row r="49" spans="1:17" x14ac:dyDescent="0.25">
      <c r="L49" s="181"/>
      <c r="M49" s="181"/>
      <c r="N49" s="181"/>
      <c r="O49" s="181"/>
      <c r="P49" s="181"/>
      <c r="Q49" s="181"/>
    </row>
    <row r="50" spans="1:17" x14ac:dyDescent="0.25">
      <c r="A50" t="s">
        <v>51</v>
      </c>
      <c r="L50" s="181"/>
      <c r="M50" s="181"/>
      <c r="N50" s="181"/>
      <c r="O50" s="181"/>
      <c r="P50" s="181"/>
      <c r="Q50" s="181"/>
    </row>
    <row r="51" spans="1:17" x14ac:dyDescent="0.25">
      <c r="L51" s="181"/>
      <c r="M51" s="181"/>
      <c r="N51" s="181"/>
      <c r="O51" s="181"/>
      <c r="P51" s="181"/>
      <c r="Q51" s="181"/>
    </row>
    <row r="52" spans="1:17" x14ac:dyDescent="0.25">
      <c r="H52" s="181"/>
      <c r="L52" t="s">
        <v>2443</v>
      </c>
    </row>
    <row r="53" spans="1:17" x14ac:dyDescent="0.25">
      <c r="I53" t="s">
        <v>2385</v>
      </c>
    </row>
    <row r="54" spans="1:17" x14ac:dyDescent="0.25">
      <c r="N54" t="s">
        <v>51</v>
      </c>
    </row>
    <row r="55" spans="1:17" x14ac:dyDescent="0.25">
      <c r="H55" s="181"/>
    </row>
    <row r="56" spans="1:17" x14ac:dyDescent="0.25">
      <c r="H56" s="181"/>
      <c r="J56" t="s">
        <v>2061</v>
      </c>
    </row>
    <row r="57" spans="1:17" x14ac:dyDescent="0.25">
      <c r="H57" s="181"/>
    </row>
    <row r="58" spans="1:17" x14ac:dyDescent="0.25">
      <c r="H58" s="181"/>
    </row>
    <row r="59" spans="1:17" x14ac:dyDescent="0.25">
      <c r="H59" s="181"/>
    </row>
    <row r="61" spans="1:17" x14ac:dyDescent="0.25">
      <c r="H61" s="181"/>
    </row>
  </sheetData>
  <autoFilter ref="A6:I38" xr:uid="{B9B3A875-523B-4E45-BAF9-F8DAC202E4BB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848F-C170-4BF5-8B76-4FC0302108C4}">
  <sheetPr>
    <tabColor rgb="FFFFFF00"/>
  </sheetPr>
  <dimension ref="A1:U1058"/>
  <sheetViews>
    <sheetView tabSelected="1" zoomScale="98" zoomScaleNormal="98" workbookViewId="0">
      <pane ySplit="3" topLeftCell="A187" activePane="bottomLeft" state="frozen"/>
      <selection pane="bottomLeft" activeCell="B1" sqref="B1:B1048576"/>
    </sheetView>
  </sheetViews>
  <sheetFormatPr baseColWidth="10" defaultRowHeight="15" x14ac:dyDescent="0.25"/>
  <cols>
    <col min="2" max="2" width="8" customWidth="1"/>
    <col min="3" max="3" width="11.140625" customWidth="1"/>
    <col min="4" max="4" width="11.28515625" bestFit="1" customWidth="1"/>
    <col min="5" max="5" width="40.140625" bestFit="1" customWidth="1"/>
    <col min="6" max="6" width="30" customWidth="1"/>
    <col min="7" max="8" width="8.42578125" hidden="1" customWidth="1"/>
    <col min="9" max="9" width="2.140625" hidden="1" customWidth="1"/>
    <col min="10" max="10" width="17.7109375" customWidth="1"/>
    <col min="11" max="11" width="9.140625" customWidth="1"/>
    <col min="12" max="12" width="13" customWidth="1"/>
    <col min="13" max="13" width="11.85546875" bestFit="1" customWidth="1"/>
    <col min="15" max="15" width="11.85546875" customWidth="1"/>
    <col min="16" max="16" width="9.42578125" customWidth="1"/>
    <col min="18" max="18" width="15.5703125" customWidth="1"/>
    <col min="19" max="19" width="42.28515625" customWidth="1"/>
    <col min="20" max="20" width="31.85546875" customWidth="1"/>
    <col min="21" max="21" width="13.5703125" customWidth="1"/>
  </cols>
  <sheetData>
    <row r="1" spans="1:21" x14ac:dyDescent="0.25">
      <c r="E1" s="38"/>
      <c r="P1" t="s">
        <v>51</v>
      </c>
      <c r="R1" t="s">
        <v>2443</v>
      </c>
    </row>
    <row r="2" spans="1:21" x14ac:dyDescent="0.25">
      <c r="B2" t="s">
        <v>51</v>
      </c>
    </row>
    <row r="3" spans="1:21" ht="30" x14ac:dyDescent="0.25">
      <c r="A3" s="211" t="s">
        <v>71</v>
      </c>
      <c r="B3" s="212" t="s">
        <v>2443</v>
      </c>
      <c r="C3" s="211" t="s">
        <v>2</v>
      </c>
      <c r="D3" s="213" t="s">
        <v>3</v>
      </c>
      <c r="E3" s="213" t="s">
        <v>4</v>
      </c>
      <c r="F3" s="213" t="s">
        <v>5</v>
      </c>
      <c r="G3" s="213" t="s">
        <v>6</v>
      </c>
      <c r="H3" s="213"/>
      <c r="I3" s="213" t="s">
        <v>7</v>
      </c>
      <c r="J3" s="213" t="s">
        <v>8</v>
      </c>
      <c r="K3" s="213" t="s">
        <v>9</v>
      </c>
      <c r="L3" s="213" t="s">
        <v>10</v>
      </c>
      <c r="M3" s="213" t="s">
        <v>11</v>
      </c>
      <c r="N3" s="6"/>
    </row>
    <row r="4" spans="1:21" x14ac:dyDescent="0.25">
      <c r="A4" s="220">
        <v>46055</v>
      </c>
      <c r="B4" s="3" t="s">
        <v>2412</v>
      </c>
      <c r="C4" s="3" t="s">
        <v>2413</v>
      </c>
      <c r="D4" s="3" t="s">
        <v>0</v>
      </c>
      <c r="E4" s="3" t="s">
        <v>2419</v>
      </c>
      <c r="F4" s="3" t="s">
        <v>1113</v>
      </c>
      <c r="G4" s="3"/>
      <c r="H4" s="3"/>
      <c r="I4" s="3"/>
      <c r="J4" s="3" t="s">
        <v>2630</v>
      </c>
      <c r="K4" s="3">
        <v>4</v>
      </c>
      <c r="L4" s="5">
        <v>83</v>
      </c>
      <c r="N4" s="6"/>
    </row>
    <row r="5" spans="1:21" x14ac:dyDescent="0.25">
      <c r="A5" s="220">
        <v>46055</v>
      </c>
      <c r="B5" s="3" t="s">
        <v>2248</v>
      </c>
      <c r="C5" s="3" t="s">
        <v>2249</v>
      </c>
      <c r="D5" s="3" t="s">
        <v>0</v>
      </c>
      <c r="E5" s="3" t="s">
        <v>2250</v>
      </c>
      <c r="F5" s="3" t="s">
        <v>34</v>
      </c>
      <c r="G5" s="3"/>
      <c r="H5" s="3"/>
      <c r="I5" s="3"/>
      <c r="J5" s="3" t="s">
        <v>2630</v>
      </c>
      <c r="K5" s="3">
        <v>4</v>
      </c>
      <c r="L5" s="5">
        <v>20</v>
      </c>
      <c r="N5" s="6"/>
      <c r="O5" s="3"/>
      <c r="P5" s="247" t="s">
        <v>1442</v>
      </c>
      <c r="Q5" s="247" t="s">
        <v>1441</v>
      </c>
      <c r="R5" s="3" t="s">
        <v>16</v>
      </c>
      <c r="S5" s="247" t="s">
        <v>1440</v>
      </c>
      <c r="T5" s="247" t="s">
        <v>56</v>
      </c>
      <c r="U5" s="3"/>
    </row>
    <row r="6" spans="1:21" x14ac:dyDescent="0.25">
      <c r="A6" s="220">
        <v>46055</v>
      </c>
      <c r="B6" s="3" t="s">
        <v>2251</v>
      </c>
      <c r="C6" s="3" t="s">
        <v>2252</v>
      </c>
      <c r="D6" s="3" t="s">
        <v>0</v>
      </c>
      <c r="E6" s="3" t="s">
        <v>2250</v>
      </c>
      <c r="F6" s="3" t="s">
        <v>896</v>
      </c>
      <c r="G6" s="3"/>
      <c r="H6" s="3"/>
      <c r="I6" s="3"/>
      <c r="J6" s="3" t="s">
        <v>2630</v>
      </c>
      <c r="K6" s="3">
        <v>4</v>
      </c>
      <c r="L6" s="5">
        <v>43</v>
      </c>
      <c r="N6" s="6"/>
      <c r="O6" s="3"/>
      <c r="P6" s="247" t="s">
        <v>169</v>
      </c>
      <c r="Q6" s="247" t="s">
        <v>170</v>
      </c>
      <c r="R6" s="3" t="s">
        <v>16</v>
      </c>
      <c r="S6" s="247" t="s">
        <v>171</v>
      </c>
      <c r="T6" s="247" t="s">
        <v>56</v>
      </c>
      <c r="U6" s="3"/>
    </row>
    <row r="7" spans="1:21" x14ac:dyDescent="0.25">
      <c r="A7" s="220">
        <v>46055</v>
      </c>
      <c r="B7" s="3" t="s">
        <v>694</v>
      </c>
      <c r="C7" s="3" t="s">
        <v>695</v>
      </c>
      <c r="D7" s="3" t="s">
        <v>12</v>
      </c>
      <c r="E7" s="3" t="s">
        <v>696</v>
      </c>
      <c r="F7" s="3" t="s">
        <v>44</v>
      </c>
      <c r="G7" s="3"/>
      <c r="H7" s="3"/>
      <c r="I7" s="3"/>
      <c r="J7" s="3" t="s">
        <v>2630</v>
      </c>
      <c r="K7" s="3">
        <v>4</v>
      </c>
      <c r="L7" s="5">
        <v>55</v>
      </c>
      <c r="M7" s="7"/>
      <c r="N7" s="6"/>
      <c r="O7" s="3"/>
      <c r="P7" s="247" t="s">
        <v>1439</v>
      </c>
      <c r="Q7" s="247" t="s">
        <v>1438</v>
      </c>
      <c r="R7" s="3" t="s">
        <v>16</v>
      </c>
      <c r="S7" s="247" t="s">
        <v>1437</v>
      </c>
      <c r="T7" s="247" t="s">
        <v>56</v>
      </c>
      <c r="U7" s="3"/>
    </row>
    <row r="8" spans="1:21" x14ac:dyDescent="0.25">
      <c r="A8" s="220">
        <v>46055</v>
      </c>
      <c r="B8" s="3" t="s">
        <v>1925</v>
      </c>
      <c r="C8" s="3" t="s">
        <v>1926</v>
      </c>
      <c r="D8" s="3" t="s">
        <v>0</v>
      </c>
      <c r="E8" s="3" t="s">
        <v>1927</v>
      </c>
      <c r="F8" s="3" t="s">
        <v>911</v>
      </c>
      <c r="G8" s="3"/>
      <c r="H8" s="3"/>
      <c r="I8" s="3"/>
      <c r="J8" s="3" t="s">
        <v>2630</v>
      </c>
      <c r="K8" s="3">
        <v>4</v>
      </c>
      <c r="L8" s="5">
        <v>109.5</v>
      </c>
      <c r="N8" s="6"/>
      <c r="O8" s="3"/>
      <c r="P8" s="247" t="s">
        <v>1436</v>
      </c>
      <c r="Q8" s="247" t="s">
        <v>1435</v>
      </c>
      <c r="R8" s="3" t="s">
        <v>16</v>
      </c>
      <c r="S8" s="247" t="s">
        <v>1434</v>
      </c>
      <c r="T8" s="247" t="s">
        <v>56</v>
      </c>
      <c r="U8" s="3"/>
    </row>
    <row r="9" spans="1:21" x14ac:dyDescent="0.25">
      <c r="A9" s="220">
        <v>46055</v>
      </c>
      <c r="B9" s="3" t="s">
        <v>979</v>
      </c>
      <c r="C9" s="3" t="s">
        <v>980</v>
      </c>
      <c r="D9" s="3" t="s">
        <v>0</v>
      </c>
      <c r="E9" s="3" t="s">
        <v>981</v>
      </c>
      <c r="F9" s="3" t="s">
        <v>86</v>
      </c>
      <c r="G9" s="3"/>
      <c r="H9" s="3"/>
      <c r="I9" s="3"/>
      <c r="J9" s="3" t="s">
        <v>2631</v>
      </c>
      <c r="K9" s="3">
        <v>3</v>
      </c>
      <c r="L9" s="5">
        <v>58</v>
      </c>
      <c r="N9" s="6"/>
      <c r="O9" s="3"/>
      <c r="P9" s="247" t="s">
        <v>1433</v>
      </c>
      <c r="Q9" s="247" t="s">
        <v>1432</v>
      </c>
      <c r="R9" s="3" t="s">
        <v>16</v>
      </c>
      <c r="S9" s="247" t="s">
        <v>1431</v>
      </c>
      <c r="T9" s="247" t="s">
        <v>56</v>
      </c>
      <c r="U9" s="3"/>
    </row>
    <row r="10" spans="1:21" x14ac:dyDescent="0.25">
      <c r="A10" s="220">
        <v>46055</v>
      </c>
      <c r="B10" s="3" t="s">
        <v>2189</v>
      </c>
      <c r="C10" s="3" t="s">
        <v>2190</v>
      </c>
      <c r="D10" s="3" t="s">
        <v>12</v>
      </c>
      <c r="E10" s="3" t="s">
        <v>2191</v>
      </c>
      <c r="F10" s="3" t="s">
        <v>201</v>
      </c>
      <c r="G10" s="3"/>
      <c r="H10" s="3"/>
      <c r="I10" s="3"/>
      <c r="J10" s="3" t="s">
        <v>2631</v>
      </c>
      <c r="K10" s="3">
        <v>3</v>
      </c>
      <c r="L10" s="5">
        <v>15</v>
      </c>
      <c r="N10" s="6"/>
      <c r="O10" s="3"/>
      <c r="P10" s="247" t="s">
        <v>172</v>
      </c>
      <c r="Q10" s="247" t="s">
        <v>173</v>
      </c>
      <c r="R10" s="3" t="s">
        <v>17</v>
      </c>
      <c r="S10" s="247" t="s">
        <v>174</v>
      </c>
      <c r="T10" s="247" t="s">
        <v>175</v>
      </c>
      <c r="U10" s="3"/>
    </row>
    <row r="11" spans="1:21" x14ac:dyDescent="0.25">
      <c r="A11" s="220">
        <v>46055</v>
      </c>
      <c r="B11" s="3" t="s">
        <v>2045</v>
      </c>
      <c r="C11" s="3" t="s">
        <v>2046</v>
      </c>
      <c r="D11" s="3" t="s">
        <v>0</v>
      </c>
      <c r="E11" s="3" t="s">
        <v>2047</v>
      </c>
      <c r="F11" s="3" t="s">
        <v>1868</v>
      </c>
      <c r="G11" s="3"/>
      <c r="H11" s="3"/>
      <c r="I11" s="3"/>
      <c r="J11" s="3" t="s">
        <v>2631</v>
      </c>
      <c r="K11" s="3">
        <v>3</v>
      </c>
      <c r="L11" s="5">
        <v>19</v>
      </c>
      <c r="N11" s="6"/>
      <c r="O11" s="3"/>
      <c r="P11" s="247" t="s">
        <v>176</v>
      </c>
      <c r="Q11" s="247" t="s">
        <v>177</v>
      </c>
      <c r="R11" s="3" t="s">
        <v>17</v>
      </c>
      <c r="S11" s="247" t="s">
        <v>178</v>
      </c>
      <c r="T11" s="247" t="s">
        <v>179</v>
      </c>
      <c r="U11" s="3"/>
    </row>
    <row r="12" spans="1:21" x14ac:dyDescent="0.25">
      <c r="A12" s="220">
        <v>46055</v>
      </c>
      <c r="B12" s="3" t="s">
        <v>1645</v>
      </c>
      <c r="C12" s="3" t="s">
        <v>1646</v>
      </c>
      <c r="D12" s="3" t="s">
        <v>12</v>
      </c>
      <c r="E12" s="3" t="s">
        <v>1647</v>
      </c>
      <c r="F12" s="3" t="s">
        <v>1528</v>
      </c>
      <c r="G12" s="3"/>
      <c r="H12" s="3"/>
      <c r="I12" s="3"/>
      <c r="J12" s="3" t="s">
        <v>2631</v>
      </c>
      <c r="K12" s="3">
        <v>3</v>
      </c>
      <c r="L12" s="5">
        <v>15</v>
      </c>
      <c r="N12" s="6"/>
      <c r="O12" s="3"/>
      <c r="P12" s="247" t="s">
        <v>2064</v>
      </c>
      <c r="Q12" s="247" t="s">
        <v>2065</v>
      </c>
      <c r="R12" s="3" t="s">
        <v>17</v>
      </c>
      <c r="S12" s="247" t="s">
        <v>2066</v>
      </c>
      <c r="T12" s="247" t="s">
        <v>179</v>
      </c>
      <c r="U12" s="3"/>
    </row>
    <row r="13" spans="1:21" x14ac:dyDescent="0.25">
      <c r="A13" s="220">
        <v>46055</v>
      </c>
      <c r="B13" s="3" t="s">
        <v>1175</v>
      </c>
      <c r="C13" s="3" t="s">
        <v>1176</v>
      </c>
      <c r="D13" s="3" t="s">
        <v>0</v>
      </c>
      <c r="E13" s="3" t="s">
        <v>1177</v>
      </c>
      <c r="F13" s="3" t="s">
        <v>86</v>
      </c>
      <c r="G13" s="3"/>
      <c r="H13" s="3"/>
      <c r="I13" s="3"/>
      <c r="J13" s="3" t="s">
        <v>2631</v>
      </c>
      <c r="K13" s="3">
        <v>3</v>
      </c>
      <c r="L13" s="5">
        <v>49</v>
      </c>
      <c r="N13" s="6"/>
      <c r="O13" s="3"/>
      <c r="P13" s="247" t="s">
        <v>1443</v>
      </c>
      <c r="Q13" s="247" t="s">
        <v>1444</v>
      </c>
      <c r="R13" s="3" t="s">
        <v>17</v>
      </c>
      <c r="S13" s="247" t="s">
        <v>1445</v>
      </c>
      <c r="T13" s="247" t="s">
        <v>179</v>
      </c>
      <c r="U13" s="3"/>
    </row>
    <row r="14" spans="1:21" x14ac:dyDescent="0.25">
      <c r="A14" s="220">
        <v>46055</v>
      </c>
      <c r="B14" s="3" t="s">
        <v>1774</v>
      </c>
      <c r="C14" s="3" t="s">
        <v>1775</v>
      </c>
      <c r="D14" s="3" t="s">
        <v>12</v>
      </c>
      <c r="E14" s="3" t="s">
        <v>1776</v>
      </c>
      <c r="F14" s="3" t="s">
        <v>1758</v>
      </c>
      <c r="G14" s="3"/>
      <c r="H14" s="3"/>
      <c r="I14" s="3"/>
      <c r="J14" s="3" t="s">
        <v>1338</v>
      </c>
      <c r="K14" s="3">
        <v>2</v>
      </c>
      <c r="L14" s="5">
        <v>60.5</v>
      </c>
      <c r="N14" s="6"/>
      <c r="O14" s="3"/>
      <c r="P14" s="247" t="s">
        <v>180</v>
      </c>
      <c r="Q14" s="247" t="s">
        <v>181</v>
      </c>
      <c r="R14" s="3" t="s">
        <v>17</v>
      </c>
      <c r="S14" s="247" t="s">
        <v>182</v>
      </c>
      <c r="T14" s="247" t="s">
        <v>179</v>
      </c>
      <c r="U14" s="3"/>
    </row>
    <row r="15" spans="1:21" x14ac:dyDescent="0.25">
      <c r="A15" s="220">
        <v>46055</v>
      </c>
      <c r="B15" s="3" t="s">
        <v>1613</v>
      </c>
      <c r="C15" s="3" t="s">
        <v>1614</v>
      </c>
      <c r="D15" s="3" t="s">
        <v>12</v>
      </c>
      <c r="E15" s="3" t="s">
        <v>1615</v>
      </c>
      <c r="F15" s="3" t="s">
        <v>44</v>
      </c>
      <c r="G15" s="3"/>
      <c r="H15" s="3"/>
      <c r="I15" s="3"/>
      <c r="J15" s="3" t="s">
        <v>1343</v>
      </c>
      <c r="K15" s="3">
        <v>2</v>
      </c>
      <c r="L15" s="5">
        <v>43</v>
      </c>
      <c r="N15" s="6"/>
      <c r="O15" s="3"/>
      <c r="P15" s="247" t="s">
        <v>1446</v>
      </c>
      <c r="Q15" s="247" t="s">
        <v>1447</v>
      </c>
      <c r="R15" s="3" t="s">
        <v>17</v>
      </c>
      <c r="S15" s="247" t="s">
        <v>1448</v>
      </c>
      <c r="T15" s="247" t="s">
        <v>179</v>
      </c>
      <c r="U15" s="3"/>
    </row>
    <row r="16" spans="1:21" x14ac:dyDescent="0.25">
      <c r="A16" s="220">
        <v>46055</v>
      </c>
      <c r="B16" s="3" t="s">
        <v>1135</v>
      </c>
      <c r="C16" s="3" t="s">
        <v>1136</v>
      </c>
      <c r="D16" s="3" t="s">
        <v>0</v>
      </c>
      <c r="E16" s="3" t="s">
        <v>1137</v>
      </c>
      <c r="F16" s="3" t="s">
        <v>904</v>
      </c>
      <c r="G16" s="3"/>
      <c r="H16" s="3"/>
      <c r="I16" s="3"/>
      <c r="J16" s="3" t="s">
        <v>1343</v>
      </c>
      <c r="K16" s="3">
        <v>2</v>
      </c>
      <c r="L16" s="5">
        <v>10</v>
      </c>
      <c r="N16" s="6"/>
      <c r="O16" s="3"/>
      <c r="P16" s="3" t="s">
        <v>2499</v>
      </c>
      <c r="Q16" s="3" t="s">
        <v>2500</v>
      </c>
      <c r="R16" s="3" t="s">
        <v>13</v>
      </c>
      <c r="S16" s="3" t="s">
        <v>2503</v>
      </c>
      <c r="T16" s="3" t="s">
        <v>2504</v>
      </c>
      <c r="U16" s="3"/>
    </row>
    <row r="17" spans="1:21" s="80" customFormat="1" x14ac:dyDescent="0.25">
      <c r="A17" s="220">
        <v>46055</v>
      </c>
      <c r="B17" s="3" t="s">
        <v>725</v>
      </c>
      <c r="C17" s="3" t="s">
        <v>726</v>
      </c>
      <c r="D17" s="3" t="s">
        <v>12</v>
      </c>
      <c r="E17" s="3" t="s">
        <v>2173</v>
      </c>
      <c r="F17" s="3" t="s">
        <v>49</v>
      </c>
      <c r="G17" s="3"/>
      <c r="H17" s="3"/>
      <c r="I17" s="3"/>
      <c r="J17" s="3" t="s">
        <v>1340</v>
      </c>
      <c r="K17" s="3">
        <v>1</v>
      </c>
      <c r="L17" s="5">
        <v>10.5</v>
      </c>
      <c r="M17" s="317"/>
      <c r="N17" s="257"/>
      <c r="O17" s="3"/>
      <c r="P17" s="3" t="s">
        <v>183</v>
      </c>
      <c r="Q17" s="3" t="s">
        <v>184</v>
      </c>
      <c r="R17" s="3" t="s">
        <v>13</v>
      </c>
      <c r="S17" s="3" t="s">
        <v>185</v>
      </c>
      <c r="T17" s="3" t="s">
        <v>43</v>
      </c>
      <c r="U17" s="3"/>
    </row>
    <row r="18" spans="1:21" x14ac:dyDescent="0.25">
      <c r="A18" s="220">
        <v>46055</v>
      </c>
      <c r="B18" s="3" t="s">
        <v>655</v>
      </c>
      <c r="C18" s="3" t="s">
        <v>656</v>
      </c>
      <c r="D18" s="3" t="s">
        <v>12</v>
      </c>
      <c r="E18" s="3" t="s">
        <v>657</v>
      </c>
      <c r="F18" s="3" t="s">
        <v>327</v>
      </c>
      <c r="G18" s="3"/>
      <c r="H18" s="3"/>
      <c r="I18" s="3"/>
      <c r="J18" s="3" t="s">
        <v>1340</v>
      </c>
      <c r="K18" s="3">
        <v>1</v>
      </c>
      <c r="L18" s="5">
        <v>5</v>
      </c>
      <c r="N18" s="6"/>
      <c r="O18" s="3"/>
      <c r="P18" s="3" t="s">
        <v>186</v>
      </c>
      <c r="Q18" s="3" t="s">
        <v>187</v>
      </c>
      <c r="R18" s="3" t="s">
        <v>13</v>
      </c>
      <c r="S18" s="3" t="s">
        <v>188</v>
      </c>
      <c r="T18" s="3" t="s">
        <v>43</v>
      </c>
      <c r="U18" s="3"/>
    </row>
    <row r="19" spans="1:21" x14ac:dyDescent="0.25">
      <c r="A19" s="220">
        <v>46055</v>
      </c>
      <c r="B19" s="3" t="s">
        <v>256</v>
      </c>
      <c r="C19" s="3" t="s">
        <v>257</v>
      </c>
      <c r="D19" s="3" t="s">
        <v>13</v>
      </c>
      <c r="E19" s="3" t="s">
        <v>258</v>
      </c>
      <c r="F19" s="3" t="s">
        <v>43</v>
      </c>
      <c r="G19" s="3"/>
      <c r="H19" s="3"/>
      <c r="I19" s="3"/>
      <c r="J19" s="3" t="s">
        <v>1340</v>
      </c>
      <c r="K19" s="3">
        <v>1</v>
      </c>
      <c r="L19" s="5">
        <v>7.5</v>
      </c>
      <c r="N19" s="6"/>
      <c r="O19" s="3"/>
      <c r="P19" s="3" t="s">
        <v>2399</v>
      </c>
      <c r="Q19" s="3" t="s">
        <v>2400</v>
      </c>
      <c r="R19" s="3" t="s">
        <v>13</v>
      </c>
      <c r="S19" s="3" t="s">
        <v>188</v>
      </c>
      <c r="T19" s="3" t="s">
        <v>43</v>
      </c>
      <c r="U19" s="3"/>
    </row>
    <row r="20" spans="1:21" x14ac:dyDescent="0.25">
      <c r="A20" s="220">
        <v>46055</v>
      </c>
      <c r="B20" s="3" t="s">
        <v>671</v>
      </c>
      <c r="C20" s="3" t="s">
        <v>672</v>
      </c>
      <c r="D20" s="3" t="s">
        <v>12</v>
      </c>
      <c r="E20" s="3" t="s">
        <v>673</v>
      </c>
      <c r="F20" s="3" t="s">
        <v>47</v>
      </c>
      <c r="G20" s="3"/>
      <c r="H20" s="3"/>
      <c r="I20" s="3"/>
      <c r="J20" s="3" t="s">
        <v>1340</v>
      </c>
      <c r="K20" s="3">
        <v>1</v>
      </c>
      <c r="L20" s="5">
        <v>5</v>
      </c>
      <c r="N20" s="6"/>
      <c r="O20" s="3"/>
      <c r="P20" s="3" t="s">
        <v>2067</v>
      </c>
      <c r="Q20" s="3" t="s">
        <v>2068</v>
      </c>
      <c r="R20" s="3" t="s">
        <v>13</v>
      </c>
      <c r="S20" s="3" t="s">
        <v>2069</v>
      </c>
      <c r="T20" s="3" t="s">
        <v>43</v>
      </c>
      <c r="U20" s="3"/>
    </row>
    <row r="21" spans="1:21" x14ac:dyDescent="0.25">
      <c r="A21" s="220">
        <v>46055</v>
      </c>
      <c r="B21" s="3" t="s">
        <v>450</v>
      </c>
      <c r="C21" s="3" t="s">
        <v>451</v>
      </c>
      <c r="D21" s="3" t="s">
        <v>12</v>
      </c>
      <c r="E21" s="3" t="s">
        <v>452</v>
      </c>
      <c r="F21" s="3" t="s">
        <v>49</v>
      </c>
      <c r="G21" s="3"/>
      <c r="H21" s="3"/>
      <c r="I21" s="3"/>
      <c r="J21" s="3" t="s">
        <v>1340</v>
      </c>
      <c r="K21" s="3">
        <v>1</v>
      </c>
      <c r="L21" s="5">
        <v>5</v>
      </c>
      <c r="N21" s="6"/>
      <c r="O21" s="3"/>
      <c r="P21" s="3" t="s">
        <v>2501</v>
      </c>
      <c r="Q21" s="3" t="s">
        <v>2502</v>
      </c>
      <c r="R21" s="3" t="s">
        <v>13</v>
      </c>
      <c r="S21" s="3" t="s">
        <v>2505</v>
      </c>
      <c r="T21" s="3" t="s">
        <v>43</v>
      </c>
      <c r="U21" s="3"/>
    </row>
    <row r="22" spans="1:21" x14ac:dyDescent="0.25">
      <c r="A22" s="220">
        <v>46055</v>
      </c>
      <c r="B22" s="3" t="s">
        <v>2303</v>
      </c>
      <c r="C22" s="3" t="s">
        <v>2304</v>
      </c>
      <c r="D22" s="3" t="s">
        <v>0</v>
      </c>
      <c r="E22" s="3" t="s">
        <v>2305</v>
      </c>
      <c r="F22" s="3" t="s">
        <v>39</v>
      </c>
      <c r="G22" s="3"/>
      <c r="H22" s="3"/>
      <c r="I22" s="3"/>
      <c r="J22" s="3" t="s">
        <v>1340</v>
      </c>
      <c r="K22" s="3">
        <v>1</v>
      </c>
      <c r="L22" s="5">
        <v>12.5</v>
      </c>
      <c r="N22" s="6"/>
      <c r="O22" s="3"/>
      <c r="P22" s="3" t="s">
        <v>189</v>
      </c>
      <c r="Q22" s="3" t="s">
        <v>190</v>
      </c>
      <c r="R22" s="3" t="s">
        <v>13</v>
      </c>
      <c r="S22" s="3" t="s">
        <v>191</v>
      </c>
      <c r="T22" s="3" t="s">
        <v>43</v>
      </c>
      <c r="U22" s="3"/>
    </row>
    <row r="23" spans="1:21" x14ac:dyDescent="0.25">
      <c r="A23" s="220">
        <v>46055</v>
      </c>
      <c r="B23" s="3" t="s">
        <v>897</v>
      </c>
      <c r="C23" s="3" t="s">
        <v>898</v>
      </c>
      <c r="D23" s="3" t="s">
        <v>0</v>
      </c>
      <c r="E23" s="3" t="s">
        <v>899</v>
      </c>
      <c r="F23" s="3" t="s">
        <v>900</v>
      </c>
      <c r="G23" s="3"/>
      <c r="H23" s="3"/>
      <c r="I23" s="3"/>
      <c r="J23" s="3" t="s">
        <v>1340</v>
      </c>
      <c r="K23" s="3">
        <v>1</v>
      </c>
      <c r="L23" s="5">
        <v>28.5</v>
      </c>
      <c r="N23" s="6"/>
      <c r="O23" s="3"/>
      <c r="P23" s="3" t="s">
        <v>192</v>
      </c>
      <c r="Q23" s="3" t="s">
        <v>193</v>
      </c>
      <c r="R23" s="3" t="s">
        <v>13</v>
      </c>
      <c r="S23" s="3" t="s">
        <v>194</v>
      </c>
      <c r="T23" s="3" t="s">
        <v>43</v>
      </c>
      <c r="U23" s="3"/>
    </row>
    <row r="24" spans="1:21" x14ac:dyDescent="0.25">
      <c r="A24" s="220">
        <v>46055</v>
      </c>
      <c r="B24" s="3" t="s">
        <v>438</v>
      </c>
      <c r="C24" s="3" t="s">
        <v>439</v>
      </c>
      <c r="D24" s="3" t="s">
        <v>12</v>
      </c>
      <c r="E24" s="3" t="s">
        <v>440</v>
      </c>
      <c r="F24" s="3" t="s">
        <v>48</v>
      </c>
      <c r="G24" s="3"/>
      <c r="H24" s="3"/>
      <c r="I24" s="3"/>
      <c r="J24" s="3" t="s">
        <v>1340</v>
      </c>
      <c r="K24" s="3">
        <v>1</v>
      </c>
      <c r="L24" s="5">
        <v>5</v>
      </c>
      <c r="M24" s="7"/>
      <c r="N24" s="6"/>
      <c r="O24" s="3"/>
      <c r="P24" s="3" t="s">
        <v>195</v>
      </c>
      <c r="Q24" s="3" t="s">
        <v>196</v>
      </c>
      <c r="R24" s="3" t="s">
        <v>13</v>
      </c>
      <c r="S24" s="3" t="s">
        <v>197</v>
      </c>
      <c r="T24" s="3" t="s">
        <v>43</v>
      </c>
      <c r="U24" s="3"/>
    </row>
    <row r="25" spans="1:21" x14ac:dyDescent="0.25">
      <c r="A25" s="220">
        <v>46055</v>
      </c>
      <c r="B25" s="3" t="s">
        <v>700</v>
      </c>
      <c r="C25" s="3" t="s">
        <v>701</v>
      </c>
      <c r="D25" s="3" t="s">
        <v>12</v>
      </c>
      <c r="E25" s="3" t="s">
        <v>702</v>
      </c>
      <c r="F25" s="3" t="s">
        <v>44</v>
      </c>
      <c r="G25" s="3"/>
      <c r="H25" s="3"/>
      <c r="I25" s="3"/>
      <c r="J25" s="3" t="s">
        <v>1340</v>
      </c>
      <c r="K25" s="3">
        <v>1</v>
      </c>
      <c r="L25" s="5">
        <v>10.5</v>
      </c>
      <c r="N25" s="6"/>
      <c r="O25" s="3"/>
      <c r="P25" s="3" t="s">
        <v>202</v>
      </c>
      <c r="Q25" s="3" t="s">
        <v>203</v>
      </c>
      <c r="R25" s="3" t="s">
        <v>13</v>
      </c>
      <c r="S25" s="3" t="s">
        <v>204</v>
      </c>
      <c r="T25" s="3" t="s">
        <v>43</v>
      </c>
      <c r="U25" s="3"/>
    </row>
    <row r="26" spans="1:21" x14ac:dyDescent="0.25">
      <c r="A26" s="220">
        <v>46055</v>
      </c>
      <c r="B26" s="3" t="s">
        <v>598</v>
      </c>
      <c r="C26" s="3" t="s">
        <v>599</v>
      </c>
      <c r="D26" s="3" t="s">
        <v>12</v>
      </c>
      <c r="E26" s="3" t="s">
        <v>600</v>
      </c>
      <c r="F26" s="3" t="s">
        <v>601</v>
      </c>
      <c r="G26" s="3"/>
      <c r="H26" s="3"/>
      <c r="I26" s="3"/>
      <c r="J26" s="3" t="s">
        <v>1340</v>
      </c>
      <c r="K26" s="3">
        <v>1</v>
      </c>
      <c r="L26" s="5">
        <v>14.5</v>
      </c>
      <c r="N26" s="6"/>
      <c r="O26" s="3"/>
      <c r="P26" s="3" t="s">
        <v>205</v>
      </c>
      <c r="Q26" s="3" t="s">
        <v>206</v>
      </c>
      <c r="R26" s="3" t="s">
        <v>13</v>
      </c>
      <c r="S26" s="3" t="s">
        <v>207</v>
      </c>
      <c r="T26" s="3" t="s">
        <v>43</v>
      </c>
      <c r="U26" s="3"/>
    </row>
    <row r="27" spans="1:21" x14ac:dyDescent="0.25">
      <c r="A27" s="220">
        <v>46055</v>
      </c>
      <c r="B27" s="3" t="s">
        <v>524</v>
      </c>
      <c r="C27" s="3" t="s">
        <v>525</v>
      </c>
      <c r="D27" s="3" t="s">
        <v>12</v>
      </c>
      <c r="E27" s="3" t="s">
        <v>526</v>
      </c>
      <c r="F27" s="3" t="s">
        <v>45</v>
      </c>
      <c r="G27" s="199"/>
      <c r="H27" s="199"/>
      <c r="I27" s="199"/>
      <c r="J27" s="3" t="s">
        <v>1340</v>
      </c>
      <c r="K27" s="3">
        <v>1</v>
      </c>
      <c r="L27" s="106">
        <v>11.5</v>
      </c>
      <c r="N27" s="6"/>
      <c r="O27" s="3"/>
      <c r="P27" s="3" t="s">
        <v>208</v>
      </c>
      <c r="Q27" s="3" t="s">
        <v>209</v>
      </c>
      <c r="R27" s="3" t="s">
        <v>13</v>
      </c>
      <c r="S27" s="3" t="s">
        <v>210</v>
      </c>
      <c r="T27" s="3" t="s">
        <v>43</v>
      </c>
      <c r="U27" s="3"/>
    </row>
    <row r="28" spans="1:21" ht="15.75" thickBot="1" x14ac:dyDescent="0.3">
      <c r="A28" s="226">
        <v>46055</v>
      </c>
      <c r="B28" s="227" t="s">
        <v>530</v>
      </c>
      <c r="C28" s="227" t="s">
        <v>531</v>
      </c>
      <c r="D28" s="227" t="s">
        <v>12</v>
      </c>
      <c r="E28" s="227" t="s">
        <v>532</v>
      </c>
      <c r="F28" s="227" t="s">
        <v>129</v>
      </c>
      <c r="G28" s="227"/>
      <c r="H28" s="227"/>
      <c r="I28" s="227"/>
      <c r="J28" s="227" t="s">
        <v>1340</v>
      </c>
      <c r="K28" s="227">
        <v>1</v>
      </c>
      <c r="L28" s="118">
        <v>11.5</v>
      </c>
      <c r="M28" s="258">
        <f>SUM(L4:L28)</f>
        <v>707</v>
      </c>
      <c r="N28" s="6"/>
      <c r="O28" s="3"/>
      <c r="P28" s="3" t="s">
        <v>1360</v>
      </c>
      <c r="Q28" s="3" t="s">
        <v>1361</v>
      </c>
      <c r="R28" s="3" t="s">
        <v>13</v>
      </c>
      <c r="S28" s="3" t="s">
        <v>2629</v>
      </c>
      <c r="T28" s="3" t="s">
        <v>43</v>
      </c>
      <c r="U28" s="3"/>
    </row>
    <row r="29" spans="1:21" x14ac:dyDescent="0.25">
      <c r="A29" s="251">
        <v>46056</v>
      </c>
      <c r="B29" s="3" t="s">
        <v>1577</v>
      </c>
      <c r="C29" s="3" t="s">
        <v>1578</v>
      </c>
      <c r="D29" s="3" t="s">
        <v>12</v>
      </c>
      <c r="E29" s="3" t="s">
        <v>1579</v>
      </c>
      <c r="F29" s="3" t="s">
        <v>46</v>
      </c>
      <c r="G29" s="199"/>
      <c r="H29" s="199"/>
      <c r="I29" s="199"/>
      <c r="J29" s="199" t="s">
        <v>2630</v>
      </c>
      <c r="K29" s="199">
        <v>4</v>
      </c>
      <c r="L29" s="106">
        <v>20</v>
      </c>
      <c r="N29" s="6"/>
      <c r="O29" s="3"/>
      <c r="P29" s="3" t="s">
        <v>1364</v>
      </c>
      <c r="Q29" s="3" t="s">
        <v>1365</v>
      </c>
      <c r="R29" s="3" t="s">
        <v>13</v>
      </c>
      <c r="S29" s="3" t="s">
        <v>1366</v>
      </c>
      <c r="T29" s="3" t="s">
        <v>43</v>
      </c>
      <c r="U29" s="3"/>
    </row>
    <row r="30" spans="1:21" x14ac:dyDescent="0.25">
      <c r="A30" s="251">
        <v>46056</v>
      </c>
      <c r="B30" s="3" t="s">
        <v>753</v>
      </c>
      <c r="C30" s="3" t="s">
        <v>754</v>
      </c>
      <c r="D30" s="3" t="s">
        <v>12</v>
      </c>
      <c r="E30" s="3" t="s">
        <v>755</v>
      </c>
      <c r="F30" s="3" t="s">
        <v>12</v>
      </c>
      <c r="G30" s="3"/>
      <c r="H30" s="3"/>
      <c r="I30" s="3"/>
      <c r="J30" s="3" t="s">
        <v>1340</v>
      </c>
      <c r="K30" s="3">
        <v>1</v>
      </c>
      <c r="L30" s="5">
        <v>7.5</v>
      </c>
      <c r="N30" s="6"/>
      <c r="O30" s="3"/>
      <c r="P30" s="3" t="s">
        <v>211</v>
      </c>
      <c r="Q30" s="3" t="s">
        <v>212</v>
      </c>
      <c r="R30" s="3" t="s">
        <v>13</v>
      </c>
      <c r="S30" s="3" t="s">
        <v>213</v>
      </c>
      <c r="T30" s="3" t="s">
        <v>214</v>
      </c>
      <c r="U30" s="3"/>
    </row>
    <row r="31" spans="1:21" x14ac:dyDescent="0.25">
      <c r="A31" s="251">
        <v>46056</v>
      </c>
      <c r="B31" s="3" t="s">
        <v>1258</v>
      </c>
      <c r="C31" s="3" t="s">
        <v>1259</v>
      </c>
      <c r="D31" s="3" t="s">
        <v>0</v>
      </c>
      <c r="E31" s="3" t="s">
        <v>1260</v>
      </c>
      <c r="F31" s="3" t="s">
        <v>86</v>
      </c>
      <c r="G31" s="3"/>
      <c r="H31" s="3"/>
      <c r="I31" s="3"/>
      <c r="J31" s="3" t="s">
        <v>1340</v>
      </c>
      <c r="K31" s="3">
        <v>1</v>
      </c>
      <c r="L31" s="5">
        <v>10.5</v>
      </c>
      <c r="N31" s="6"/>
      <c r="O31" s="3"/>
      <c r="P31" s="3" t="s">
        <v>1449</v>
      </c>
      <c r="Q31" s="3" t="s">
        <v>1450</v>
      </c>
      <c r="R31" s="3" t="s">
        <v>13</v>
      </c>
      <c r="S31" s="3" t="s">
        <v>1451</v>
      </c>
      <c r="T31" s="3" t="s">
        <v>43</v>
      </c>
      <c r="U31" s="3"/>
    </row>
    <row r="32" spans="1:21" x14ac:dyDescent="0.25">
      <c r="A32" s="251">
        <v>46056</v>
      </c>
      <c r="B32" s="247" t="s">
        <v>169</v>
      </c>
      <c r="C32" s="247" t="s">
        <v>170</v>
      </c>
      <c r="D32" s="3" t="s">
        <v>16</v>
      </c>
      <c r="E32" s="247" t="s">
        <v>171</v>
      </c>
      <c r="F32" s="247" t="s">
        <v>56</v>
      </c>
      <c r="G32" s="3"/>
      <c r="H32" s="3"/>
      <c r="I32" s="3"/>
      <c r="J32" s="3" t="s">
        <v>1340</v>
      </c>
      <c r="K32" s="3">
        <v>1</v>
      </c>
      <c r="L32" s="5">
        <v>6.5</v>
      </c>
      <c r="M32" s="7"/>
      <c r="N32" s="6"/>
      <c r="O32" s="3"/>
      <c r="P32" s="3" t="s">
        <v>154</v>
      </c>
      <c r="Q32" s="3" t="s">
        <v>155</v>
      </c>
      <c r="R32" s="3" t="s">
        <v>13</v>
      </c>
      <c r="S32" s="3" t="s">
        <v>156</v>
      </c>
      <c r="T32" s="3" t="s">
        <v>43</v>
      </c>
      <c r="U32" s="3"/>
    </row>
    <row r="33" spans="1:21" x14ac:dyDescent="0.25">
      <c r="A33" s="251">
        <v>46056</v>
      </c>
      <c r="B33" s="3" t="s">
        <v>2216</v>
      </c>
      <c r="C33" s="3" t="s">
        <v>2217</v>
      </c>
      <c r="D33" s="3" t="s">
        <v>0</v>
      </c>
      <c r="E33" s="3" t="s">
        <v>2218</v>
      </c>
      <c r="F33" s="3" t="s">
        <v>34</v>
      </c>
      <c r="G33" s="3"/>
      <c r="H33" s="3"/>
      <c r="I33" s="3"/>
      <c r="J33" s="3" t="s">
        <v>1340</v>
      </c>
      <c r="K33" s="3">
        <v>1</v>
      </c>
      <c r="L33" s="5">
        <v>23.5</v>
      </c>
      <c r="M33" s="7"/>
      <c r="N33" s="6"/>
      <c r="O33" s="3"/>
      <c r="P33" s="3" t="s">
        <v>1452</v>
      </c>
      <c r="Q33" s="3" t="s">
        <v>1453</v>
      </c>
      <c r="R33" s="3" t="s">
        <v>13</v>
      </c>
      <c r="S33" s="3" t="s">
        <v>1454</v>
      </c>
      <c r="T33" s="3" t="s">
        <v>43</v>
      </c>
      <c r="U33" s="3"/>
    </row>
    <row r="34" spans="1:21" x14ac:dyDescent="0.25">
      <c r="A34" s="251">
        <v>46056</v>
      </c>
      <c r="B34" s="3" t="s">
        <v>843</v>
      </c>
      <c r="C34" s="3" t="s">
        <v>844</v>
      </c>
      <c r="D34" s="3" t="s">
        <v>14</v>
      </c>
      <c r="E34" s="3" t="s">
        <v>845</v>
      </c>
      <c r="F34" s="3" t="s">
        <v>32</v>
      </c>
      <c r="G34" s="3"/>
      <c r="H34" s="3"/>
      <c r="I34" s="3"/>
      <c r="J34" s="199" t="s">
        <v>1340</v>
      </c>
      <c r="K34" s="3">
        <v>1</v>
      </c>
      <c r="L34" s="5">
        <v>5</v>
      </c>
      <c r="M34" s="7"/>
      <c r="N34" s="6"/>
      <c r="O34" s="3"/>
      <c r="P34" s="3" t="s">
        <v>1455</v>
      </c>
      <c r="Q34" s="3" t="s">
        <v>1456</v>
      </c>
      <c r="R34" s="3" t="s">
        <v>13</v>
      </c>
      <c r="S34" s="3" t="s">
        <v>1457</v>
      </c>
      <c r="T34" s="3" t="s">
        <v>43</v>
      </c>
      <c r="U34" s="3"/>
    </row>
    <row r="35" spans="1:21" ht="15.75" thickBot="1" x14ac:dyDescent="0.3">
      <c r="A35" s="226">
        <v>46056</v>
      </c>
      <c r="B35" s="227" t="s">
        <v>2117</v>
      </c>
      <c r="C35" s="227" t="s">
        <v>2118</v>
      </c>
      <c r="D35" s="227" t="s">
        <v>12</v>
      </c>
      <c r="E35" s="227" t="s">
        <v>2119</v>
      </c>
      <c r="F35" s="227" t="s">
        <v>129</v>
      </c>
      <c r="G35" s="227"/>
      <c r="H35" s="227"/>
      <c r="I35" s="227"/>
      <c r="J35" s="227" t="s">
        <v>1340</v>
      </c>
      <c r="K35" s="227">
        <v>1</v>
      </c>
      <c r="L35" s="118">
        <v>5</v>
      </c>
      <c r="M35" s="258">
        <f>SUM(L29:L35)</f>
        <v>78</v>
      </c>
      <c r="N35" s="6"/>
      <c r="O35" s="3"/>
      <c r="P35" s="3" t="s">
        <v>157</v>
      </c>
      <c r="Q35" s="3" t="s">
        <v>158</v>
      </c>
      <c r="R35" s="3" t="s">
        <v>13</v>
      </c>
      <c r="S35" s="3" t="s">
        <v>159</v>
      </c>
      <c r="T35" s="3" t="s">
        <v>215</v>
      </c>
      <c r="U35" s="3"/>
    </row>
    <row r="36" spans="1:21" x14ac:dyDescent="0.25">
      <c r="A36" s="251">
        <v>46058</v>
      </c>
      <c r="B36" s="3" t="s">
        <v>2364</v>
      </c>
      <c r="C36" s="3" t="s">
        <v>2365</v>
      </c>
      <c r="D36" s="3" t="s">
        <v>0</v>
      </c>
      <c r="E36" s="3" t="s">
        <v>2366</v>
      </c>
      <c r="F36" s="3" t="s">
        <v>2367</v>
      </c>
      <c r="G36" s="199"/>
      <c r="H36" s="199"/>
      <c r="I36" s="199"/>
      <c r="J36" s="199" t="s">
        <v>1340</v>
      </c>
      <c r="K36" s="199">
        <v>1</v>
      </c>
      <c r="L36" s="106">
        <v>5</v>
      </c>
      <c r="O36" s="3"/>
      <c r="P36" s="3" t="s">
        <v>216</v>
      </c>
      <c r="Q36" s="3" t="s">
        <v>217</v>
      </c>
      <c r="R36" s="3" t="s">
        <v>13</v>
      </c>
      <c r="S36" s="3" t="s">
        <v>218</v>
      </c>
      <c r="T36" s="3" t="s">
        <v>219</v>
      </c>
      <c r="U36" s="3"/>
    </row>
    <row r="37" spans="1:21" x14ac:dyDescent="0.25">
      <c r="A37" s="251">
        <v>46058</v>
      </c>
      <c r="B37" s="3" t="s">
        <v>216</v>
      </c>
      <c r="C37" s="3" t="s">
        <v>217</v>
      </c>
      <c r="D37" s="3" t="s">
        <v>13</v>
      </c>
      <c r="E37" s="3" t="s">
        <v>218</v>
      </c>
      <c r="F37" s="3" t="s">
        <v>219</v>
      </c>
      <c r="G37" s="3"/>
      <c r="H37" s="3"/>
      <c r="I37" s="3"/>
      <c r="J37" s="199" t="s">
        <v>1340</v>
      </c>
      <c r="K37" s="3">
        <v>1</v>
      </c>
      <c r="L37" s="5">
        <v>19.5</v>
      </c>
      <c r="M37" s="7"/>
      <c r="O37" s="3"/>
      <c r="P37" s="3" t="s">
        <v>1458</v>
      </c>
      <c r="Q37" s="3" t="s">
        <v>1459</v>
      </c>
      <c r="R37" s="3" t="s">
        <v>13</v>
      </c>
      <c r="S37" s="3" t="s">
        <v>1460</v>
      </c>
      <c r="T37" s="3" t="s">
        <v>43</v>
      </c>
      <c r="U37" s="3"/>
    </row>
    <row r="38" spans="1:21" x14ac:dyDescent="0.25">
      <c r="A38" s="251">
        <v>46058</v>
      </c>
      <c r="B38" s="3" t="s">
        <v>762</v>
      </c>
      <c r="C38" s="3" t="s">
        <v>763</v>
      </c>
      <c r="D38" s="3" t="s">
        <v>12</v>
      </c>
      <c r="E38" s="3" t="s">
        <v>764</v>
      </c>
      <c r="F38" s="3" t="s">
        <v>44</v>
      </c>
      <c r="G38" s="199"/>
      <c r="H38" s="199"/>
      <c r="I38" s="199"/>
      <c r="J38" s="199" t="s">
        <v>1340</v>
      </c>
      <c r="K38" s="199">
        <v>1</v>
      </c>
      <c r="L38" s="106">
        <v>13.5</v>
      </c>
      <c r="O38" s="3"/>
      <c r="P38" s="3" t="s">
        <v>220</v>
      </c>
      <c r="Q38" s="3" t="s">
        <v>221</v>
      </c>
      <c r="R38" s="3" t="s">
        <v>13</v>
      </c>
      <c r="S38" s="3" t="s">
        <v>222</v>
      </c>
      <c r="T38" s="3" t="s">
        <v>215</v>
      </c>
      <c r="U38" s="3"/>
    </row>
    <row r="39" spans="1:21" ht="15.75" thickBot="1" x14ac:dyDescent="0.3">
      <c r="A39" s="226">
        <v>46058</v>
      </c>
      <c r="B39" s="227" t="s">
        <v>742</v>
      </c>
      <c r="C39" s="227" t="s">
        <v>743</v>
      </c>
      <c r="D39" s="227" t="s">
        <v>12</v>
      </c>
      <c r="E39" s="227" t="s">
        <v>744</v>
      </c>
      <c r="F39" s="227" t="s">
        <v>311</v>
      </c>
      <c r="G39" s="227"/>
      <c r="H39" s="227"/>
      <c r="I39" s="227"/>
      <c r="J39" s="227" t="s">
        <v>1340</v>
      </c>
      <c r="K39" s="227">
        <v>1</v>
      </c>
      <c r="L39" s="118">
        <v>6.5</v>
      </c>
      <c r="M39" s="258">
        <f>SUM(L36:L39)</f>
        <v>44.5</v>
      </c>
      <c r="O39" s="3"/>
      <c r="P39" s="3" t="s">
        <v>1367</v>
      </c>
      <c r="Q39" s="3" t="s">
        <v>1368</v>
      </c>
      <c r="R39" s="3" t="s">
        <v>13</v>
      </c>
      <c r="S39" s="3" t="s">
        <v>1369</v>
      </c>
      <c r="T39" s="3" t="s">
        <v>45</v>
      </c>
      <c r="U39" s="3"/>
    </row>
    <row r="40" spans="1:21" x14ac:dyDescent="0.25">
      <c r="A40" s="336">
        <v>46060</v>
      </c>
      <c r="B40" s="3" t="s">
        <v>806</v>
      </c>
      <c r="C40" s="3" t="s">
        <v>807</v>
      </c>
      <c r="D40" s="3" t="s">
        <v>14</v>
      </c>
      <c r="E40" s="3" t="s">
        <v>808</v>
      </c>
      <c r="F40" s="3" t="s">
        <v>32</v>
      </c>
      <c r="G40" s="199"/>
      <c r="H40" s="199"/>
      <c r="I40" s="199"/>
      <c r="J40" s="199" t="s">
        <v>2630</v>
      </c>
      <c r="K40" s="199">
        <v>4</v>
      </c>
      <c r="L40" s="106">
        <v>20</v>
      </c>
      <c r="O40" s="3"/>
      <c r="P40" s="3" t="s">
        <v>1461</v>
      </c>
      <c r="Q40" s="3" t="s">
        <v>1462</v>
      </c>
      <c r="R40" s="3" t="s">
        <v>13</v>
      </c>
      <c r="S40" s="3" t="s">
        <v>1463</v>
      </c>
      <c r="T40" s="3" t="s">
        <v>43</v>
      </c>
      <c r="U40" s="3"/>
    </row>
    <row r="41" spans="1:21" x14ac:dyDescent="0.25">
      <c r="A41" s="261">
        <v>46060</v>
      </c>
      <c r="B41" s="3" t="s">
        <v>583</v>
      </c>
      <c r="C41" s="3" t="s">
        <v>584</v>
      </c>
      <c r="D41" s="3" t="s">
        <v>12</v>
      </c>
      <c r="E41" s="3" t="s">
        <v>585</v>
      </c>
      <c r="F41" s="3" t="s">
        <v>46</v>
      </c>
      <c r="G41" s="236"/>
      <c r="H41" s="236"/>
      <c r="I41" s="236"/>
      <c r="J41" s="236" t="s">
        <v>2631</v>
      </c>
      <c r="K41" s="236">
        <v>3</v>
      </c>
      <c r="L41" s="259">
        <v>33.5</v>
      </c>
      <c r="M41" s="7"/>
      <c r="O41" s="3"/>
      <c r="P41" s="3" t="s">
        <v>223</v>
      </c>
      <c r="Q41" s="3" t="s">
        <v>224</v>
      </c>
      <c r="R41" s="3" t="s">
        <v>13</v>
      </c>
      <c r="S41" s="3" t="s">
        <v>225</v>
      </c>
      <c r="T41" s="3" t="s">
        <v>43</v>
      </c>
      <c r="U41" s="3"/>
    </row>
    <row r="42" spans="1:21" x14ac:dyDescent="0.25">
      <c r="A42" s="220">
        <v>46060</v>
      </c>
      <c r="B42" s="3" t="s">
        <v>2145</v>
      </c>
      <c r="C42" s="3" t="s">
        <v>2146</v>
      </c>
      <c r="D42" s="3" t="s">
        <v>12</v>
      </c>
      <c r="E42" s="3" t="s">
        <v>2147</v>
      </c>
      <c r="F42" s="3" t="s">
        <v>49</v>
      </c>
      <c r="G42" s="3"/>
      <c r="H42" s="3"/>
      <c r="I42" s="3"/>
      <c r="J42" s="236" t="s">
        <v>2631</v>
      </c>
      <c r="K42" s="3">
        <v>3</v>
      </c>
      <c r="L42" s="5">
        <v>36.5</v>
      </c>
      <c r="M42" s="7"/>
      <c r="O42" s="3"/>
      <c r="P42" s="3" t="s">
        <v>226</v>
      </c>
      <c r="Q42" s="3" t="s">
        <v>227</v>
      </c>
      <c r="R42" s="3" t="s">
        <v>13</v>
      </c>
      <c r="S42" s="3" t="s">
        <v>228</v>
      </c>
      <c r="T42" s="3" t="s">
        <v>43</v>
      </c>
      <c r="U42" s="3"/>
    </row>
    <row r="43" spans="1:21" x14ac:dyDescent="0.25">
      <c r="A43" s="220">
        <v>46060</v>
      </c>
      <c r="B43" s="3" t="s">
        <v>691</v>
      </c>
      <c r="C43" s="3" t="s">
        <v>692</v>
      </c>
      <c r="D43" s="3" t="s">
        <v>12</v>
      </c>
      <c r="E43" s="3" t="s">
        <v>693</v>
      </c>
      <c r="F43" s="3" t="s">
        <v>44</v>
      </c>
      <c r="G43" s="3"/>
      <c r="H43" s="3"/>
      <c r="I43" s="3"/>
      <c r="J43" s="3" t="s">
        <v>1343</v>
      </c>
      <c r="K43" s="3">
        <v>2</v>
      </c>
      <c r="L43" s="5">
        <v>20</v>
      </c>
      <c r="M43" s="7"/>
      <c r="O43" s="3"/>
      <c r="P43" s="3" t="s">
        <v>229</v>
      </c>
      <c r="Q43" s="3" t="s">
        <v>230</v>
      </c>
      <c r="R43" s="3" t="s">
        <v>13</v>
      </c>
      <c r="S43" s="3" t="s">
        <v>231</v>
      </c>
      <c r="T43" s="3" t="s">
        <v>43</v>
      </c>
      <c r="U43" s="3"/>
    </row>
    <row r="44" spans="1:21" x14ac:dyDescent="0.25">
      <c r="A44" s="220">
        <v>46060</v>
      </c>
      <c r="B44" s="247" t="s">
        <v>2064</v>
      </c>
      <c r="C44" s="247" t="s">
        <v>2065</v>
      </c>
      <c r="D44" s="3" t="s">
        <v>17</v>
      </c>
      <c r="E44" s="247" t="s">
        <v>2066</v>
      </c>
      <c r="F44" s="247" t="s">
        <v>179</v>
      </c>
      <c r="G44" s="3"/>
      <c r="H44" s="3"/>
      <c r="I44" s="3"/>
      <c r="J44" s="3" t="s">
        <v>1343</v>
      </c>
      <c r="K44" s="3">
        <v>2</v>
      </c>
      <c r="L44" s="5">
        <v>10</v>
      </c>
      <c r="M44" s="7"/>
      <c r="O44" s="3"/>
      <c r="P44" s="3" t="s">
        <v>232</v>
      </c>
      <c r="Q44" s="3" t="s">
        <v>233</v>
      </c>
      <c r="R44" s="3" t="s">
        <v>13</v>
      </c>
      <c r="S44" s="3" t="s">
        <v>234</v>
      </c>
      <c r="T44" s="3" t="s">
        <v>43</v>
      </c>
      <c r="U44" s="3"/>
    </row>
    <row r="45" spans="1:21" x14ac:dyDescent="0.25">
      <c r="A45" s="220">
        <v>46060</v>
      </c>
      <c r="B45" s="3" t="s">
        <v>2088</v>
      </c>
      <c r="C45" s="3" t="s">
        <v>2089</v>
      </c>
      <c r="D45" s="3" t="s">
        <v>12</v>
      </c>
      <c r="E45" s="3" t="s">
        <v>2090</v>
      </c>
      <c r="F45" s="3" t="s">
        <v>307</v>
      </c>
      <c r="G45" s="3"/>
      <c r="H45" s="3"/>
      <c r="I45" s="3"/>
      <c r="J45" s="3" t="s">
        <v>1343</v>
      </c>
      <c r="K45" s="3">
        <v>2</v>
      </c>
      <c r="L45" s="5">
        <v>52</v>
      </c>
      <c r="O45" s="3"/>
      <c r="P45" s="3" t="s">
        <v>235</v>
      </c>
      <c r="Q45" s="3" t="s">
        <v>236</v>
      </c>
      <c r="R45" s="3" t="s">
        <v>13</v>
      </c>
      <c r="S45" s="3" t="s">
        <v>237</v>
      </c>
      <c r="T45" s="3" t="s">
        <v>43</v>
      </c>
      <c r="U45" s="3"/>
    </row>
    <row r="46" spans="1:21" x14ac:dyDescent="0.25">
      <c r="A46" s="220">
        <v>46060</v>
      </c>
      <c r="B46" s="3" t="s">
        <v>739</v>
      </c>
      <c r="C46" s="3" t="s">
        <v>740</v>
      </c>
      <c r="D46" s="3" t="s">
        <v>12</v>
      </c>
      <c r="E46" s="3" t="s">
        <v>741</v>
      </c>
      <c r="F46" s="3" t="s">
        <v>47</v>
      </c>
      <c r="G46" s="3"/>
      <c r="H46" s="3"/>
      <c r="I46" s="3"/>
      <c r="J46" s="3" t="s">
        <v>1343</v>
      </c>
      <c r="K46" s="3">
        <v>2</v>
      </c>
      <c r="L46" s="5">
        <v>71</v>
      </c>
      <c r="O46" s="3"/>
      <c r="P46" s="3" t="s">
        <v>1464</v>
      </c>
      <c r="Q46" s="3" t="s">
        <v>1465</v>
      </c>
      <c r="R46" s="3" t="s">
        <v>13</v>
      </c>
      <c r="S46" s="3" t="s">
        <v>1466</v>
      </c>
      <c r="T46" s="3" t="s">
        <v>43</v>
      </c>
      <c r="U46" s="3"/>
    </row>
    <row r="47" spans="1:21" x14ac:dyDescent="0.25">
      <c r="A47" s="220">
        <v>46060</v>
      </c>
      <c r="B47" s="3" t="s">
        <v>334</v>
      </c>
      <c r="C47" s="3" t="s">
        <v>335</v>
      </c>
      <c r="D47" s="3" t="s">
        <v>12</v>
      </c>
      <c r="E47" s="3" t="s">
        <v>333</v>
      </c>
      <c r="F47" s="3" t="s">
        <v>336</v>
      </c>
      <c r="G47" s="3"/>
      <c r="H47" s="3"/>
      <c r="I47" s="3"/>
      <c r="J47" s="3" t="s">
        <v>1343</v>
      </c>
      <c r="K47" s="3">
        <v>2</v>
      </c>
      <c r="L47" s="5">
        <v>45</v>
      </c>
      <c r="O47" s="3"/>
      <c r="P47" s="3" t="s">
        <v>238</v>
      </c>
      <c r="Q47" s="3" t="s">
        <v>239</v>
      </c>
      <c r="R47" s="3" t="s">
        <v>13</v>
      </c>
      <c r="S47" s="3" t="s">
        <v>240</v>
      </c>
      <c r="T47" s="3" t="s">
        <v>43</v>
      </c>
      <c r="U47" s="3"/>
    </row>
    <row r="48" spans="1:21" x14ac:dyDescent="0.25">
      <c r="A48" s="220">
        <v>46060</v>
      </c>
      <c r="B48" s="3" t="s">
        <v>2204</v>
      </c>
      <c r="C48" s="3" t="s">
        <v>2205</v>
      </c>
      <c r="D48" s="3" t="s">
        <v>0</v>
      </c>
      <c r="E48" s="3" t="s">
        <v>2206</v>
      </c>
      <c r="F48" s="3" t="s">
        <v>33</v>
      </c>
      <c r="G48" s="3"/>
      <c r="H48" s="3"/>
      <c r="I48" s="3"/>
      <c r="J48" s="3" t="s">
        <v>1340</v>
      </c>
      <c r="K48" s="3">
        <v>1</v>
      </c>
      <c r="L48" s="5">
        <v>9.5</v>
      </c>
      <c r="O48" s="3"/>
      <c r="P48" s="3" t="s">
        <v>241</v>
      </c>
      <c r="Q48" s="3" t="s">
        <v>242</v>
      </c>
      <c r="R48" s="3" t="s">
        <v>13</v>
      </c>
      <c r="S48" s="3" t="s">
        <v>243</v>
      </c>
      <c r="T48" s="3" t="s">
        <v>43</v>
      </c>
      <c r="U48" s="3"/>
    </row>
    <row r="49" spans="1:21" x14ac:dyDescent="0.25">
      <c r="A49" s="220">
        <v>46060</v>
      </c>
      <c r="B49" s="3" t="s">
        <v>1834</v>
      </c>
      <c r="C49" s="3" t="s">
        <v>1835</v>
      </c>
      <c r="D49" s="3" t="s">
        <v>14</v>
      </c>
      <c r="E49" s="3" t="s">
        <v>1836</v>
      </c>
      <c r="F49" s="3" t="s">
        <v>32</v>
      </c>
      <c r="G49" s="3"/>
      <c r="H49" s="3"/>
      <c r="I49" s="3"/>
      <c r="J49" s="3" t="s">
        <v>1340</v>
      </c>
      <c r="K49" s="3">
        <v>1</v>
      </c>
      <c r="L49" s="5">
        <v>7.5</v>
      </c>
      <c r="O49" s="3"/>
      <c r="P49" s="3" t="s">
        <v>244</v>
      </c>
      <c r="Q49" s="3" t="s">
        <v>245</v>
      </c>
      <c r="R49" s="3" t="s">
        <v>13</v>
      </c>
      <c r="S49" s="3" t="s">
        <v>246</v>
      </c>
      <c r="T49" s="3" t="s">
        <v>43</v>
      </c>
      <c r="U49" s="3"/>
    </row>
    <row r="50" spans="1:21" x14ac:dyDescent="0.25">
      <c r="A50" s="220">
        <v>46060</v>
      </c>
      <c r="B50" s="3" t="s">
        <v>2029</v>
      </c>
      <c r="C50" s="3" t="s">
        <v>2030</v>
      </c>
      <c r="D50" s="3" t="s">
        <v>0</v>
      </c>
      <c r="E50" s="3" t="s">
        <v>2031</v>
      </c>
      <c r="F50" s="3" t="s">
        <v>1073</v>
      </c>
      <c r="G50" s="3"/>
      <c r="H50" s="3"/>
      <c r="I50" s="3"/>
      <c r="J50" s="3" t="s">
        <v>1340</v>
      </c>
      <c r="K50" s="3">
        <v>1</v>
      </c>
      <c r="L50" s="5">
        <v>34.5</v>
      </c>
      <c r="O50" s="3"/>
      <c r="P50" s="3" t="s">
        <v>247</v>
      </c>
      <c r="Q50" s="3" t="s">
        <v>248</v>
      </c>
      <c r="R50" s="3" t="s">
        <v>13</v>
      </c>
      <c r="S50" s="3" t="s">
        <v>249</v>
      </c>
      <c r="T50" s="3" t="s">
        <v>43</v>
      </c>
      <c r="U50" s="3"/>
    </row>
    <row r="51" spans="1:21" x14ac:dyDescent="0.25">
      <c r="A51" s="220">
        <v>46060</v>
      </c>
      <c r="B51" s="3" t="s">
        <v>331</v>
      </c>
      <c r="C51" s="3" t="s">
        <v>332</v>
      </c>
      <c r="D51" s="3" t="s">
        <v>12</v>
      </c>
      <c r="E51" s="3" t="s">
        <v>333</v>
      </c>
      <c r="F51" s="3" t="s">
        <v>46</v>
      </c>
      <c r="G51" s="3"/>
      <c r="H51" s="3"/>
      <c r="I51" s="3"/>
      <c r="J51" s="3" t="s">
        <v>1340</v>
      </c>
      <c r="K51" s="3">
        <v>1</v>
      </c>
      <c r="L51" s="5">
        <v>32.5</v>
      </c>
      <c r="O51" s="3"/>
      <c r="P51" s="3" t="s">
        <v>250</v>
      </c>
      <c r="Q51" s="3" t="s">
        <v>251</v>
      </c>
      <c r="R51" s="3" t="s">
        <v>13</v>
      </c>
      <c r="S51" s="3" t="s">
        <v>252</v>
      </c>
      <c r="T51" s="3" t="s">
        <v>43</v>
      </c>
      <c r="U51" s="3"/>
    </row>
    <row r="52" spans="1:21" x14ac:dyDescent="0.25">
      <c r="A52" s="220">
        <v>46060</v>
      </c>
      <c r="B52" s="3" t="s">
        <v>301</v>
      </c>
      <c r="C52" s="3" t="s">
        <v>302</v>
      </c>
      <c r="D52" s="3" t="s">
        <v>12</v>
      </c>
      <c r="E52" s="3" t="s">
        <v>303</v>
      </c>
      <c r="F52" s="3" t="s">
        <v>304</v>
      </c>
      <c r="G52" s="3"/>
      <c r="H52" s="3"/>
      <c r="I52" s="3"/>
      <c r="J52" s="3" t="s">
        <v>1340</v>
      </c>
      <c r="K52" s="3">
        <v>1</v>
      </c>
      <c r="L52" s="5">
        <v>5</v>
      </c>
      <c r="M52" s="7"/>
      <c r="O52" s="3"/>
      <c r="P52" s="3" t="s">
        <v>253</v>
      </c>
      <c r="Q52" s="3" t="s">
        <v>254</v>
      </c>
      <c r="R52" s="3" t="s">
        <v>13</v>
      </c>
      <c r="S52" s="3" t="s">
        <v>255</v>
      </c>
      <c r="T52" s="3" t="s">
        <v>43</v>
      </c>
      <c r="U52" s="3"/>
    </row>
    <row r="53" spans="1:21" x14ac:dyDescent="0.25">
      <c r="A53" s="220">
        <v>46060</v>
      </c>
      <c r="B53" s="3" t="s">
        <v>962</v>
      </c>
      <c r="C53" s="3" t="s">
        <v>963</v>
      </c>
      <c r="D53" s="3" t="s">
        <v>0</v>
      </c>
      <c r="E53" s="3" t="s">
        <v>964</v>
      </c>
      <c r="F53" s="3" t="s">
        <v>34</v>
      </c>
      <c r="G53" s="3"/>
      <c r="H53" s="3"/>
      <c r="I53" s="3"/>
      <c r="J53" s="3" t="s">
        <v>1340</v>
      </c>
      <c r="K53" s="3">
        <v>1</v>
      </c>
      <c r="L53" s="5">
        <v>5</v>
      </c>
      <c r="O53" s="3"/>
      <c r="P53" s="3" t="s">
        <v>256</v>
      </c>
      <c r="Q53" s="3" t="s">
        <v>257</v>
      </c>
      <c r="R53" s="3" t="s">
        <v>13</v>
      </c>
      <c r="S53" s="3" t="s">
        <v>258</v>
      </c>
      <c r="T53" s="3" t="s">
        <v>43</v>
      </c>
      <c r="U53" s="3"/>
    </row>
    <row r="54" spans="1:21" x14ac:dyDescent="0.25">
      <c r="A54" s="220">
        <v>46060</v>
      </c>
      <c r="B54" s="3" t="s">
        <v>512</v>
      </c>
      <c r="C54" s="3" t="s">
        <v>513</v>
      </c>
      <c r="D54" s="3" t="s">
        <v>12</v>
      </c>
      <c r="E54" s="3" t="s">
        <v>514</v>
      </c>
      <c r="F54" s="3" t="s">
        <v>311</v>
      </c>
      <c r="G54" s="3"/>
      <c r="H54" s="3"/>
      <c r="I54" s="3"/>
      <c r="J54" s="3" t="s">
        <v>1340</v>
      </c>
      <c r="K54" s="3">
        <v>1</v>
      </c>
      <c r="L54" s="5">
        <v>5</v>
      </c>
      <c r="O54" s="3"/>
      <c r="P54" s="3" t="s">
        <v>259</v>
      </c>
      <c r="Q54" s="3" t="s">
        <v>260</v>
      </c>
      <c r="R54" s="3" t="s">
        <v>13</v>
      </c>
      <c r="S54" s="3" t="s">
        <v>261</v>
      </c>
      <c r="T54" s="3" t="s">
        <v>43</v>
      </c>
      <c r="U54" s="3"/>
    </row>
    <row r="55" spans="1:21" x14ac:dyDescent="0.25">
      <c r="A55" s="220">
        <v>46060</v>
      </c>
      <c r="B55" s="3" t="s">
        <v>1038</v>
      </c>
      <c r="C55" s="3" t="s">
        <v>1039</v>
      </c>
      <c r="D55" s="3" t="s">
        <v>0</v>
      </c>
      <c r="E55" s="3" t="s">
        <v>1040</v>
      </c>
      <c r="F55" s="3" t="s">
        <v>38</v>
      </c>
      <c r="G55" s="3"/>
      <c r="H55" s="3"/>
      <c r="I55" s="3"/>
      <c r="J55" s="3" t="s">
        <v>1340</v>
      </c>
      <c r="K55" s="3">
        <v>1</v>
      </c>
      <c r="L55" s="5">
        <v>13.5</v>
      </c>
      <c r="O55" s="3"/>
      <c r="P55" s="3" t="s">
        <v>1467</v>
      </c>
      <c r="Q55" s="3" t="s">
        <v>1468</v>
      </c>
      <c r="R55" s="3" t="s">
        <v>13</v>
      </c>
      <c r="S55" s="3" t="s">
        <v>1469</v>
      </c>
      <c r="T55" s="3" t="s">
        <v>43</v>
      </c>
      <c r="U55" s="3"/>
    </row>
    <row r="56" spans="1:21" ht="15.75" thickBot="1" x14ac:dyDescent="0.3">
      <c r="A56" s="226">
        <v>46060</v>
      </c>
      <c r="B56" s="227" t="s">
        <v>126</v>
      </c>
      <c r="C56" s="227" t="s">
        <v>127</v>
      </c>
      <c r="D56" s="227" t="s">
        <v>12</v>
      </c>
      <c r="E56" s="227" t="s">
        <v>128</v>
      </c>
      <c r="F56" s="227" t="s">
        <v>129</v>
      </c>
      <c r="G56" s="227"/>
      <c r="H56" s="227"/>
      <c r="I56" s="227"/>
      <c r="J56" s="227" t="s">
        <v>1340</v>
      </c>
      <c r="K56" s="227">
        <v>1</v>
      </c>
      <c r="L56" s="118">
        <v>10.5</v>
      </c>
      <c r="M56" s="258">
        <f>SUM(L40:L56)</f>
        <v>411</v>
      </c>
      <c r="O56" s="3"/>
      <c r="P56" s="3" t="s">
        <v>262</v>
      </c>
      <c r="Q56" s="3" t="s">
        <v>263</v>
      </c>
      <c r="R56" s="3" t="s">
        <v>13</v>
      </c>
      <c r="S56" s="3" t="s">
        <v>264</v>
      </c>
      <c r="T56" s="3" t="s">
        <v>43</v>
      </c>
      <c r="U56" s="3"/>
    </row>
    <row r="57" spans="1:21" x14ac:dyDescent="0.25">
      <c r="A57" s="251">
        <v>46062</v>
      </c>
      <c r="B57" s="3" t="s">
        <v>1765</v>
      </c>
      <c r="C57" s="3" t="s">
        <v>1766</v>
      </c>
      <c r="D57" s="3" t="s">
        <v>12</v>
      </c>
      <c r="E57" s="3" t="s">
        <v>1767</v>
      </c>
      <c r="F57" s="3" t="s">
        <v>46</v>
      </c>
      <c r="G57" s="199"/>
      <c r="H57" s="199"/>
      <c r="I57" s="199"/>
      <c r="J57" s="199" t="s">
        <v>2631</v>
      </c>
      <c r="K57" s="199">
        <v>3</v>
      </c>
      <c r="L57" s="106">
        <v>167.5</v>
      </c>
      <c r="M57" s="7"/>
      <c r="O57" s="3"/>
      <c r="P57" s="3" t="s">
        <v>2359</v>
      </c>
      <c r="Q57" s="3" t="s">
        <v>2360</v>
      </c>
      <c r="R57" s="3" t="s">
        <v>13</v>
      </c>
      <c r="S57" s="3" t="s">
        <v>2361</v>
      </c>
      <c r="T57" s="3" t="s">
        <v>2362</v>
      </c>
      <c r="U57" s="3"/>
    </row>
    <row r="58" spans="1:21" x14ac:dyDescent="0.25">
      <c r="A58" s="251">
        <v>46062</v>
      </c>
      <c r="B58" s="3" t="s">
        <v>2142</v>
      </c>
      <c r="C58" s="3" t="s">
        <v>2143</v>
      </c>
      <c r="D58" s="3" t="s">
        <v>12</v>
      </c>
      <c r="E58" s="3" t="s">
        <v>2144</v>
      </c>
      <c r="F58" s="3" t="s">
        <v>44</v>
      </c>
      <c r="G58" s="199"/>
      <c r="H58" s="199"/>
      <c r="I58" s="199"/>
      <c r="J58" s="199" t="s">
        <v>1343</v>
      </c>
      <c r="K58" s="199">
        <v>2</v>
      </c>
      <c r="L58" s="106">
        <v>10</v>
      </c>
      <c r="O58" s="3"/>
      <c r="P58" s="3" t="s">
        <v>162</v>
      </c>
      <c r="Q58" s="3" t="s">
        <v>163</v>
      </c>
      <c r="R58" s="3" t="s">
        <v>13</v>
      </c>
      <c r="S58" s="3" t="s">
        <v>164</v>
      </c>
      <c r="T58" s="3" t="s">
        <v>43</v>
      </c>
      <c r="U58" s="3"/>
    </row>
    <row r="59" spans="1:21" x14ac:dyDescent="0.25">
      <c r="A59" s="251">
        <v>46062</v>
      </c>
      <c r="B59" s="3" t="s">
        <v>1098</v>
      </c>
      <c r="C59" s="3" t="s">
        <v>2277</v>
      </c>
      <c r="D59" s="3" t="s">
        <v>0</v>
      </c>
      <c r="E59" s="3" t="s">
        <v>1100</v>
      </c>
      <c r="F59" s="3" t="s">
        <v>904</v>
      </c>
      <c r="G59" s="3"/>
      <c r="H59" s="3"/>
      <c r="I59" s="3"/>
      <c r="J59" s="199" t="s">
        <v>1340</v>
      </c>
      <c r="K59" s="3">
        <v>1</v>
      </c>
      <c r="L59" s="5">
        <v>9.5</v>
      </c>
      <c r="O59" s="3"/>
      <c r="P59" s="3" t="s">
        <v>160</v>
      </c>
      <c r="Q59" s="3" t="s">
        <v>2070</v>
      </c>
      <c r="R59" s="3" t="s">
        <v>13</v>
      </c>
      <c r="S59" s="3" t="s">
        <v>161</v>
      </c>
      <c r="T59" s="3" t="s">
        <v>43</v>
      </c>
      <c r="U59" s="3"/>
    </row>
    <row r="60" spans="1:21" x14ac:dyDescent="0.25">
      <c r="A60" s="251">
        <v>46062</v>
      </c>
      <c r="B60" s="3" t="s">
        <v>286</v>
      </c>
      <c r="C60" s="3" t="s">
        <v>287</v>
      </c>
      <c r="D60" s="3" t="s">
        <v>13</v>
      </c>
      <c r="E60" s="3" t="s">
        <v>288</v>
      </c>
      <c r="F60" s="3" t="s">
        <v>43</v>
      </c>
      <c r="G60" s="3"/>
      <c r="H60" s="3"/>
      <c r="I60" s="3"/>
      <c r="J60" s="199" t="s">
        <v>1340</v>
      </c>
      <c r="K60" s="3">
        <v>1</v>
      </c>
      <c r="L60" s="5">
        <v>12.5</v>
      </c>
      <c r="O60" s="3"/>
      <c r="P60" s="3" t="s">
        <v>265</v>
      </c>
      <c r="Q60" s="3" t="s">
        <v>266</v>
      </c>
      <c r="R60" s="3" t="s">
        <v>13</v>
      </c>
      <c r="S60" s="3" t="s">
        <v>267</v>
      </c>
      <c r="T60" s="3" t="s">
        <v>43</v>
      </c>
      <c r="U60" s="3"/>
    </row>
    <row r="61" spans="1:21" x14ac:dyDescent="0.25">
      <c r="A61" s="251">
        <v>46062</v>
      </c>
      <c r="B61" s="3" t="s">
        <v>1553</v>
      </c>
      <c r="C61" s="3" t="s">
        <v>1554</v>
      </c>
      <c r="D61" s="3" t="s">
        <v>12</v>
      </c>
      <c r="E61" s="3" t="s">
        <v>1555</v>
      </c>
      <c r="F61" s="3" t="s">
        <v>1528</v>
      </c>
      <c r="G61" s="3"/>
      <c r="H61" s="3"/>
      <c r="I61" s="3"/>
      <c r="J61" s="199" t="s">
        <v>1340</v>
      </c>
      <c r="K61" s="3">
        <v>1</v>
      </c>
      <c r="L61" s="5">
        <v>11.5</v>
      </c>
      <c r="O61" s="3"/>
      <c r="P61" s="3" t="s">
        <v>268</v>
      </c>
      <c r="Q61" s="3" t="s">
        <v>269</v>
      </c>
      <c r="R61" s="3" t="s">
        <v>13</v>
      </c>
      <c r="S61" s="3" t="s">
        <v>270</v>
      </c>
      <c r="T61" s="3" t="s">
        <v>43</v>
      </c>
      <c r="U61" s="3"/>
    </row>
    <row r="62" spans="1:21" x14ac:dyDescent="0.25">
      <c r="A62" s="251">
        <v>46062</v>
      </c>
      <c r="B62" s="3" t="s">
        <v>247</v>
      </c>
      <c r="C62" s="3" t="s">
        <v>248</v>
      </c>
      <c r="D62" s="3" t="s">
        <v>13</v>
      </c>
      <c r="E62" s="3" t="s">
        <v>249</v>
      </c>
      <c r="F62" s="3" t="s">
        <v>43</v>
      </c>
      <c r="G62" s="3"/>
      <c r="H62" s="3"/>
      <c r="I62" s="3"/>
      <c r="J62" s="199" t="s">
        <v>1340</v>
      </c>
      <c r="K62" s="3">
        <v>1</v>
      </c>
      <c r="L62" s="5">
        <v>10</v>
      </c>
      <c r="O62" s="3"/>
      <c r="P62" s="3" t="s">
        <v>271</v>
      </c>
      <c r="Q62" s="3" t="s">
        <v>272</v>
      </c>
      <c r="R62" s="3" t="s">
        <v>13</v>
      </c>
      <c r="S62" s="3" t="s">
        <v>273</v>
      </c>
      <c r="T62" s="3" t="s">
        <v>43</v>
      </c>
      <c r="U62" s="3"/>
    </row>
    <row r="63" spans="1:21" x14ac:dyDescent="0.25">
      <c r="A63" s="251">
        <v>46062</v>
      </c>
      <c r="B63" s="3" t="s">
        <v>2506</v>
      </c>
      <c r="C63" s="3" t="s">
        <v>2401</v>
      </c>
      <c r="D63" s="3" t="s">
        <v>12</v>
      </c>
      <c r="E63" s="3" t="s">
        <v>2507</v>
      </c>
      <c r="F63" s="3" t="s">
        <v>201</v>
      </c>
      <c r="G63" s="3"/>
      <c r="H63" s="3"/>
      <c r="I63" s="3"/>
      <c r="J63" s="199" t="s">
        <v>1340</v>
      </c>
      <c r="K63" s="3">
        <v>1</v>
      </c>
      <c r="L63" s="5">
        <v>6.5</v>
      </c>
      <c r="O63" s="3"/>
      <c r="P63" s="3" t="s">
        <v>1470</v>
      </c>
      <c r="Q63" s="3" t="s">
        <v>1471</v>
      </c>
      <c r="R63" s="3" t="s">
        <v>13</v>
      </c>
      <c r="S63" s="3" t="s">
        <v>1472</v>
      </c>
      <c r="T63" s="3" t="s">
        <v>43</v>
      </c>
      <c r="U63" s="3"/>
    </row>
    <row r="64" spans="1:21" ht="15.75" thickBot="1" x14ac:dyDescent="0.3">
      <c r="A64" s="226">
        <v>46062</v>
      </c>
      <c r="B64" s="227" t="s">
        <v>1723</v>
      </c>
      <c r="C64" s="227" t="s">
        <v>1724</v>
      </c>
      <c r="D64" s="227" t="s">
        <v>12</v>
      </c>
      <c r="E64" s="227" t="s">
        <v>1725</v>
      </c>
      <c r="F64" s="227" t="s">
        <v>43</v>
      </c>
      <c r="G64" s="227"/>
      <c r="H64" s="227"/>
      <c r="I64" s="227"/>
      <c r="J64" s="227" t="s">
        <v>1340</v>
      </c>
      <c r="K64" s="227">
        <v>1</v>
      </c>
      <c r="L64" s="118">
        <v>19.5</v>
      </c>
      <c r="M64" s="258">
        <f>SUM(L57:L64)</f>
        <v>247</v>
      </c>
      <c r="O64" s="3"/>
      <c r="P64" s="3" t="s">
        <v>274</v>
      </c>
      <c r="Q64" s="3" t="s">
        <v>275</v>
      </c>
      <c r="R64" s="3" t="s">
        <v>13</v>
      </c>
      <c r="S64" s="3" t="s">
        <v>276</v>
      </c>
      <c r="T64" s="3" t="s">
        <v>43</v>
      </c>
      <c r="U64" s="3"/>
    </row>
    <row r="65" spans="1:21" x14ac:dyDescent="0.25">
      <c r="A65" s="251">
        <v>46063</v>
      </c>
      <c r="B65" s="3" t="s">
        <v>2332</v>
      </c>
      <c r="C65" s="3" t="s">
        <v>2333</v>
      </c>
      <c r="D65" s="3" t="s">
        <v>0</v>
      </c>
      <c r="E65" s="3" t="s">
        <v>2334</v>
      </c>
      <c r="F65" s="3" t="s">
        <v>978</v>
      </c>
      <c r="G65" s="199"/>
      <c r="H65" s="199"/>
      <c r="I65" s="199"/>
      <c r="J65" s="199" t="s">
        <v>2630</v>
      </c>
      <c r="K65" s="199">
        <v>4</v>
      </c>
      <c r="L65" s="106">
        <v>90</v>
      </c>
      <c r="M65" s="7"/>
      <c r="O65" s="3"/>
      <c r="P65" s="3" t="s">
        <v>2071</v>
      </c>
      <c r="Q65" s="3" t="s">
        <v>2072</v>
      </c>
      <c r="R65" s="3" t="s">
        <v>13</v>
      </c>
      <c r="S65" s="3" t="s">
        <v>2073</v>
      </c>
      <c r="T65" s="3" t="s">
        <v>43</v>
      </c>
      <c r="U65" s="3"/>
    </row>
    <row r="66" spans="1:21" x14ac:dyDescent="0.25">
      <c r="A66" s="251">
        <v>46063</v>
      </c>
      <c r="B66" s="3" t="s">
        <v>104</v>
      </c>
      <c r="C66" s="3" t="s">
        <v>105</v>
      </c>
      <c r="D66" s="3" t="s">
        <v>0</v>
      </c>
      <c r="E66" s="3" t="s">
        <v>106</v>
      </c>
      <c r="F66" s="3" t="s">
        <v>39</v>
      </c>
      <c r="G66" s="217"/>
      <c r="H66" s="217"/>
      <c r="I66" s="217"/>
      <c r="J66" s="199" t="s">
        <v>1343</v>
      </c>
      <c r="K66" s="199">
        <v>2</v>
      </c>
      <c r="L66" s="106">
        <v>10</v>
      </c>
      <c r="M66" s="7"/>
      <c r="O66" s="3"/>
      <c r="P66" s="3"/>
      <c r="Q66" s="3"/>
      <c r="R66" s="3"/>
      <c r="S66" s="3"/>
      <c r="T66" s="3"/>
      <c r="U66" s="3"/>
    </row>
    <row r="67" spans="1:21" ht="15.75" thickBot="1" x14ac:dyDescent="0.3">
      <c r="A67" s="251">
        <v>46063</v>
      </c>
      <c r="B67" s="3" t="s">
        <v>107</v>
      </c>
      <c r="C67" s="3" t="s">
        <v>108</v>
      </c>
      <c r="D67" s="3" t="s">
        <v>0</v>
      </c>
      <c r="E67" s="3" t="s">
        <v>109</v>
      </c>
      <c r="F67" s="3" t="s">
        <v>110</v>
      </c>
      <c r="G67" s="227"/>
      <c r="H67" s="227"/>
      <c r="I67" s="227"/>
      <c r="J67" s="3" t="s">
        <v>1343</v>
      </c>
      <c r="K67" s="3">
        <v>2</v>
      </c>
      <c r="L67" s="5">
        <v>30</v>
      </c>
      <c r="M67" s="7"/>
      <c r="O67" s="3"/>
      <c r="P67" s="3" t="s">
        <v>277</v>
      </c>
      <c r="Q67" s="3" t="s">
        <v>278</v>
      </c>
      <c r="R67" s="3" t="s">
        <v>13</v>
      </c>
      <c r="S67" s="3" t="s">
        <v>279</v>
      </c>
      <c r="T67" s="3" t="s">
        <v>43</v>
      </c>
      <c r="U67" s="3"/>
    </row>
    <row r="68" spans="1:21" x14ac:dyDescent="0.25">
      <c r="A68" s="251">
        <v>46063</v>
      </c>
      <c r="B68" s="3" t="s">
        <v>905</v>
      </c>
      <c r="C68" s="3" t="s">
        <v>906</v>
      </c>
      <c r="D68" s="3" t="s">
        <v>0</v>
      </c>
      <c r="E68" s="3" t="s">
        <v>907</v>
      </c>
      <c r="F68" s="3" t="s">
        <v>33</v>
      </c>
      <c r="G68" s="3"/>
      <c r="H68" s="199"/>
      <c r="I68" s="199"/>
      <c r="J68" s="3" t="s">
        <v>1340</v>
      </c>
      <c r="K68" s="3">
        <v>1</v>
      </c>
      <c r="L68" s="5">
        <v>33.5</v>
      </c>
      <c r="O68" s="3"/>
      <c r="P68" s="3" t="s">
        <v>280</v>
      </c>
      <c r="Q68" s="3" t="s">
        <v>281</v>
      </c>
      <c r="R68" s="3" t="s">
        <v>13</v>
      </c>
      <c r="S68" s="3" t="s">
        <v>282</v>
      </c>
      <c r="T68" s="3" t="s">
        <v>43</v>
      </c>
      <c r="U68" s="3"/>
    </row>
    <row r="69" spans="1:21" x14ac:dyDescent="0.25">
      <c r="A69" s="251">
        <v>46063</v>
      </c>
      <c r="B69" s="3" t="s">
        <v>542</v>
      </c>
      <c r="C69" s="3" t="s">
        <v>543</v>
      </c>
      <c r="D69" s="3" t="s">
        <v>12</v>
      </c>
      <c r="E69" s="3" t="s">
        <v>544</v>
      </c>
      <c r="F69" s="3" t="s">
        <v>43</v>
      </c>
      <c r="G69" s="3"/>
      <c r="H69" s="3"/>
      <c r="I69" s="3"/>
      <c r="J69" s="3" t="s">
        <v>1340</v>
      </c>
      <c r="K69" s="3">
        <v>1</v>
      </c>
      <c r="L69" s="5">
        <v>16.5</v>
      </c>
      <c r="O69" s="3"/>
      <c r="P69" s="3" t="s">
        <v>283</v>
      </c>
      <c r="Q69" s="3" t="s">
        <v>284</v>
      </c>
      <c r="R69" s="3" t="s">
        <v>13</v>
      </c>
      <c r="S69" s="3" t="s">
        <v>285</v>
      </c>
      <c r="T69" s="3" t="s">
        <v>43</v>
      </c>
      <c r="U69" s="3"/>
    </row>
    <row r="70" spans="1:21" x14ac:dyDescent="0.25">
      <c r="A70" s="251">
        <v>46063</v>
      </c>
      <c r="B70" s="3" t="s">
        <v>268</v>
      </c>
      <c r="C70" s="3" t="s">
        <v>269</v>
      </c>
      <c r="D70" s="3" t="s">
        <v>13</v>
      </c>
      <c r="E70" s="3" t="s">
        <v>270</v>
      </c>
      <c r="F70" s="3" t="s">
        <v>43</v>
      </c>
      <c r="G70" s="3"/>
      <c r="H70" s="3"/>
      <c r="I70" s="3"/>
      <c r="J70" s="3" t="s">
        <v>1340</v>
      </c>
      <c r="K70" s="3">
        <v>1</v>
      </c>
      <c r="L70" s="5">
        <v>17.5</v>
      </c>
      <c r="O70" s="3"/>
      <c r="P70" s="3" t="s">
        <v>286</v>
      </c>
      <c r="Q70" s="3" t="s">
        <v>287</v>
      </c>
      <c r="R70" s="3" t="s">
        <v>13</v>
      </c>
      <c r="S70" s="3" t="s">
        <v>288</v>
      </c>
      <c r="T70" s="3" t="s">
        <v>43</v>
      </c>
      <c r="U70" s="3"/>
    </row>
    <row r="71" spans="1:21" x14ac:dyDescent="0.25">
      <c r="A71" s="251">
        <v>46063</v>
      </c>
      <c r="B71" s="3" t="s">
        <v>308</v>
      </c>
      <c r="C71" s="3" t="s">
        <v>309</v>
      </c>
      <c r="D71" s="3" t="s">
        <v>12</v>
      </c>
      <c r="E71" s="3" t="s">
        <v>310</v>
      </c>
      <c r="F71" s="3" t="s">
        <v>311</v>
      </c>
      <c r="G71" s="3"/>
      <c r="H71" s="3"/>
      <c r="I71" s="3"/>
      <c r="J71" s="3" t="s">
        <v>1340</v>
      </c>
      <c r="K71" s="3">
        <v>1</v>
      </c>
      <c r="L71" s="5">
        <v>5</v>
      </c>
      <c r="M71" s="7"/>
      <c r="O71" s="3"/>
      <c r="P71" s="3" t="s">
        <v>1473</v>
      </c>
      <c r="Q71" s="3" t="s">
        <v>1474</v>
      </c>
      <c r="R71" s="3" t="s">
        <v>13</v>
      </c>
      <c r="S71" s="3" t="s">
        <v>1475</v>
      </c>
      <c r="T71" s="3" t="s">
        <v>43</v>
      </c>
      <c r="U71" s="3"/>
    </row>
    <row r="72" spans="1:21" ht="15.75" thickBot="1" x14ac:dyDescent="0.3">
      <c r="A72" s="226">
        <v>46063</v>
      </c>
      <c r="B72" s="227" t="s">
        <v>75</v>
      </c>
      <c r="C72" s="227" t="s">
        <v>76</v>
      </c>
      <c r="D72" s="227" t="s">
        <v>12</v>
      </c>
      <c r="E72" s="227" t="s">
        <v>1562</v>
      </c>
      <c r="F72" s="227" t="s">
        <v>1563</v>
      </c>
      <c r="G72" s="227"/>
      <c r="H72" s="227"/>
      <c r="I72" s="227"/>
      <c r="J72" s="227" t="s">
        <v>1340</v>
      </c>
      <c r="K72" s="227">
        <v>1</v>
      </c>
      <c r="L72" s="118">
        <v>17.5</v>
      </c>
      <c r="M72" s="258">
        <f>SUM(L65:L72)</f>
        <v>220</v>
      </c>
      <c r="O72" s="3"/>
      <c r="P72" s="3" t="s">
        <v>1375</v>
      </c>
      <c r="Q72" s="3" t="s">
        <v>1376</v>
      </c>
      <c r="R72" s="3" t="s">
        <v>13</v>
      </c>
      <c r="S72" s="3" t="s">
        <v>1377</v>
      </c>
      <c r="T72" s="3" t="s">
        <v>43</v>
      </c>
      <c r="U72" s="3"/>
    </row>
    <row r="73" spans="1:21" x14ac:dyDescent="0.25">
      <c r="A73" s="251">
        <v>46064</v>
      </c>
      <c r="B73" s="3" t="s">
        <v>1958</v>
      </c>
      <c r="C73" s="3" t="s">
        <v>1959</v>
      </c>
      <c r="D73" s="3" t="s">
        <v>0</v>
      </c>
      <c r="E73" s="3" t="s">
        <v>1960</v>
      </c>
      <c r="F73" s="3" t="s">
        <v>892</v>
      </c>
      <c r="G73" s="199"/>
      <c r="H73" s="199"/>
      <c r="I73" s="199"/>
      <c r="J73" s="199" t="s">
        <v>2689</v>
      </c>
      <c r="K73" s="199">
        <v>5</v>
      </c>
      <c r="L73" s="106">
        <v>25</v>
      </c>
      <c r="O73" s="3"/>
      <c r="P73" s="3" t="s">
        <v>1476</v>
      </c>
      <c r="Q73" s="3" t="s">
        <v>1477</v>
      </c>
      <c r="R73" s="3" t="s">
        <v>13</v>
      </c>
      <c r="S73" s="3" t="s">
        <v>1478</v>
      </c>
      <c r="T73" s="3" t="s">
        <v>43</v>
      </c>
      <c r="U73" s="3"/>
    </row>
    <row r="74" spans="1:21" x14ac:dyDescent="0.25">
      <c r="A74" s="251">
        <v>46064</v>
      </c>
      <c r="B74" s="3" t="s">
        <v>1556</v>
      </c>
      <c r="C74" s="3" t="s">
        <v>1557</v>
      </c>
      <c r="D74" s="3" t="s">
        <v>12</v>
      </c>
      <c r="E74" s="3" t="s">
        <v>1558</v>
      </c>
      <c r="F74" s="3" t="s">
        <v>47</v>
      </c>
      <c r="G74" s="3"/>
      <c r="H74" s="3"/>
      <c r="I74" s="3"/>
      <c r="J74" s="3" t="s">
        <v>2690</v>
      </c>
      <c r="K74" s="3">
        <v>4</v>
      </c>
      <c r="L74" s="5">
        <v>69</v>
      </c>
      <c r="O74" s="3"/>
      <c r="P74" s="3" t="s">
        <v>289</v>
      </c>
      <c r="Q74" s="3" t="s">
        <v>290</v>
      </c>
      <c r="R74" s="3" t="s">
        <v>13</v>
      </c>
      <c r="S74" s="3" t="s">
        <v>291</v>
      </c>
      <c r="T74" s="3" t="s">
        <v>43</v>
      </c>
      <c r="U74" s="3"/>
    </row>
    <row r="75" spans="1:21" x14ac:dyDescent="0.25">
      <c r="A75" s="251">
        <v>46064</v>
      </c>
      <c r="B75" s="3" t="s">
        <v>280</v>
      </c>
      <c r="C75" s="3" t="s">
        <v>281</v>
      </c>
      <c r="D75" s="3" t="s">
        <v>13</v>
      </c>
      <c r="E75" s="3" t="s">
        <v>282</v>
      </c>
      <c r="F75" s="3" t="s">
        <v>43</v>
      </c>
      <c r="G75" s="3"/>
      <c r="H75" s="3"/>
      <c r="I75" s="3"/>
      <c r="J75" s="3" t="s">
        <v>2691</v>
      </c>
      <c r="K75" s="3">
        <v>3</v>
      </c>
      <c r="L75" s="5">
        <v>129.5</v>
      </c>
      <c r="O75" s="3"/>
      <c r="P75" s="3" t="s">
        <v>55</v>
      </c>
      <c r="Q75" s="3" t="s">
        <v>54</v>
      </c>
      <c r="R75" s="3" t="s">
        <v>13</v>
      </c>
      <c r="S75" s="3" t="s">
        <v>53</v>
      </c>
      <c r="T75" s="3" t="s">
        <v>43</v>
      </c>
      <c r="U75" s="3"/>
    </row>
    <row r="76" spans="1:21" x14ac:dyDescent="0.25">
      <c r="A76" s="251">
        <v>46064</v>
      </c>
      <c r="B76" s="3" t="s">
        <v>2008</v>
      </c>
      <c r="C76" s="3" t="s">
        <v>2009</v>
      </c>
      <c r="D76" s="3" t="s">
        <v>0</v>
      </c>
      <c r="E76" s="3" t="s">
        <v>2010</v>
      </c>
      <c r="F76" s="3" t="s">
        <v>86</v>
      </c>
      <c r="G76" s="3"/>
      <c r="H76" s="3"/>
      <c r="I76" s="3"/>
      <c r="J76" s="3" t="s">
        <v>2691</v>
      </c>
      <c r="K76" s="3">
        <v>3</v>
      </c>
      <c r="L76" s="5">
        <v>43.5</v>
      </c>
      <c r="M76" s="7"/>
      <c r="O76" s="3"/>
      <c r="P76" s="3" t="s">
        <v>198</v>
      </c>
      <c r="Q76" s="3" t="s">
        <v>199</v>
      </c>
      <c r="R76" s="3" t="s">
        <v>13</v>
      </c>
      <c r="S76" s="3" t="s">
        <v>2402</v>
      </c>
      <c r="T76" s="3" t="s">
        <v>201</v>
      </c>
      <c r="U76" s="3"/>
    </row>
    <row r="77" spans="1:21" x14ac:dyDescent="0.25">
      <c r="A77" s="251">
        <v>46064</v>
      </c>
      <c r="B77" s="247" t="s">
        <v>1446</v>
      </c>
      <c r="C77" s="247" t="s">
        <v>1447</v>
      </c>
      <c r="D77" s="3" t="s">
        <v>17</v>
      </c>
      <c r="E77" s="247" t="s">
        <v>1448</v>
      </c>
      <c r="F77" s="247" t="s">
        <v>179</v>
      </c>
      <c r="G77" s="3"/>
      <c r="H77" s="3"/>
      <c r="I77" s="3"/>
      <c r="J77" s="3" t="s">
        <v>2691</v>
      </c>
      <c r="K77" s="3">
        <v>3</v>
      </c>
      <c r="L77" s="5">
        <v>17.5</v>
      </c>
      <c r="M77" s="7"/>
      <c r="O77" s="3"/>
      <c r="P77" s="3" t="s">
        <v>292</v>
      </c>
      <c r="Q77" s="3" t="s">
        <v>293</v>
      </c>
      <c r="R77" s="3" t="s">
        <v>13</v>
      </c>
      <c r="S77" s="3" t="s">
        <v>294</v>
      </c>
      <c r="T77" s="3" t="s">
        <v>43</v>
      </c>
      <c r="U77" s="3"/>
    </row>
    <row r="78" spans="1:21" x14ac:dyDescent="0.25">
      <c r="A78" s="251">
        <v>46064</v>
      </c>
      <c r="B78" s="3" t="s">
        <v>1582</v>
      </c>
      <c r="C78" s="3" t="s">
        <v>1583</v>
      </c>
      <c r="D78" s="3" t="s">
        <v>12</v>
      </c>
      <c r="E78" s="3" t="s">
        <v>1584</v>
      </c>
      <c r="F78" s="3" t="s">
        <v>43</v>
      </c>
      <c r="G78" s="3"/>
      <c r="H78" s="3"/>
      <c r="I78" s="3"/>
      <c r="J78" s="3" t="s">
        <v>2691</v>
      </c>
      <c r="K78" s="3">
        <v>3</v>
      </c>
      <c r="L78" s="5">
        <v>25.5</v>
      </c>
      <c r="O78" s="3"/>
      <c r="P78" s="3" t="s">
        <v>1479</v>
      </c>
      <c r="Q78" s="3" t="s">
        <v>1480</v>
      </c>
      <c r="R78" s="3" t="s">
        <v>13</v>
      </c>
      <c r="S78" s="3" t="s">
        <v>1481</v>
      </c>
      <c r="T78" s="3" t="s">
        <v>45</v>
      </c>
      <c r="U78" s="3"/>
    </row>
    <row r="79" spans="1:21" x14ac:dyDescent="0.25">
      <c r="A79" s="251">
        <v>46064</v>
      </c>
      <c r="B79" s="3" t="s">
        <v>1798</v>
      </c>
      <c r="C79" s="3" t="s">
        <v>1799</v>
      </c>
      <c r="D79" s="3" t="s">
        <v>12</v>
      </c>
      <c r="E79" s="3" t="s">
        <v>1448</v>
      </c>
      <c r="F79" s="3" t="s">
        <v>129</v>
      </c>
      <c r="G79" s="3"/>
      <c r="H79" s="3"/>
      <c r="I79" s="3"/>
      <c r="J79" s="3" t="s">
        <v>2691</v>
      </c>
      <c r="K79" s="3">
        <v>3</v>
      </c>
      <c r="L79" s="5">
        <v>15</v>
      </c>
      <c r="M79" s="7"/>
      <c r="O79" s="3"/>
      <c r="P79" s="3" t="s">
        <v>295</v>
      </c>
      <c r="Q79" s="3" t="s">
        <v>296</v>
      </c>
      <c r="R79" s="3" t="s">
        <v>13</v>
      </c>
      <c r="S79" s="3" t="s">
        <v>297</v>
      </c>
      <c r="T79" s="3" t="s">
        <v>43</v>
      </c>
      <c r="U79" s="3"/>
    </row>
    <row r="80" spans="1:21" x14ac:dyDescent="0.25">
      <c r="A80" s="251">
        <v>46064</v>
      </c>
      <c r="B80" s="3" t="s">
        <v>1588</v>
      </c>
      <c r="C80" s="3" t="s">
        <v>1589</v>
      </c>
      <c r="D80" s="3" t="s">
        <v>12</v>
      </c>
      <c r="E80" s="3" t="s">
        <v>1590</v>
      </c>
      <c r="F80" s="3" t="s">
        <v>1591</v>
      </c>
      <c r="G80" s="3"/>
      <c r="H80" s="3"/>
      <c r="I80" s="3"/>
      <c r="J80" s="3" t="s">
        <v>2692</v>
      </c>
      <c r="K80" s="3">
        <v>2</v>
      </c>
      <c r="L80" s="5">
        <v>11.5</v>
      </c>
      <c r="O80" s="3"/>
      <c r="P80" s="3" t="s">
        <v>1482</v>
      </c>
      <c r="Q80" s="3" t="s">
        <v>1483</v>
      </c>
      <c r="R80" s="3" t="s">
        <v>13</v>
      </c>
      <c r="S80" s="3" t="s">
        <v>1484</v>
      </c>
      <c r="T80" s="3" t="s">
        <v>43</v>
      </c>
      <c r="U80" s="3"/>
    </row>
    <row r="81" spans="1:21" x14ac:dyDescent="0.25">
      <c r="A81" s="251">
        <v>46064</v>
      </c>
      <c r="B81" s="3" t="s">
        <v>488</v>
      </c>
      <c r="C81" s="3" t="s">
        <v>489</v>
      </c>
      <c r="D81" s="3" t="s">
        <v>12</v>
      </c>
      <c r="E81" s="3" t="s">
        <v>490</v>
      </c>
      <c r="F81" s="3" t="s">
        <v>93</v>
      </c>
      <c r="G81" s="3"/>
      <c r="H81" s="3"/>
      <c r="I81" s="3"/>
      <c r="J81" s="3" t="s">
        <v>2692</v>
      </c>
      <c r="K81" s="3">
        <v>2</v>
      </c>
      <c r="L81" s="5">
        <v>31</v>
      </c>
      <c r="O81" s="3"/>
      <c r="P81" s="3" t="s">
        <v>298</v>
      </c>
      <c r="Q81" s="3" t="s">
        <v>299</v>
      </c>
      <c r="R81" s="3" t="s">
        <v>13</v>
      </c>
      <c r="S81" s="3" t="s">
        <v>300</v>
      </c>
      <c r="T81" s="3" t="s">
        <v>43</v>
      </c>
      <c r="U81" s="3"/>
    </row>
    <row r="82" spans="1:21" x14ac:dyDescent="0.25">
      <c r="A82" s="251">
        <v>46064</v>
      </c>
      <c r="B82" s="3" t="s">
        <v>226</v>
      </c>
      <c r="C82" s="3" t="s">
        <v>227</v>
      </c>
      <c r="D82" s="3" t="s">
        <v>13</v>
      </c>
      <c r="E82" s="3" t="s">
        <v>228</v>
      </c>
      <c r="F82" s="3" t="s">
        <v>43</v>
      </c>
      <c r="G82" s="3"/>
      <c r="H82" s="3"/>
      <c r="I82" s="3"/>
      <c r="J82" s="3" t="s">
        <v>2692</v>
      </c>
      <c r="K82" s="3">
        <v>2</v>
      </c>
      <c r="L82" s="5">
        <v>40</v>
      </c>
      <c r="O82" s="3"/>
      <c r="P82" s="3" t="s">
        <v>1485</v>
      </c>
      <c r="Q82" s="3" t="s">
        <v>1486</v>
      </c>
      <c r="R82" s="3" t="s">
        <v>13</v>
      </c>
      <c r="S82" s="3" t="s">
        <v>1487</v>
      </c>
      <c r="T82" s="3" t="s">
        <v>219</v>
      </c>
      <c r="U82" s="3"/>
    </row>
    <row r="83" spans="1:21" x14ac:dyDescent="0.25">
      <c r="A83" s="251">
        <v>46064</v>
      </c>
      <c r="B83" s="3" t="s">
        <v>379</v>
      </c>
      <c r="C83" s="3" t="s">
        <v>380</v>
      </c>
      <c r="D83" s="3" t="s">
        <v>12</v>
      </c>
      <c r="E83" s="3" t="s">
        <v>381</v>
      </c>
      <c r="F83" s="3" t="s">
        <v>311</v>
      </c>
      <c r="G83" s="3"/>
      <c r="H83" s="3"/>
      <c r="I83" s="5"/>
      <c r="J83" s="3" t="s">
        <v>2692</v>
      </c>
      <c r="K83" s="3">
        <v>2</v>
      </c>
      <c r="L83" s="5">
        <v>35</v>
      </c>
      <c r="M83" s="7"/>
      <c r="O83" s="3"/>
      <c r="P83" s="3" t="s">
        <v>1488</v>
      </c>
      <c r="Q83" s="3" t="s">
        <v>1489</v>
      </c>
      <c r="R83" s="3" t="s">
        <v>12</v>
      </c>
      <c r="S83" s="3" t="s">
        <v>1490</v>
      </c>
      <c r="T83" s="3" t="s">
        <v>47</v>
      </c>
      <c r="U83" s="3"/>
    </row>
    <row r="84" spans="1:21" x14ac:dyDescent="0.25">
      <c r="A84" s="251">
        <v>46064</v>
      </c>
      <c r="B84" s="3" t="s">
        <v>988</v>
      </c>
      <c r="C84" s="3" t="s">
        <v>989</v>
      </c>
      <c r="D84" s="3" t="s">
        <v>0</v>
      </c>
      <c r="E84" s="3" t="s">
        <v>990</v>
      </c>
      <c r="F84" s="3" t="s">
        <v>33</v>
      </c>
      <c r="G84" s="3"/>
      <c r="H84" s="3"/>
      <c r="I84" s="3"/>
      <c r="J84" s="3" t="s">
        <v>2692</v>
      </c>
      <c r="K84" s="3">
        <v>2</v>
      </c>
      <c r="L84" s="5">
        <v>37</v>
      </c>
      <c r="O84" s="3"/>
      <c r="P84" s="3" t="s">
        <v>301</v>
      </c>
      <c r="Q84" s="3" t="s">
        <v>302</v>
      </c>
      <c r="R84" s="3" t="s">
        <v>12</v>
      </c>
      <c r="S84" s="3" t="s">
        <v>303</v>
      </c>
      <c r="T84" s="3" t="s">
        <v>304</v>
      </c>
      <c r="U84" s="3"/>
    </row>
    <row r="85" spans="1:21" x14ac:dyDescent="0.25">
      <c r="A85" s="251">
        <v>46064</v>
      </c>
      <c r="B85" s="3" t="s">
        <v>1063</v>
      </c>
      <c r="C85" s="3" t="s">
        <v>1064</v>
      </c>
      <c r="D85" s="3" t="s">
        <v>0</v>
      </c>
      <c r="E85" s="3" t="s">
        <v>1065</v>
      </c>
      <c r="F85" s="3" t="s">
        <v>1066</v>
      </c>
      <c r="G85" s="3"/>
      <c r="H85" s="3"/>
      <c r="I85" s="3"/>
      <c r="J85" s="3" t="s">
        <v>145</v>
      </c>
      <c r="K85" s="3">
        <v>1</v>
      </c>
      <c r="L85" s="5">
        <v>20.5</v>
      </c>
      <c r="O85" s="3"/>
      <c r="P85" s="3" t="s">
        <v>305</v>
      </c>
      <c r="Q85" s="3" t="s">
        <v>306</v>
      </c>
      <c r="R85" s="3" t="s">
        <v>12</v>
      </c>
      <c r="S85" s="3" t="s">
        <v>303</v>
      </c>
      <c r="T85" s="3" t="s">
        <v>307</v>
      </c>
      <c r="U85" s="3"/>
    </row>
    <row r="86" spans="1:21" x14ac:dyDescent="0.25">
      <c r="A86" s="251">
        <v>46064</v>
      </c>
      <c r="B86" s="3" t="s">
        <v>570</v>
      </c>
      <c r="C86" s="3" t="s">
        <v>571</v>
      </c>
      <c r="D86" s="3" t="s">
        <v>12</v>
      </c>
      <c r="E86" s="3" t="s">
        <v>572</v>
      </c>
      <c r="F86" s="3" t="s">
        <v>129</v>
      </c>
      <c r="G86" s="3"/>
      <c r="H86" s="3"/>
      <c r="I86" s="3"/>
      <c r="J86" s="3" t="s">
        <v>2688</v>
      </c>
      <c r="K86" s="3">
        <v>1</v>
      </c>
      <c r="L86" s="5">
        <v>12.5</v>
      </c>
      <c r="M86" s="7"/>
      <c r="O86" s="3"/>
      <c r="P86" s="3" t="s">
        <v>308</v>
      </c>
      <c r="Q86" s="3" t="s">
        <v>309</v>
      </c>
      <c r="R86" s="3" t="s">
        <v>12</v>
      </c>
      <c r="S86" s="3" t="s">
        <v>310</v>
      </c>
      <c r="T86" s="3" t="s">
        <v>311</v>
      </c>
      <c r="U86" s="3"/>
    </row>
    <row r="87" spans="1:21" x14ac:dyDescent="0.25">
      <c r="A87" s="251">
        <v>46064</v>
      </c>
      <c r="B87" s="3" t="s">
        <v>235</v>
      </c>
      <c r="C87" s="3" t="s">
        <v>236</v>
      </c>
      <c r="D87" s="3" t="s">
        <v>13</v>
      </c>
      <c r="E87" s="3" t="s">
        <v>237</v>
      </c>
      <c r="F87" s="3" t="s">
        <v>43</v>
      </c>
      <c r="G87" s="3"/>
      <c r="H87" s="3"/>
      <c r="I87" s="3"/>
      <c r="J87" s="3" t="s">
        <v>2688</v>
      </c>
      <c r="K87" s="3">
        <v>1</v>
      </c>
      <c r="L87" s="5">
        <v>15.5</v>
      </c>
      <c r="M87" s="7"/>
      <c r="N87" t="s">
        <v>2443</v>
      </c>
      <c r="O87" s="3"/>
      <c r="P87" s="3" t="s">
        <v>312</v>
      </c>
      <c r="Q87" s="3" t="s">
        <v>313</v>
      </c>
      <c r="R87" s="3" t="s">
        <v>12</v>
      </c>
      <c r="S87" s="3" t="s">
        <v>314</v>
      </c>
      <c r="T87" s="3" t="s">
        <v>315</v>
      </c>
      <c r="U87" s="3"/>
    </row>
    <row r="88" spans="1:21" x14ac:dyDescent="0.25">
      <c r="A88" s="251">
        <v>46064</v>
      </c>
      <c r="B88" s="3" t="s">
        <v>1159</v>
      </c>
      <c r="C88" s="3" t="s">
        <v>1160</v>
      </c>
      <c r="D88" s="3" t="s">
        <v>0</v>
      </c>
      <c r="E88" s="3" t="s">
        <v>1161</v>
      </c>
      <c r="F88" s="3" t="s">
        <v>1162</v>
      </c>
      <c r="G88" s="3"/>
      <c r="H88" s="3"/>
      <c r="I88" s="3"/>
      <c r="J88" s="3" t="s">
        <v>2688</v>
      </c>
      <c r="K88" s="3">
        <v>1</v>
      </c>
      <c r="L88" s="5">
        <v>14.5</v>
      </c>
      <c r="M88" s="7"/>
      <c r="O88" s="3"/>
      <c r="P88" s="3" t="s">
        <v>1491</v>
      </c>
      <c r="Q88" s="3" t="s">
        <v>1492</v>
      </c>
      <c r="R88" s="3" t="s">
        <v>12</v>
      </c>
      <c r="S88" s="3" t="s">
        <v>1493</v>
      </c>
      <c r="T88" s="3" t="s">
        <v>201</v>
      </c>
      <c r="U88" s="3"/>
    </row>
    <row r="89" spans="1:21" x14ac:dyDescent="0.25">
      <c r="A89" s="251">
        <v>46064</v>
      </c>
      <c r="B89" s="3" t="s">
        <v>827</v>
      </c>
      <c r="C89" s="3" t="s">
        <v>828</v>
      </c>
      <c r="D89" s="3" t="s">
        <v>14</v>
      </c>
      <c r="E89" s="3" t="s">
        <v>829</v>
      </c>
      <c r="F89" s="3" t="s">
        <v>32</v>
      </c>
      <c r="G89" s="3"/>
      <c r="H89" s="3"/>
      <c r="I89" s="3"/>
      <c r="J89" s="3" t="s">
        <v>2688</v>
      </c>
      <c r="K89" s="3">
        <v>1</v>
      </c>
      <c r="L89" s="5">
        <v>5</v>
      </c>
      <c r="O89" s="3"/>
      <c r="P89" s="3" t="s">
        <v>316</v>
      </c>
      <c r="Q89" s="3" t="s">
        <v>317</v>
      </c>
      <c r="R89" s="3" t="s">
        <v>12</v>
      </c>
      <c r="S89" s="3" t="s">
        <v>318</v>
      </c>
      <c r="T89" s="3" t="s">
        <v>43</v>
      </c>
      <c r="U89" s="3"/>
    </row>
    <row r="90" spans="1:21" ht="15.75" thickBot="1" x14ac:dyDescent="0.3">
      <c r="A90" s="226">
        <v>46064</v>
      </c>
      <c r="B90" s="227" t="s">
        <v>706</v>
      </c>
      <c r="C90" s="227" t="s">
        <v>707</v>
      </c>
      <c r="D90" s="227" t="s">
        <v>12</v>
      </c>
      <c r="E90" s="227" t="s">
        <v>708</v>
      </c>
      <c r="F90" s="227" t="s">
        <v>43</v>
      </c>
      <c r="G90" s="227"/>
      <c r="H90" s="227"/>
      <c r="I90" s="227"/>
      <c r="J90" s="227" t="s">
        <v>2688</v>
      </c>
      <c r="K90" s="227">
        <v>1</v>
      </c>
      <c r="L90" s="118">
        <v>5</v>
      </c>
      <c r="M90" s="258">
        <f>SUM(L73:L90)</f>
        <v>552.5</v>
      </c>
      <c r="O90" s="3"/>
      <c r="P90" s="3" t="s">
        <v>1494</v>
      </c>
      <c r="Q90" s="3" t="s">
        <v>1495</v>
      </c>
      <c r="R90" s="3" t="s">
        <v>12</v>
      </c>
      <c r="S90" s="3" t="s">
        <v>1496</v>
      </c>
      <c r="T90" s="3" t="s">
        <v>43</v>
      </c>
      <c r="U90" s="3"/>
    </row>
    <row r="91" spans="1:21" x14ac:dyDescent="0.25">
      <c r="A91" s="251">
        <v>46065</v>
      </c>
      <c r="B91" s="3" t="s">
        <v>586</v>
      </c>
      <c r="C91" s="3" t="s">
        <v>587</v>
      </c>
      <c r="D91" s="3" t="s">
        <v>12</v>
      </c>
      <c r="E91" s="3" t="s">
        <v>588</v>
      </c>
      <c r="F91" s="3" t="s">
        <v>46</v>
      </c>
      <c r="G91" s="199"/>
      <c r="H91" s="199"/>
      <c r="I91" s="199"/>
      <c r="J91" s="199" t="s">
        <v>2689</v>
      </c>
      <c r="K91" s="199">
        <v>5</v>
      </c>
      <c r="L91" s="106">
        <v>165.5</v>
      </c>
      <c r="O91" s="3"/>
      <c r="P91" s="3" t="s">
        <v>165</v>
      </c>
      <c r="Q91" s="3" t="s">
        <v>166</v>
      </c>
      <c r="R91" s="3" t="s">
        <v>12</v>
      </c>
      <c r="S91" s="3" t="s">
        <v>167</v>
      </c>
      <c r="T91" s="3" t="s">
        <v>319</v>
      </c>
      <c r="U91" s="3"/>
    </row>
    <row r="92" spans="1:21" x14ac:dyDescent="0.25">
      <c r="A92" s="220">
        <v>46065</v>
      </c>
      <c r="B92" s="3" t="s">
        <v>1729</v>
      </c>
      <c r="C92" s="3" t="s">
        <v>1730</v>
      </c>
      <c r="D92" s="3" t="s">
        <v>12</v>
      </c>
      <c r="E92" s="3" t="s">
        <v>1731</v>
      </c>
      <c r="F92" s="3" t="s">
        <v>311</v>
      </c>
      <c r="G92" s="3"/>
      <c r="H92" s="3"/>
      <c r="I92" s="3"/>
      <c r="J92" s="3" t="s">
        <v>2693</v>
      </c>
      <c r="K92" s="3">
        <v>5</v>
      </c>
      <c r="L92" s="5">
        <v>97.5</v>
      </c>
      <c r="O92" s="3"/>
      <c r="P92" s="3" t="s">
        <v>320</v>
      </c>
      <c r="Q92" s="3" t="s">
        <v>2444</v>
      </c>
      <c r="R92" s="3" t="s">
        <v>12</v>
      </c>
      <c r="S92" s="3" t="s">
        <v>322</v>
      </c>
      <c r="T92" s="3" t="s">
        <v>43</v>
      </c>
      <c r="U92" s="3"/>
    </row>
    <row r="93" spans="1:21" x14ac:dyDescent="0.25">
      <c r="A93" s="220">
        <v>46065</v>
      </c>
      <c r="B93" s="3" t="s">
        <v>183</v>
      </c>
      <c r="C93" s="3" t="s">
        <v>184</v>
      </c>
      <c r="D93" s="3" t="s">
        <v>13</v>
      </c>
      <c r="E93" s="3" t="s">
        <v>185</v>
      </c>
      <c r="F93" s="3" t="s">
        <v>43</v>
      </c>
      <c r="G93" s="3"/>
      <c r="H93" s="3"/>
      <c r="I93" s="3"/>
      <c r="J93" s="3" t="s">
        <v>2694</v>
      </c>
      <c r="K93" s="3">
        <v>4</v>
      </c>
      <c r="L93" s="5">
        <v>20</v>
      </c>
      <c r="M93" s="7"/>
      <c r="O93" s="3"/>
      <c r="P93" s="3" t="s">
        <v>323</v>
      </c>
      <c r="Q93" s="3" t="s">
        <v>324</v>
      </c>
      <c r="R93" s="3" t="s">
        <v>12</v>
      </c>
      <c r="S93" s="3" t="s">
        <v>325</v>
      </c>
      <c r="T93" s="3" t="s">
        <v>326</v>
      </c>
      <c r="U93" s="3"/>
    </row>
    <row r="94" spans="1:21" x14ac:dyDescent="0.25">
      <c r="A94" s="220">
        <v>46065</v>
      </c>
      <c r="B94" s="3" t="s">
        <v>2434</v>
      </c>
      <c r="C94" s="3" t="s">
        <v>2435</v>
      </c>
      <c r="D94" s="3" t="s">
        <v>0</v>
      </c>
      <c r="E94" s="3" t="s">
        <v>2439</v>
      </c>
      <c r="F94" s="3" t="s">
        <v>1307</v>
      </c>
      <c r="G94" s="3"/>
      <c r="H94" s="3"/>
      <c r="I94" s="3"/>
      <c r="J94" s="3" t="s">
        <v>2630</v>
      </c>
      <c r="K94" s="3">
        <v>4</v>
      </c>
      <c r="L94" s="5">
        <v>53</v>
      </c>
      <c r="M94" s="7"/>
      <c r="O94" s="3"/>
      <c r="P94" s="3" t="s">
        <v>2074</v>
      </c>
      <c r="Q94" s="3" t="s">
        <v>2075</v>
      </c>
      <c r="R94" s="3" t="s">
        <v>12</v>
      </c>
      <c r="S94" s="3" t="s">
        <v>2076</v>
      </c>
      <c r="T94" s="3" t="s">
        <v>327</v>
      </c>
      <c r="U94" s="3"/>
    </row>
    <row r="95" spans="1:21" x14ac:dyDescent="0.25">
      <c r="A95" s="220">
        <v>46065</v>
      </c>
      <c r="B95" s="3" t="s">
        <v>1458</v>
      </c>
      <c r="C95" s="3" t="s">
        <v>1459</v>
      </c>
      <c r="D95" s="3" t="s">
        <v>13</v>
      </c>
      <c r="E95" s="3" t="s">
        <v>1460</v>
      </c>
      <c r="F95" s="3" t="s">
        <v>43</v>
      </c>
      <c r="G95" s="3"/>
      <c r="H95" s="3"/>
      <c r="I95" s="3"/>
      <c r="J95" s="3" t="s">
        <v>2691</v>
      </c>
      <c r="K95" s="3">
        <v>3</v>
      </c>
      <c r="L95" s="5">
        <v>31.5</v>
      </c>
      <c r="M95" s="7"/>
      <c r="O95" s="3"/>
      <c r="P95" s="3" t="s">
        <v>1497</v>
      </c>
      <c r="Q95" s="3" t="s">
        <v>1498</v>
      </c>
      <c r="R95" s="3" t="s">
        <v>12</v>
      </c>
      <c r="S95" s="3" t="s">
        <v>1499</v>
      </c>
      <c r="T95" s="3" t="s">
        <v>47</v>
      </c>
      <c r="U95" s="3"/>
    </row>
    <row r="96" spans="1:21" x14ac:dyDescent="0.25">
      <c r="A96" s="220">
        <v>46065</v>
      </c>
      <c r="B96" s="3" t="s">
        <v>560</v>
      </c>
      <c r="C96" s="3" t="s">
        <v>561</v>
      </c>
      <c r="D96" s="3" t="s">
        <v>12</v>
      </c>
      <c r="E96" s="3" t="s">
        <v>562</v>
      </c>
      <c r="F96" s="3" t="s">
        <v>327</v>
      </c>
      <c r="G96" s="3"/>
      <c r="H96" s="3"/>
      <c r="I96" s="3"/>
      <c r="J96" s="3" t="s">
        <v>2691</v>
      </c>
      <c r="K96" s="3">
        <v>3</v>
      </c>
      <c r="L96" s="5">
        <v>81.5</v>
      </c>
      <c r="M96" s="7"/>
      <c r="O96" s="3"/>
      <c r="P96" s="3" t="s">
        <v>1500</v>
      </c>
      <c r="Q96" s="3" t="s">
        <v>1501</v>
      </c>
      <c r="R96" s="3" t="s">
        <v>12</v>
      </c>
      <c r="S96" s="3" t="s">
        <v>1502</v>
      </c>
      <c r="T96" s="3" t="s">
        <v>43</v>
      </c>
      <c r="U96" s="3"/>
    </row>
    <row r="97" spans="1:21" x14ac:dyDescent="0.25">
      <c r="A97" s="220">
        <v>46065</v>
      </c>
      <c r="B97" s="3" t="s">
        <v>1759</v>
      </c>
      <c r="C97" s="3" t="s">
        <v>1760</v>
      </c>
      <c r="D97" s="3" t="s">
        <v>12</v>
      </c>
      <c r="E97" s="3" t="s">
        <v>1761</v>
      </c>
      <c r="F97" s="3" t="s">
        <v>327</v>
      </c>
      <c r="G97" s="3"/>
      <c r="H97" s="3"/>
      <c r="I97" s="3"/>
      <c r="J97" s="3" t="s">
        <v>2691</v>
      </c>
      <c r="K97" s="3">
        <v>3</v>
      </c>
      <c r="L97" s="5">
        <v>15</v>
      </c>
      <c r="M97" s="7"/>
      <c r="O97" s="3"/>
      <c r="P97" s="3" t="s">
        <v>123</v>
      </c>
      <c r="Q97" s="3" t="s">
        <v>124</v>
      </c>
      <c r="R97" s="3" t="s">
        <v>12</v>
      </c>
      <c r="S97" s="3" t="s">
        <v>125</v>
      </c>
      <c r="T97" s="3" t="s">
        <v>46</v>
      </c>
      <c r="U97" s="3"/>
    </row>
    <row r="98" spans="1:21" x14ac:dyDescent="0.25">
      <c r="A98" s="220">
        <v>46065</v>
      </c>
      <c r="B98" s="3" t="s">
        <v>713</v>
      </c>
      <c r="C98" s="3" t="s">
        <v>714</v>
      </c>
      <c r="D98" s="3" t="s">
        <v>12</v>
      </c>
      <c r="E98" s="3" t="s">
        <v>715</v>
      </c>
      <c r="F98" s="3" t="s">
        <v>664</v>
      </c>
      <c r="G98" s="3"/>
      <c r="H98" s="3"/>
      <c r="I98" s="3"/>
      <c r="J98" s="3" t="s">
        <v>2692</v>
      </c>
      <c r="K98" s="3">
        <v>2</v>
      </c>
      <c r="L98" s="5">
        <v>61</v>
      </c>
      <c r="M98" s="7"/>
      <c r="O98" s="3"/>
      <c r="P98" s="3" t="s">
        <v>1503</v>
      </c>
      <c r="Q98" s="3" t="s">
        <v>1504</v>
      </c>
      <c r="R98" s="3" t="s">
        <v>12</v>
      </c>
      <c r="S98" s="3" t="s">
        <v>1505</v>
      </c>
      <c r="T98" s="3" t="s">
        <v>43</v>
      </c>
      <c r="U98" s="3"/>
    </row>
    <row r="99" spans="1:21" x14ac:dyDescent="0.25">
      <c r="A99" s="220">
        <v>46065</v>
      </c>
      <c r="B99" s="3" t="s">
        <v>1077</v>
      </c>
      <c r="C99" s="3" t="s">
        <v>1078</v>
      </c>
      <c r="D99" s="3" t="s">
        <v>0</v>
      </c>
      <c r="E99" s="3" t="s">
        <v>1079</v>
      </c>
      <c r="F99" s="3" t="s">
        <v>33</v>
      </c>
      <c r="G99" s="3"/>
      <c r="H99" s="3"/>
      <c r="I99" s="3"/>
      <c r="J99" s="3" t="s">
        <v>2688</v>
      </c>
      <c r="K99" s="3">
        <v>1</v>
      </c>
      <c r="L99" s="5">
        <v>5</v>
      </c>
      <c r="M99" s="7"/>
      <c r="O99" s="3"/>
      <c r="P99" s="3"/>
      <c r="Q99" s="3"/>
      <c r="R99" s="3"/>
      <c r="S99" s="3"/>
      <c r="T99" s="3"/>
      <c r="U99" s="3"/>
    </row>
    <row r="100" spans="1:21" x14ac:dyDescent="0.25">
      <c r="A100" s="220">
        <v>46065</v>
      </c>
      <c r="B100" s="3" t="s">
        <v>677</v>
      </c>
      <c r="C100" s="3" t="s">
        <v>678</v>
      </c>
      <c r="D100" s="3" t="s">
        <v>12</v>
      </c>
      <c r="E100" s="3" t="s">
        <v>679</v>
      </c>
      <c r="F100" s="3" t="s">
        <v>327</v>
      </c>
      <c r="G100" s="3"/>
      <c r="H100" s="3"/>
      <c r="I100" s="3"/>
      <c r="J100" s="3" t="s">
        <v>2688</v>
      </c>
      <c r="K100" s="3">
        <v>1</v>
      </c>
      <c r="L100" s="5">
        <v>5</v>
      </c>
      <c r="M100" s="7"/>
      <c r="O100" s="3"/>
      <c r="P100" s="3" t="s">
        <v>328</v>
      </c>
      <c r="Q100" s="3" t="s">
        <v>329</v>
      </c>
      <c r="R100" s="3" t="s">
        <v>12</v>
      </c>
      <c r="S100" s="3" t="s">
        <v>330</v>
      </c>
      <c r="T100" s="3" t="s">
        <v>46</v>
      </c>
      <c r="U100" s="3"/>
    </row>
    <row r="101" spans="1:21" ht="15.75" thickBot="1" x14ac:dyDescent="0.3">
      <c r="A101" s="226">
        <v>46065</v>
      </c>
      <c r="B101" s="227" t="s">
        <v>641</v>
      </c>
      <c r="C101" s="227" t="s">
        <v>642</v>
      </c>
      <c r="D101" s="227" t="s">
        <v>12</v>
      </c>
      <c r="E101" s="227" t="s">
        <v>643</v>
      </c>
      <c r="F101" s="227" t="s">
        <v>49</v>
      </c>
      <c r="G101" s="227"/>
      <c r="H101" s="227"/>
      <c r="I101" s="227"/>
      <c r="J101" s="227" t="s">
        <v>2688</v>
      </c>
      <c r="K101" s="227">
        <v>1</v>
      </c>
      <c r="L101" s="118">
        <v>23.5</v>
      </c>
      <c r="M101" s="258">
        <f>SUM(L91:L101)</f>
        <v>558.5</v>
      </c>
      <c r="O101" s="3"/>
      <c r="P101" s="3" t="s">
        <v>331</v>
      </c>
      <c r="Q101" s="3" t="s">
        <v>332</v>
      </c>
      <c r="R101" s="3" t="s">
        <v>12</v>
      </c>
      <c r="S101" s="3" t="s">
        <v>333</v>
      </c>
      <c r="T101" s="3" t="s">
        <v>46</v>
      </c>
      <c r="U101" s="3"/>
    </row>
    <row r="102" spans="1:21" x14ac:dyDescent="0.25">
      <c r="A102" s="251">
        <v>46066</v>
      </c>
      <c r="B102" s="3" t="s">
        <v>2051</v>
      </c>
      <c r="C102" s="3" t="s">
        <v>2052</v>
      </c>
      <c r="D102" s="3" t="s">
        <v>0</v>
      </c>
      <c r="E102" s="3" t="s">
        <v>2053</v>
      </c>
      <c r="F102" s="3" t="s">
        <v>896</v>
      </c>
      <c r="G102" s="199"/>
      <c r="H102" s="199"/>
      <c r="I102" s="199"/>
      <c r="J102" s="199" t="s">
        <v>2689</v>
      </c>
      <c r="K102" s="199">
        <v>5</v>
      </c>
      <c r="L102" s="106">
        <v>119.5</v>
      </c>
      <c r="M102" s="7"/>
      <c r="O102" s="3"/>
      <c r="P102" s="3" t="s">
        <v>334</v>
      </c>
      <c r="Q102" s="3" t="s">
        <v>335</v>
      </c>
      <c r="R102" s="3" t="s">
        <v>12</v>
      </c>
      <c r="S102" s="3" t="s">
        <v>333</v>
      </c>
      <c r="T102" s="3" t="s">
        <v>336</v>
      </c>
      <c r="U102" s="3"/>
    </row>
    <row r="103" spans="1:21" x14ac:dyDescent="0.25">
      <c r="A103" s="251">
        <v>46066</v>
      </c>
      <c r="B103" s="3" t="s">
        <v>854</v>
      </c>
      <c r="C103" s="3" t="s">
        <v>855</v>
      </c>
      <c r="D103" s="3" t="s">
        <v>14</v>
      </c>
      <c r="E103" s="3" t="s">
        <v>856</v>
      </c>
      <c r="F103" s="3" t="s">
        <v>32</v>
      </c>
      <c r="G103" s="3"/>
      <c r="H103" s="3"/>
      <c r="I103" s="3"/>
      <c r="J103" s="3" t="s">
        <v>2691</v>
      </c>
      <c r="K103" s="3">
        <v>3</v>
      </c>
      <c r="L103" s="5">
        <v>61.5</v>
      </c>
      <c r="M103" s="7"/>
      <c r="O103" s="3"/>
      <c r="P103" s="3" t="s">
        <v>337</v>
      </c>
      <c r="Q103" s="3" t="s">
        <v>338</v>
      </c>
      <c r="R103" s="3" t="s">
        <v>12</v>
      </c>
      <c r="S103" s="3" t="s">
        <v>339</v>
      </c>
      <c r="T103" s="3" t="s">
        <v>46</v>
      </c>
      <c r="U103" s="3"/>
    </row>
    <row r="104" spans="1:21" x14ac:dyDescent="0.25">
      <c r="A104" s="251">
        <v>46066</v>
      </c>
      <c r="B104" s="3" t="s">
        <v>1933</v>
      </c>
      <c r="C104" s="3" t="s">
        <v>1934</v>
      </c>
      <c r="D104" s="3" t="s">
        <v>0</v>
      </c>
      <c r="E104" s="3" t="s">
        <v>1935</v>
      </c>
      <c r="F104" s="3" t="s">
        <v>39</v>
      </c>
      <c r="G104" s="3"/>
      <c r="H104" s="3"/>
      <c r="I104" s="3"/>
      <c r="J104" s="3" t="s">
        <v>2691</v>
      </c>
      <c r="K104" s="3">
        <v>3</v>
      </c>
      <c r="L104" s="5">
        <v>15</v>
      </c>
      <c r="O104" s="3"/>
      <c r="P104" s="3" t="s">
        <v>1506</v>
      </c>
      <c r="Q104" s="3" t="s">
        <v>1507</v>
      </c>
      <c r="R104" s="3" t="s">
        <v>12</v>
      </c>
      <c r="S104" s="3" t="s">
        <v>1508</v>
      </c>
      <c r="T104" s="3" t="s">
        <v>340</v>
      </c>
      <c r="U104" s="3"/>
    </row>
    <row r="105" spans="1:21" x14ac:dyDescent="0.25">
      <c r="A105" s="251">
        <v>46066</v>
      </c>
      <c r="B105" s="3" t="s">
        <v>1895</v>
      </c>
      <c r="C105" s="3" t="s">
        <v>1896</v>
      </c>
      <c r="D105" s="3" t="s">
        <v>0</v>
      </c>
      <c r="E105" s="3" t="s">
        <v>1897</v>
      </c>
      <c r="F105" s="3" t="s">
        <v>911</v>
      </c>
      <c r="G105" s="3"/>
      <c r="H105" s="3"/>
      <c r="I105" s="3"/>
      <c r="J105" s="3" t="s">
        <v>2691</v>
      </c>
      <c r="K105" s="3">
        <v>3</v>
      </c>
      <c r="L105" s="5">
        <v>99.5</v>
      </c>
      <c r="M105" s="7"/>
      <c r="O105" s="3"/>
      <c r="P105" s="3" t="s">
        <v>341</v>
      </c>
      <c r="Q105" s="3" t="s">
        <v>342</v>
      </c>
      <c r="R105" s="3" t="s">
        <v>12</v>
      </c>
      <c r="S105" s="3" t="s">
        <v>343</v>
      </c>
      <c r="T105" s="3" t="s">
        <v>93</v>
      </c>
      <c r="U105" s="3"/>
    </row>
    <row r="106" spans="1:21" x14ac:dyDescent="0.25">
      <c r="A106" s="251">
        <v>46066</v>
      </c>
      <c r="B106" s="3" t="s">
        <v>1074</v>
      </c>
      <c r="C106" s="3" t="s">
        <v>1075</v>
      </c>
      <c r="D106" s="3" t="s">
        <v>0</v>
      </c>
      <c r="E106" s="3" t="s">
        <v>1076</v>
      </c>
      <c r="F106" s="3" t="s">
        <v>39</v>
      </c>
      <c r="G106" s="3"/>
      <c r="H106" s="3"/>
      <c r="I106" s="3"/>
      <c r="J106" s="3" t="s">
        <v>2692</v>
      </c>
      <c r="K106" s="3">
        <v>2</v>
      </c>
      <c r="L106" s="5">
        <v>28</v>
      </c>
      <c r="O106" s="3"/>
      <c r="P106" s="3" t="s">
        <v>344</v>
      </c>
      <c r="Q106" s="3" t="s">
        <v>345</v>
      </c>
      <c r="R106" s="3" t="s">
        <v>12</v>
      </c>
      <c r="S106" s="3" t="s">
        <v>346</v>
      </c>
      <c r="T106" s="3" t="s">
        <v>150</v>
      </c>
      <c r="U106" s="3"/>
    </row>
    <row r="107" spans="1:21" x14ac:dyDescent="0.25">
      <c r="A107" s="251">
        <v>46066</v>
      </c>
      <c r="B107" s="3" t="s">
        <v>1961</v>
      </c>
      <c r="C107" s="3" t="s">
        <v>1962</v>
      </c>
      <c r="D107" s="3" t="s">
        <v>0</v>
      </c>
      <c r="E107" s="3" t="s">
        <v>1963</v>
      </c>
      <c r="F107" s="3" t="s">
        <v>1016</v>
      </c>
      <c r="G107" s="3"/>
      <c r="H107" s="3"/>
      <c r="I107" s="3"/>
      <c r="J107" s="3" t="s">
        <v>2692</v>
      </c>
      <c r="K107" s="3">
        <v>2</v>
      </c>
      <c r="L107" s="5">
        <v>12.5</v>
      </c>
      <c r="O107" s="3"/>
      <c r="P107" s="3" t="s">
        <v>347</v>
      </c>
      <c r="Q107" s="3" t="s">
        <v>348</v>
      </c>
      <c r="R107" s="3" t="s">
        <v>12</v>
      </c>
      <c r="S107" s="3" t="s">
        <v>349</v>
      </c>
      <c r="T107" s="3" t="s">
        <v>46</v>
      </c>
      <c r="U107" s="3"/>
    </row>
    <row r="108" spans="1:21" x14ac:dyDescent="0.25">
      <c r="A108" s="251">
        <v>46066</v>
      </c>
      <c r="B108" s="3" t="s">
        <v>1970</v>
      </c>
      <c r="C108" s="3" t="s">
        <v>1971</v>
      </c>
      <c r="D108" s="3" t="s">
        <v>0</v>
      </c>
      <c r="E108" s="3" t="s">
        <v>1972</v>
      </c>
      <c r="F108" s="3" t="s">
        <v>39</v>
      </c>
      <c r="G108" s="3"/>
      <c r="H108" s="3"/>
      <c r="I108" s="3"/>
      <c r="J108" s="3" t="s">
        <v>2692</v>
      </c>
      <c r="K108" s="3">
        <v>2</v>
      </c>
      <c r="L108" s="5">
        <v>26.5</v>
      </c>
      <c r="M108" s="7"/>
      <c r="O108" s="3"/>
      <c r="P108" s="3" t="s">
        <v>350</v>
      </c>
      <c r="Q108" s="3" t="s">
        <v>351</v>
      </c>
      <c r="R108" s="3" t="s">
        <v>12</v>
      </c>
      <c r="S108" s="3" t="s">
        <v>352</v>
      </c>
      <c r="T108" s="3" t="s">
        <v>43</v>
      </c>
      <c r="U108" s="3"/>
    </row>
    <row r="109" spans="1:21" x14ac:dyDescent="0.25">
      <c r="A109" s="251">
        <v>46066</v>
      </c>
      <c r="B109" s="3" t="s">
        <v>453</v>
      </c>
      <c r="C109" s="3" t="s">
        <v>454</v>
      </c>
      <c r="D109" s="3" t="s">
        <v>12</v>
      </c>
      <c r="E109" s="3" t="s">
        <v>455</v>
      </c>
      <c r="F109" s="3" t="s">
        <v>44</v>
      </c>
      <c r="G109" s="3"/>
      <c r="H109" s="3"/>
      <c r="I109" s="3"/>
      <c r="J109" s="3" t="s">
        <v>2692</v>
      </c>
      <c r="K109" s="3">
        <v>2</v>
      </c>
      <c r="L109" s="5">
        <v>33</v>
      </c>
      <c r="M109" s="7"/>
      <c r="O109" s="3"/>
      <c r="P109" s="3" t="s">
        <v>353</v>
      </c>
      <c r="Q109" s="3" t="s">
        <v>354</v>
      </c>
      <c r="R109" s="3" t="s">
        <v>12</v>
      </c>
      <c r="S109" s="3" t="s">
        <v>355</v>
      </c>
      <c r="T109" s="3" t="s">
        <v>327</v>
      </c>
      <c r="U109" s="3"/>
    </row>
    <row r="110" spans="1:21" x14ac:dyDescent="0.25">
      <c r="A110" s="251">
        <v>46066</v>
      </c>
      <c r="B110" s="3" t="s">
        <v>1825</v>
      </c>
      <c r="C110" s="3" t="s">
        <v>1826</v>
      </c>
      <c r="D110" s="3" t="s">
        <v>14</v>
      </c>
      <c r="E110" s="3" t="s">
        <v>2429</v>
      </c>
      <c r="F110" s="3" t="s">
        <v>32</v>
      </c>
      <c r="G110" s="3"/>
      <c r="H110" s="3"/>
      <c r="I110" s="3"/>
      <c r="J110" s="3" t="s">
        <v>2688</v>
      </c>
      <c r="K110" s="3">
        <v>1</v>
      </c>
      <c r="L110" s="5">
        <v>10.5</v>
      </c>
      <c r="O110" s="3"/>
      <c r="P110" s="3" t="s">
        <v>356</v>
      </c>
      <c r="Q110" s="3" t="s">
        <v>357</v>
      </c>
      <c r="R110" s="3" t="s">
        <v>12</v>
      </c>
      <c r="S110" s="3" t="s">
        <v>358</v>
      </c>
      <c r="T110" s="3" t="s">
        <v>46</v>
      </c>
      <c r="U110" s="3"/>
    </row>
    <row r="111" spans="1:21" x14ac:dyDescent="0.25">
      <c r="A111" s="251">
        <v>46066</v>
      </c>
      <c r="B111" s="3" t="s">
        <v>1418</v>
      </c>
      <c r="C111" s="3" t="s">
        <v>1419</v>
      </c>
      <c r="D111" s="3" t="s">
        <v>14</v>
      </c>
      <c r="E111" s="3" t="s">
        <v>2372</v>
      </c>
      <c r="F111" s="3" t="s">
        <v>32</v>
      </c>
      <c r="G111" s="3"/>
      <c r="H111" s="3"/>
      <c r="I111" s="3"/>
      <c r="J111" s="3" t="s">
        <v>2688</v>
      </c>
      <c r="K111" s="3">
        <v>1</v>
      </c>
      <c r="L111" s="5">
        <v>5</v>
      </c>
      <c r="M111" s="7"/>
      <c r="O111" s="3"/>
      <c r="P111" s="3" t="s">
        <v>359</v>
      </c>
      <c r="Q111" s="3" t="s">
        <v>360</v>
      </c>
      <c r="R111" s="3" t="s">
        <v>12</v>
      </c>
      <c r="S111" s="3" t="s">
        <v>361</v>
      </c>
      <c r="T111" s="3" t="s">
        <v>46</v>
      </c>
      <c r="U111" s="3"/>
    </row>
    <row r="112" spans="1:21" x14ac:dyDescent="0.25">
      <c r="A112" s="251">
        <v>46066</v>
      </c>
      <c r="B112" s="3" t="s">
        <v>229</v>
      </c>
      <c r="C112" s="3" t="s">
        <v>230</v>
      </c>
      <c r="D112" s="3" t="s">
        <v>13</v>
      </c>
      <c r="E112" s="3" t="s">
        <v>231</v>
      </c>
      <c r="F112" s="3" t="s">
        <v>43</v>
      </c>
      <c r="G112" s="3"/>
      <c r="H112" s="3"/>
      <c r="I112" s="3"/>
      <c r="J112" s="3" t="s">
        <v>2688</v>
      </c>
      <c r="K112" s="3">
        <v>1</v>
      </c>
      <c r="L112" s="5">
        <v>23.5</v>
      </c>
      <c r="O112" s="3"/>
      <c r="P112" s="3" t="s">
        <v>2077</v>
      </c>
      <c r="Q112" s="3" t="s">
        <v>2078</v>
      </c>
      <c r="R112" s="3" t="s">
        <v>12</v>
      </c>
      <c r="S112" s="3" t="s">
        <v>2079</v>
      </c>
      <c r="T112" s="3" t="s">
        <v>2080</v>
      </c>
      <c r="U112" s="3"/>
    </row>
    <row r="113" spans="1:21" ht="15.75" thickBot="1" x14ac:dyDescent="0.3">
      <c r="A113" s="251">
        <v>46066</v>
      </c>
      <c r="B113" s="3" t="s">
        <v>2426</v>
      </c>
      <c r="C113" s="3" t="s">
        <v>2427</v>
      </c>
      <c r="D113" s="3" t="s">
        <v>12</v>
      </c>
      <c r="E113" s="3" t="s">
        <v>2429</v>
      </c>
      <c r="F113" s="3" t="s">
        <v>43</v>
      </c>
      <c r="G113" s="227"/>
      <c r="H113" s="227"/>
      <c r="I113" s="227"/>
      <c r="J113" s="3" t="s">
        <v>2688</v>
      </c>
      <c r="K113" s="3">
        <v>1</v>
      </c>
      <c r="L113" s="5">
        <v>13.5</v>
      </c>
      <c r="M113" s="7"/>
      <c r="O113" s="3"/>
      <c r="P113" s="3" t="s">
        <v>362</v>
      </c>
      <c r="Q113" s="3" t="s">
        <v>363</v>
      </c>
      <c r="R113" s="3" t="s">
        <v>12</v>
      </c>
      <c r="S113" s="3" t="s">
        <v>364</v>
      </c>
      <c r="T113" s="3" t="s">
        <v>43</v>
      </c>
      <c r="U113" s="3"/>
    </row>
    <row r="114" spans="1:21" x14ac:dyDescent="0.25">
      <c r="A114" s="261">
        <v>46066</v>
      </c>
      <c r="B114" s="3" t="s">
        <v>441</v>
      </c>
      <c r="C114" s="3" t="s">
        <v>442</v>
      </c>
      <c r="D114" s="3" t="s">
        <v>12</v>
      </c>
      <c r="E114" s="3" t="s">
        <v>443</v>
      </c>
      <c r="F114" s="3" t="s">
        <v>129</v>
      </c>
      <c r="G114" s="236"/>
      <c r="H114" s="217"/>
      <c r="I114" s="217"/>
      <c r="J114" s="3" t="s">
        <v>2688</v>
      </c>
      <c r="K114" s="3">
        <v>1</v>
      </c>
      <c r="L114" s="5">
        <v>5</v>
      </c>
      <c r="M114" s="7"/>
      <c r="O114" s="3"/>
      <c r="P114" s="3" t="s">
        <v>365</v>
      </c>
      <c r="Q114" s="3" t="s">
        <v>366</v>
      </c>
      <c r="R114" s="3" t="s">
        <v>12</v>
      </c>
      <c r="S114" s="3" t="s">
        <v>207</v>
      </c>
      <c r="T114" s="3" t="s">
        <v>336</v>
      </c>
      <c r="U114" s="3"/>
    </row>
    <row r="115" spans="1:21" x14ac:dyDescent="0.25">
      <c r="A115" s="251">
        <v>46066</v>
      </c>
      <c r="B115" s="3" t="s">
        <v>241</v>
      </c>
      <c r="C115" s="3" t="s">
        <v>242</v>
      </c>
      <c r="D115" s="3" t="s">
        <v>13</v>
      </c>
      <c r="E115" s="3" t="s">
        <v>243</v>
      </c>
      <c r="F115" s="3" t="s">
        <v>43</v>
      </c>
      <c r="G115" s="3"/>
      <c r="H115" s="3"/>
      <c r="I115" s="3"/>
      <c r="J115" s="3" t="s">
        <v>2688</v>
      </c>
      <c r="K115" s="3">
        <v>1</v>
      </c>
      <c r="L115" s="5">
        <v>5</v>
      </c>
      <c r="M115" s="7"/>
      <c r="O115" s="3"/>
      <c r="P115" s="3" t="s">
        <v>1509</v>
      </c>
      <c r="Q115" s="3" t="s">
        <v>1510</v>
      </c>
      <c r="R115" s="3" t="s">
        <v>12</v>
      </c>
      <c r="S115" s="3" t="s">
        <v>1511</v>
      </c>
      <c r="T115" s="3" t="s">
        <v>52</v>
      </c>
      <c r="U115" s="3"/>
    </row>
    <row r="116" spans="1:21" x14ac:dyDescent="0.25">
      <c r="A116" s="251">
        <v>46066</v>
      </c>
      <c r="B116" s="3" t="s">
        <v>341</v>
      </c>
      <c r="C116" s="3" t="s">
        <v>342</v>
      </c>
      <c r="D116" s="3" t="s">
        <v>12</v>
      </c>
      <c r="E116" s="3" t="s">
        <v>343</v>
      </c>
      <c r="F116" s="3" t="s">
        <v>93</v>
      </c>
      <c r="G116" s="3"/>
      <c r="H116" s="3"/>
      <c r="I116" s="3"/>
      <c r="J116" s="3" t="s">
        <v>2688</v>
      </c>
      <c r="K116" s="3">
        <v>1</v>
      </c>
      <c r="L116" s="5">
        <v>5</v>
      </c>
      <c r="O116" s="3"/>
      <c r="P116" s="3" t="s">
        <v>2081</v>
      </c>
      <c r="Q116" s="3" t="s">
        <v>2082</v>
      </c>
      <c r="R116" s="3" t="s">
        <v>12</v>
      </c>
      <c r="S116" s="3" t="s">
        <v>2083</v>
      </c>
      <c r="T116" s="3" t="s">
        <v>12</v>
      </c>
      <c r="U116" s="3"/>
    </row>
    <row r="117" spans="1:21" ht="15.75" thickBot="1" x14ac:dyDescent="0.3">
      <c r="A117" s="226">
        <v>46066</v>
      </c>
      <c r="B117" s="227" t="s">
        <v>848</v>
      </c>
      <c r="C117" s="227" t="s">
        <v>849</v>
      </c>
      <c r="D117" s="227" t="s">
        <v>14</v>
      </c>
      <c r="E117" s="227" t="s">
        <v>2409</v>
      </c>
      <c r="F117" s="227" t="s">
        <v>32</v>
      </c>
      <c r="G117" s="227"/>
      <c r="H117" s="227"/>
      <c r="I117" s="227"/>
      <c r="J117" s="227" t="s">
        <v>2688</v>
      </c>
      <c r="K117" s="227">
        <v>1</v>
      </c>
      <c r="L117" s="118">
        <v>5</v>
      </c>
      <c r="M117" s="258">
        <f>SUM(L102:L117)</f>
        <v>468</v>
      </c>
      <c r="O117" s="3"/>
      <c r="P117" s="3" t="s">
        <v>367</v>
      </c>
      <c r="Q117" s="3" t="s">
        <v>368</v>
      </c>
      <c r="R117" s="3" t="s">
        <v>12</v>
      </c>
      <c r="S117" s="3" t="s">
        <v>369</v>
      </c>
      <c r="T117" s="3" t="s">
        <v>43</v>
      </c>
      <c r="U117" s="3"/>
    </row>
    <row r="118" spans="1:21" x14ac:dyDescent="0.25">
      <c r="A118" s="261">
        <v>46067</v>
      </c>
      <c r="B118" s="3" t="s">
        <v>680</v>
      </c>
      <c r="C118" s="3" t="s">
        <v>681</v>
      </c>
      <c r="D118" s="3" t="s">
        <v>12</v>
      </c>
      <c r="E118" s="3" t="s">
        <v>682</v>
      </c>
      <c r="F118" s="3" t="s">
        <v>43</v>
      </c>
      <c r="G118" s="217"/>
      <c r="H118" s="217"/>
      <c r="I118" s="217"/>
      <c r="J118" s="217" t="s">
        <v>2692</v>
      </c>
      <c r="K118" s="217">
        <v>2</v>
      </c>
      <c r="L118" s="237">
        <v>10</v>
      </c>
      <c r="M118" s="7"/>
      <c r="O118" s="3"/>
      <c r="P118" s="3"/>
      <c r="Q118" s="3"/>
      <c r="R118" s="3"/>
      <c r="S118" s="3"/>
      <c r="T118" s="3"/>
      <c r="U118" s="3"/>
    </row>
    <row r="119" spans="1:21" ht="15.75" thickBot="1" x14ac:dyDescent="0.3">
      <c r="A119" s="252">
        <v>46067</v>
      </c>
      <c r="B119" s="338" t="s">
        <v>661</v>
      </c>
      <c r="C119" s="338" t="s">
        <v>662</v>
      </c>
      <c r="D119" s="338" t="s">
        <v>12</v>
      </c>
      <c r="E119" s="338" t="s">
        <v>663</v>
      </c>
      <c r="F119" s="338" t="s">
        <v>43</v>
      </c>
      <c r="G119" s="338"/>
      <c r="H119" s="338"/>
      <c r="I119" s="338"/>
      <c r="J119" s="338" t="s">
        <v>2688</v>
      </c>
      <c r="K119" s="338">
        <v>1</v>
      </c>
      <c r="L119" s="339">
        <v>94.5</v>
      </c>
      <c r="M119" s="258">
        <f>SUM(L118:L119)</f>
        <v>104.5</v>
      </c>
      <c r="O119" s="3"/>
      <c r="P119" s="3" t="s">
        <v>370</v>
      </c>
      <c r="Q119" s="3" t="s">
        <v>371</v>
      </c>
      <c r="R119" s="3" t="s">
        <v>12</v>
      </c>
      <c r="S119" s="3" t="s">
        <v>372</v>
      </c>
      <c r="T119" s="3" t="s">
        <v>46</v>
      </c>
      <c r="U119" s="3"/>
    </row>
    <row r="120" spans="1:21" x14ac:dyDescent="0.25">
      <c r="A120" s="251">
        <v>46069</v>
      </c>
      <c r="B120" s="3" t="s">
        <v>2207</v>
      </c>
      <c r="C120" s="3" t="s">
        <v>2208</v>
      </c>
      <c r="D120" s="3" t="s">
        <v>0</v>
      </c>
      <c r="E120" s="3" t="s">
        <v>2209</v>
      </c>
      <c r="F120" s="3" t="s">
        <v>911</v>
      </c>
      <c r="G120" s="199"/>
      <c r="H120" s="199"/>
      <c r="I120" s="199"/>
      <c r="J120" s="199" t="s">
        <v>2691</v>
      </c>
      <c r="K120" s="199">
        <v>3</v>
      </c>
      <c r="L120" s="106">
        <v>34.5</v>
      </c>
      <c r="M120" s="7"/>
      <c r="O120" s="3"/>
      <c r="P120" s="3" t="s">
        <v>373</v>
      </c>
      <c r="Q120" s="3" t="s">
        <v>374</v>
      </c>
      <c r="R120" s="3" t="s">
        <v>12</v>
      </c>
      <c r="S120" s="3" t="s">
        <v>375</v>
      </c>
      <c r="T120" s="3" t="s">
        <v>311</v>
      </c>
      <c r="U120" s="3"/>
    </row>
    <row r="121" spans="1:21" x14ac:dyDescent="0.25">
      <c r="A121" s="251">
        <v>46069</v>
      </c>
      <c r="B121" s="3" t="s">
        <v>866</v>
      </c>
      <c r="C121" s="3" t="s">
        <v>867</v>
      </c>
      <c r="D121" s="3" t="s">
        <v>0</v>
      </c>
      <c r="E121" s="3" t="s">
        <v>868</v>
      </c>
      <c r="F121" s="3" t="s">
        <v>39</v>
      </c>
      <c r="G121" s="3"/>
      <c r="H121" s="3"/>
      <c r="I121" s="3"/>
      <c r="J121" s="3" t="s">
        <v>2695</v>
      </c>
      <c r="K121" s="3">
        <v>2</v>
      </c>
      <c r="L121" s="5">
        <v>22</v>
      </c>
      <c r="M121" s="7"/>
      <c r="O121" s="3"/>
      <c r="P121" s="3" t="s">
        <v>376</v>
      </c>
      <c r="Q121" s="3" t="s">
        <v>377</v>
      </c>
      <c r="R121" s="3" t="s">
        <v>12</v>
      </c>
      <c r="S121" s="3" t="s">
        <v>378</v>
      </c>
      <c r="T121" s="3" t="s">
        <v>49</v>
      </c>
      <c r="U121" s="3"/>
    </row>
    <row r="122" spans="1:21" x14ac:dyDescent="0.25">
      <c r="A122" s="220">
        <v>46069</v>
      </c>
      <c r="B122" s="3" t="s">
        <v>1048</v>
      </c>
      <c r="C122" s="3" t="s">
        <v>1049</v>
      </c>
      <c r="D122" s="3" t="s">
        <v>0</v>
      </c>
      <c r="E122" s="3" t="s">
        <v>1050</v>
      </c>
      <c r="F122" s="3" t="s">
        <v>33</v>
      </c>
      <c r="G122" s="3"/>
      <c r="H122" s="3"/>
      <c r="I122" s="3"/>
      <c r="J122" s="3" t="s">
        <v>2688</v>
      </c>
      <c r="K122" s="3">
        <v>1</v>
      </c>
      <c r="L122" s="5">
        <v>16.5</v>
      </c>
      <c r="M122" s="7"/>
      <c r="O122" s="3"/>
      <c r="P122" s="3" t="s">
        <v>120</v>
      </c>
      <c r="Q122" s="3" t="s">
        <v>121</v>
      </c>
      <c r="R122" s="3" t="s">
        <v>12</v>
      </c>
      <c r="S122" s="3" t="s">
        <v>2084</v>
      </c>
      <c r="T122" s="3" t="s">
        <v>48</v>
      </c>
      <c r="U122" s="3"/>
    </row>
    <row r="123" spans="1:21" ht="15.75" thickBot="1" x14ac:dyDescent="0.3">
      <c r="A123" s="226">
        <v>46069</v>
      </c>
      <c r="B123" s="227" t="s">
        <v>1951</v>
      </c>
      <c r="C123" s="227" t="s">
        <v>1952</v>
      </c>
      <c r="D123" s="227" t="s">
        <v>0</v>
      </c>
      <c r="E123" s="227" t="s">
        <v>1953</v>
      </c>
      <c r="F123" s="227" t="s">
        <v>1954</v>
      </c>
      <c r="G123" s="227"/>
      <c r="H123" s="227"/>
      <c r="I123" s="227"/>
      <c r="J123" s="227" t="s">
        <v>2688</v>
      </c>
      <c r="K123" s="227">
        <v>1</v>
      </c>
      <c r="L123" s="118">
        <v>10.5</v>
      </c>
      <c r="M123" s="258">
        <f>SUM(L120:L123)</f>
        <v>83.5</v>
      </c>
      <c r="O123" s="3"/>
      <c r="P123" s="3" t="s">
        <v>2457</v>
      </c>
      <c r="Q123" s="3" t="s">
        <v>2458</v>
      </c>
      <c r="R123" s="3" t="s">
        <v>12</v>
      </c>
      <c r="S123" s="3" t="s">
        <v>2465</v>
      </c>
      <c r="T123" s="3" t="s">
        <v>311</v>
      </c>
      <c r="U123" s="3"/>
    </row>
    <row r="124" spans="1:21" x14ac:dyDescent="0.25">
      <c r="A124" s="251">
        <v>46070</v>
      </c>
      <c r="B124" s="3" t="s">
        <v>423</v>
      </c>
      <c r="C124" s="3" t="s">
        <v>424</v>
      </c>
      <c r="D124" s="3" t="s">
        <v>12</v>
      </c>
      <c r="E124" s="3" t="s">
        <v>425</v>
      </c>
      <c r="F124" s="3" t="s">
        <v>327</v>
      </c>
      <c r="G124" s="199"/>
      <c r="H124" s="199"/>
      <c r="I124" s="199"/>
      <c r="J124" s="199" t="s">
        <v>2696</v>
      </c>
      <c r="K124" s="199">
        <v>4</v>
      </c>
      <c r="L124" s="106">
        <v>20</v>
      </c>
      <c r="O124" s="3"/>
      <c r="P124" s="3" t="s">
        <v>1512</v>
      </c>
      <c r="Q124" s="3" t="s">
        <v>1513</v>
      </c>
      <c r="R124" s="3" t="s">
        <v>12</v>
      </c>
      <c r="S124" s="3" t="s">
        <v>1514</v>
      </c>
      <c r="T124" s="3" t="s">
        <v>327</v>
      </c>
      <c r="U124" s="3"/>
    </row>
    <row r="125" spans="1:21" x14ac:dyDescent="0.25">
      <c r="A125" s="220">
        <v>46070</v>
      </c>
      <c r="B125" s="3" t="s">
        <v>2048</v>
      </c>
      <c r="C125" s="3" t="s">
        <v>2049</v>
      </c>
      <c r="D125" s="3" t="s">
        <v>0</v>
      </c>
      <c r="E125" s="3" t="s">
        <v>2050</v>
      </c>
      <c r="F125" s="3" t="s">
        <v>86</v>
      </c>
      <c r="G125" s="3"/>
      <c r="H125" s="3"/>
      <c r="I125" s="3"/>
      <c r="J125" s="199" t="s">
        <v>2696</v>
      </c>
      <c r="K125" s="199">
        <v>4</v>
      </c>
      <c r="L125" s="5">
        <v>28</v>
      </c>
      <c r="M125" s="7"/>
      <c r="O125" s="3"/>
      <c r="P125" s="3" t="s">
        <v>379</v>
      </c>
      <c r="Q125" s="3" t="s">
        <v>380</v>
      </c>
      <c r="R125" s="3" t="s">
        <v>12</v>
      </c>
      <c r="S125" s="3" t="s">
        <v>381</v>
      </c>
      <c r="T125" s="3" t="s">
        <v>311</v>
      </c>
      <c r="U125" s="3"/>
    </row>
    <row r="126" spans="1:21" x14ac:dyDescent="0.25">
      <c r="A126" s="220">
        <v>46070</v>
      </c>
      <c r="B126" s="3" t="s">
        <v>1213</v>
      </c>
      <c r="C126" s="3" t="s">
        <v>1214</v>
      </c>
      <c r="D126" s="3" t="s">
        <v>0</v>
      </c>
      <c r="E126" s="3" t="s">
        <v>1215</v>
      </c>
      <c r="F126" s="3" t="s">
        <v>38</v>
      </c>
      <c r="G126" s="3"/>
      <c r="H126" s="3"/>
      <c r="I126" s="3"/>
      <c r="J126" s="199" t="s">
        <v>2696</v>
      </c>
      <c r="K126" s="199">
        <v>4</v>
      </c>
      <c r="L126" s="5">
        <v>150</v>
      </c>
      <c r="O126" s="3"/>
      <c r="P126" s="3" t="s">
        <v>1515</v>
      </c>
      <c r="Q126" s="3" t="s">
        <v>1516</v>
      </c>
      <c r="R126" s="3" t="s">
        <v>12</v>
      </c>
      <c r="S126" s="3" t="s">
        <v>1517</v>
      </c>
      <c r="T126" s="3" t="s">
        <v>48</v>
      </c>
      <c r="U126" s="3"/>
    </row>
    <row r="127" spans="1:21" x14ac:dyDescent="0.25">
      <c r="A127" s="220">
        <v>46070</v>
      </c>
      <c r="B127" s="3" t="s">
        <v>1156</v>
      </c>
      <c r="C127" s="3" t="s">
        <v>1157</v>
      </c>
      <c r="D127" s="3" t="s">
        <v>0</v>
      </c>
      <c r="E127" s="3" t="s">
        <v>1158</v>
      </c>
      <c r="F127" s="3" t="s">
        <v>33</v>
      </c>
      <c r="G127" s="3"/>
      <c r="H127" s="3"/>
      <c r="I127" s="3"/>
      <c r="J127" s="3" t="s">
        <v>2691</v>
      </c>
      <c r="K127" s="3">
        <v>3</v>
      </c>
      <c r="L127" s="5">
        <v>121.5</v>
      </c>
      <c r="O127" s="3"/>
      <c r="P127" s="3" t="s">
        <v>1518</v>
      </c>
      <c r="Q127" s="3" t="s">
        <v>1519</v>
      </c>
      <c r="R127" s="3" t="s">
        <v>12</v>
      </c>
      <c r="S127" s="3" t="s">
        <v>1520</v>
      </c>
      <c r="T127" s="3" t="s">
        <v>1521</v>
      </c>
      <c r="U127" s="3"/>
    </row>
    <row r="128" spans="1:21" x14ac:dyDescent="0.25">
      <c r="A128" s="220">
        <v>46070</v>
      </c>
      <c r="B128" s="3" t="s">
        <v>1003</v>
      </c>
      <c r="C128" s="3" t="s">
        <v>1004</v>
      </c>
      <c r="D128" s="3" t="s">
        <v>0</v>
      </c>
      <c r="E128" s="3" t="s">
        <v>1005</v>
      </c>
      <c r="F128" s="3" t="s">
        <v>86</v>
      </c>
      <c r="G128" s="3"/>
      <c r="H128" s="3"/>
      <c r="I128" s="3"/>
      <c r="J128" s="3" t="s">
        <v>2691</v>
      </c>
      <c r="K128" s="3">
        <v>3</v>
      </c>
      <c r="L128" s="5">
        <v>15</v>
      </c>
      <c r="O128" s="3"/>
      <c r="P128" s="3" t="s">
        <v>382</v>
      </c>
      <c r="Q128" s="3" t="s">
        <v>383</v>
      </c>
      <c r="R128" s="3" t="s">
        <v>12</v>
      </c>
      <c r="S128" s="3" t="s">
        <v>384</v>
      </c>
      <c r="T128" s="3" t="s">
        <v>43</v>
      </c>
      <c r="U128" s="3"/>
    </row>
    <row r="129" spans="1:21" x14ac:dyDescent="0.25">
      <c r="A129" s="220">
        <v>46070</v>
      </c>
      <c r="B129" s="3" t="s">
        <v>2509</v>
      </c>
      <c r="C129" s="3" t="s">
        <v>2510</v>
      </c>
      <c r="D129" s="3" t="s">
        <v>0</v>
      </c>
      <c r="E129" s="3" t="s">
        <v>2513</v>
      </c>
      <c r="F129" s="3" t="s">
        <v>2487</v>
      </c>
      <c r="G129" s="3"/>
      <c r="H129" s="3"/>
      <c r="I129" s="3"/>
      <c r="J129" s="3" t="s">
        <v>2695</v>
      </c>
      <c r="K129" s="3">
        <v>2</v>
      </c>
      <c r="L129" s="5">
        <v>10</v>
      </c>
      <c r="O129" s="3"/>
      <c r="P129" s="3" t="s">
        <v>385</v>
      </c>
      <c r="Q129" s="3" t="s">
        <v>386</v>
      </c>
      <c r="R129" s="3" t="s">
        <v>12</v>
      </c>
      <c r="S129" s="3" t="s">
        <v>387</v>
      </c>
      <c r="T129" s="3" t="s">
        <v>129</v>
      </c>
      <c r="U129" s="3"/>
    </row>
    <row r="130" spans="1:21" ht="15.75" thickBot="1" x14ac:dyDescent="0.3">
      <c r="A130" s="226">
        <v>46070</v>
      </c>
      <c r="B130" s="227" t="s">
        <v>725</v>
      </c>
      <c r="C130" s="227" t="s">
        <v>726</v>
      </c>
      <c r="D130" s="227" t="s">
        <v>12</v>
      </c>
      <c r="E130" s="227" t="s">
        <v>2173</v>
      </c>
      <c r="F130" s="227" t="s">
        <v>49</v>
      </c>
      <c r="G130" s="227"/>
      <c r="H130" s="227"/>
      <c r="I130" s="227"/>
      <c r="J130" s="227" t="s">
        <v>2688</v>
      </c>
      <c r="K130" s="227">
        <v>1</v>
      </c>
      <c r="L130" s="118">
        <v>5</v>
      </c>
      <c r="M130" s="258">
        <f>SUM(L124:L130)</f>
        <v>349.5</v>
      </c>
      <c r="O130" s="3"/>
      <c r="P130" s="3" t="s">
        <v>388</v>
      </c>
      <c r="Q130" s="3" t="s">
        <v>389</v>
      </c>
      <c r="R130" s="3" t="s">
        <v>12</v>
      </c>
      <c r="S130" s="3" t="s">
        <v>390</v>
      </c>
      <c r="T130" s="3" t="s">
        <v>129</v>
      </c>
      <c r="U130" s="3"/>
    </row>
    <row r="131" spans="1:21" x14ac:dyDescent="0.25">
      <c r="A131" s="251">
        <v>46072</v>
      </c>
      <c r="B131" s="247" t="s">
        <v>180</v>
      </c>
      <c r="C131" s="247" t="s">
        <v>181</v>
      </c>
      <c r="D131" s="3" t="s">
        <v>17</v>
      </c>
      <c r="E131" s="247" t="s">
        <v>182</v>
      </c>
      <c r="F131" s="247" t="s">
        <v>179</v>
      </c>
      <c r="G131" s="199"/>
      <c r="H131" s="199"/>
      <c r="I131" s="199"/>
      <c r="J131" s="199" t="s">
        <v>2688</v>
      </c>
      <c r="K131" s="199">
        <v>2</v>
      </c>
      <c r="L131" s="106">
        <v>26.5</v>
      </c>
      <c r="M131" s="7"/>
      <c r="O131" s="3"/>
      <c r="P131" s="3" t="s">
        <v>391</v>
      </c>
      <c r="Q131" s="3" t="s">
        <v>392</v>
      </c>
      <c r="R131" s="3" t="s">
        <v>12</v>
      </c>
      <c r="S131" s="3" t="s">
        <v>393</v>
      </c>
      <c r="T131" s="3" t="s">
        <v>129</v>
      </c>
      <c r="U131" s="3"/>
    </row>
    <row r="132" spans="1:21" x14ac:dyDescent="0.25">
      <c r="A132" s="220">
        <v>46072</v>
      </c>
      <c r="B132" s="247" t="s">
        <v>176</v>
      </c>
      <c r="C132" s="247" t="s">
        <v>177</v>
      </c>
      <c r="D132" s="3" t="s">
        <v>17</v>
      </c>
      <c r="E132" s="247" t="s">
        <v>178</v>
      </c>
      <c r="F132" s="247" t="s">
        <v>179</v>
      </c>
      <c r="G132" s="3"/>
      <c r="H132" s="3"/>
      <c r="I132" s="3"/>
      <c r="J132" s="199" t="s">
        <v>2688</v>
      </c>
      <c r="K132" s="3">
        <v>2</v>
      </c>
      <c r="L132" s="5">
        <v>10</v>
      </c>
      <c r="M132" s="7"/>
      <c r="O132" s="3"/>
      <c r="P132" s="3" t="s">
        <v>1522</v>
      </c>
      <c r="Q132" s="3" t="s">
        <v>1523</v>
      </c>
      <c r="R132" s="3" t="s">
        <v>12</v>
      </c>
      <c r="S132" s="3" t="s">
        <v>1524</v>
      </c>
      <c r="T132" s="3" t="s">
        <v>43</v>
      </c>
      <c r="U132" s="3"/>
    </row>
    <row r="133" spans="1:21" x14ac:dyDescent="0.25">
      <c r="A133" s="220">
        <v>46072</v>
      </c>
      <c r="B133" s="3" t="s">
        <v>2157</v>
      </c>
      <c r="C133" s="3" t="s">
        <v>2158</v>
      </c>
      <c r="D133" s="3" t="s">
        <v>12</v>
      </c>
      <c r="E133" s="3" t="s">
        <v>2159</v>
      </c>
      <c r="F133" s="3" t="s">
        <v>2160</v>
      </c>
      <c r="G133" s="3"/>
      <c r="H133" s="3"/>
      <c r="I133" s="3"/>
      <c r="J133" s="3" t="s">
        <v>2688</v>
      </c>
      <c r="K133" s="3">
        <v>2</v>
      </c>
      <c r="L133" s="5">
        <v>5</v>
      </c>
      <c r="M133" s="7"/>
      <c r="O133" s="3"/>
      <c r="P133" s="3" t="s">
        <v>1525</v>
      </c>
      <c r="Q133" s="3" t="s">
        <v>1526</v>
      </c>
      <c r="R133" s="3" t="s">
        <v>12</v>
      </c>
      <c r="S133" s="3" t="s">
        <v>1527</v>
      </c>
      <c r="T133" s="3" t="s">
        <v>1528</v>
      </c>
      <c r="U133" s="3"/>
    </row>
    <row r="134" spans="1:21" x14ac:dyDescent="0.25">
      <c r="A134" s="220">
        <v>46072</v>
      </c>
      <c r="B134" s="3" t="s">
        <v>400</v>
      </c>
      <c r="C134" s="3" t="s">
        <v>401</v>
      </c>
      <c r="D134" s="3" t="s">
        <v>12</v>
      </c>
      <c r="E134" s="3" t="s">
        <v>402</v>
      </c>
      <c r="F134" s="3" t="s">
        <v>340</v>
      </c>
      <c r="G134" s="3"/>
      <c r="H134" s="3"/>
      <c r="I134" s="3"/>
      <c r="J134" s="3" t="s">
        <v>2688</v>
      </c>
      <c r="K134" s="3">
        <v>2</v>
      </c>
      <c r="L134" s="5">
        <v>7.5</v>
      </c>
      <c r="M134" s="7"/>
      <c r="O134" s="3"/>
      <c r="P134" s="3" t="s">
        <v>1529</v>
      </c>
      <c r="Q134" s="3" t="s">
        <v>1530</v>
      </c>
      <c r="R134" s="3" t="s">
        <v>12</v>
      </c>
      <c r="S134" s="3" t="s">
        <v>1531</v>
      </c>
      <c r="T134" s="3" t="s">
        <v>44</v>
      </c>
      <c r="U134" s="3"/>
    </row>
    <row r="135" spans="1:21" x14ac:dyDescent="0.25">
      <c r="A135" s="220">
        <v>46072</v>
      </c>
      <c r="B135" s="3" t="s">
        <v>256</v>
      </c>
      <c r="C135" s="3" t="s">
        <v>257</v>
      </c>
      <c r="D135" s="3" t="s">
        <v>13</v>
      </c>
      <c r="E135" s="3" t="s">
        <v>258</v>
      </c>
      <c r="F135" s="3" t="s">
        <v>43</v>
      </c>
      <c r="G135" s="3"/>
      <c r="H135" s="3"/>
      <c r="I135" s="3"/>
      <c r="J135" s="3" t="s">
        <v>2688</v>
      </c>
      <c r="K135" s="3">
        <v>2</v>
      </c>
      <c r="L135" s="5">
        <v>5</v>
      </c>
      <c r="O135" s="3"/>
      <c r="P135" s="3" t="s">
        <v>394</v>
      </c>
      <c r="Q135" s="3" t="s">
        <v>395</v>
      </c>
      <c r="R135" s="3" t="s">
        <v>12</v>
      </c>
      <c r="S135" s="3" t="s">
        <v>396</v>
      </c>
      <c r="T135" s="3" t="s">
        <v>327</v>
      </c>
      <c r="U135" s="3"/>
    </row>
    <row r="136" spans="1:21" x14ac:dyDescent="0.25">
      <c r="A136" s="220">
        <v>46072</v>
      </c>
      <c r="B136" s="3" t="s">
        <v>671</v>
      </c>
      <c r="C136" s="3" t="s">
        <v>672</v>
      </c>
      <c r="D136" s="3" t="s">
        <v>12</v>
      </c>
      <c r="E136" s="3" t="s">
        <v>673</v>
      </c>
      <c r="F136" s="3" t="s">
        <v>47</v>
      </c>
      <c r="G136" s="3"/>
      <c r="H136" s="3"/>
      <c r="I136" s="3"/>
      <c r="J136" s="3" t="s">
        <v>2688</v>
      </c>
      <c r="K136" s="3">
        <v>2</v>
      </c>
      <c r="L136" s="5">
        <v>5</v>
      </c>
      <c r="M136" s="7"/>
      <c r="O136" s="3"/>
      <c r="P136" s="3" t="s">
        <v>1532</v>
      </c>
      <c r="Q136" s="3" t="s">
        <v>1533</v>
      </c>
      <c r="R136" s="3" t="s">
        <v>12</v>
      </c>
      <c r="S136" s="3" t="s">
        <v>1534</v>
      </c>
      <c r="T136" s="3" t="s">
        <v>93</v>
      </c>
      <c r="U136" s="3"/>
    </row>
    <row r="137" spans="1:21" x14ac:dyDescent="0.25">
      <c r="A137" s="220">
        <v>46072</v>
      </c>
      <c r="B137" s="3" t="s">
        <v>2032</v>
      </c>
      <c r="C137" s="3" t="s">
        <v>2033</v>
      </c>
      <c r="D137" s="3" t="s">
        <v>0</v>
      </c>
      <c r="E137" s="3" t="s">
        <v>2034</v>
      </c>
      <c r="F137" s="3" t="s">
        <v>900</v>
      </c>
      <c r="G137" s="3"/>
      <c r="H137" s="3"/>
      <c r="I137" s="3"/>
      <c r="J137" s="3" t="s">
        <v>2688</v>
      </c>
      <c r="K137" s="3">
        <v>2</v>
      </c>
      <c r="L137" s="5">
        <v>5</v>
      </c>
      <c r="M137" s="7"/>
      <c r="O137" s="3"/>
      <c r="P137" s="3" t="s">
        <v>1535</v>
      </c>
      <c r="Q137" s="3" t="s">
        <v>1536</v>
      </c>
      <c r="R137" s="3" t="s">
        <v>12</v>
      </c>
      <c r="S137" s="3" t="s">
        <v>1537</v>
      </c>
      <c r="T137" s="3" t="s">
        <v>1538</v>
      </c>
      <c r="U137" s="3"/>
    </row>
    <row r="138" spans="1:21" ht="15.75" thickBot="1" x14ac:dyDescent="0.3">
      <c r="A138" s="226">
        <v>46072</v>
      </c>
      <c r="B138" s="227" t="s">
        <v>450</v>
      </c>
      <c r="C138" s="227" t="s">
        <v>451</v>
      </c>
      <c r="D138" s="227" t="s">
        <v>12</v>
      </c>
      <c r="E138" s="227" t="s">
        <v>452</v>
      </c>
      <c r="F138" s="227" t="s">
        <v>49</v>
      </c>
      <c r="G138" s="227"/>
      <c r="H138" s="227"/>
      <c r="I138" s="227"/>
      <c r="J138" s="227" t="s">
        <v>2688</v>
      </c>
      <c r="K138" s="227">
        <v>2</v>
      </c>
      <c r="L138" s="118">
        <v>5</v>
      </c>
      <c r="M138" s="258">
        <f>SUM(L131:L138)</f>
        <v>69</v>
      </c>
      <c r="O138" s="3"/>
      <c r="P138" s="3" t="s">
        <v>1539</v>
      </c>
      <c r="Q138" s="3" t="s">
        <v>1540</v>
      </c>
      <c r="R138" s="3" t="s">
        <v>12</v>
      </c>
      <c r="S138" s="3" t="s">
        <v>1541</v>
      </c>
      <c r="T138" s="3" t="s">
        <v>1542</v>
      </c>
      <c r="U138" s="3"/>
    </row>
    <row r="139" spans="1:21" x14ac:dyDescent="0.25">
      <c r="A139" s="251">
        <v>46073</v>
      </c>
      <c r="B139" s="3" t="s">
        <v>1695</v>
      </c>
      <c r="C139" s="3" t="s">
        <v>1696</v>
      </c>
      <c r="D139" s="3" t="s">
        <v>12</v>
      </c>
      <c r="E139" s="3" t="s">
        <v>1697</v>
      </c>
      <c r="F139" s="3" t="s">
        <v>93</v>
      </c>
      <c r="G139" s="199"/>
      <c r="H139" s="199"/>
      <c r="I139" s="199"/>
      <c r="J139" s="199" t="s">
        <v>2690</v>
      </c>
      <c r="K139" s="199">
        <v>4</v>
      </c>
      <c r="L139" s="106">
        <v>20</v>
      </c>
      <c r="M139" s="7"/>
      <c r="O139" s="3"/>
      <c r="P139" s="3" t="s">
        <v>397</v>
      </c>
      <c r="Q139" s="3" t="s">
        <v>398</v>
      </c>
      <c r="R139" s="3" t="s">
        <v>12</v>
      </c>
      <c r="S139" s="3" t="s">
        <v>399</v>
      </c>
      <c r="T139" s="3" t="s">
        <v>311</v>
      </c>
      <c r="U139" s="3"/>
    </row>
    <row r="140" spans="1:21" x14ac:dyDescent="0.25">
      <c r="A140" s="251">
        <v>46073</v>
      </c>
      <c r="B140" s="3" t="s">
        <v>1928</v>
      </c>
      <c r="C140" s="3" t="s">
        <v>2363</v>
      </c>
      <c r="D140" s="3" t="s">
        <v>0</v>
      </c>
      <c r="E140" s="3" t="s">
        <v>1605</v>
      </c>
      <c r="F140" s="3" t="s">
        <v>33</v>
      </c>
      <c r="G140" s="3"/>
      <c r="H140" s="3"/>
      <c r="I140" s="3"/>
      <c r="J140" s="3" t="s">
        <v>2688</v>
      </c>
      <c r="K140" s="3">
        <v>1</v>
      </c>
      <c r="L140" s="5">
        <v>15.5</v>
      </c>
      <c r="M140" s="7"/>
      <c r="O140" s="3"/>
      <c r="P140" s="3" t="s">
        <v>1543</v>
      </c>
      <c r="Q140" s="3" t="s">
        <v>1544</v>
      </c>
      <c r="R140" s="3" t="s">
        <v>12</v>
      </c>
      <c r="S140" s="3" t="s">
        <v>1545</v>
      </c>
      <c r="T140" s="3" t="s">
        <v>1546</v>
      </c>
      <c r="U140" s="3"/>
    </row>
    <row r="141" spans="1:21" x14ac:dyDescent="0.25">
      <c r="A141" s="251">
        <v>46073</v>
      </c>
      <c r="B141" s="3" t="s">
        <v>1150</v>
      </c>
      <c r="C141" s="3" t="s">
        <v>1151</v>
      </c>
      <c r="D141" s="3" t="s">
        <v>0</v>
      </c>
      <c r="E141" s="3" t="s">
        <v>1152</v>
      </c>
      <c r="F141" s="3" t="s">
        <v>86</v>
      </c>
      <c r="G141" s="3"/>
      <c r="H141" s="3"/>
      <c r="I141" s="3"/>
      <c r="J141" s="3" t="s">
        <v>2688</v>
      </c>
      <c r="K141" s="3">
        <v>1</v>
      </c>
      <c r="L141" s="5">
        <v>5</v>
      </c>
      <c r="O141" s="3"/>
      <c r="P141" s="3" t="s">
        <v>400</v>
      </c>
      <c r="Q141" s="3" t="s">
        <v>401</v>
      </c>
      <c r="R141" s="3" t="s">
        <v>12</v>
      </c>
      <c r="S141" s="3" t="s">
        <v>402</v>
      </c>
      <c r="T141" s="3" t="s">
        <v>340</v>
      </c>
      <c r="U141" s="3"/>
    </row>
    <row r="142" spans="1:21" ht="15.75" thickBot="1" x14ac:dyDescent="0.3">
      <c r="A142" s="226">
        <v>46073</v>
      </c>
      <c r="B142" s="227" t="s">
        <v>2405</v>
      </c>
      <c r="C142" s="227" t="s">
        <v>2406</v>
      </c>
      <c r="D142" s="227" t="s">
        <v>12</v>
      </c>
      <c r="E142" s="227" t="s">
        <v>2408</v>
      </c>
      <c r="F142" s="227" t="s">
        <v>1758</v>
      </c>
      <c r="G142" s="227"/>
      <c r="H142" s="227"/>
      <c r="I142" s="227"/>
      <c r="J142" s="227" t="s">
        <v>2688</v>
      </c>
      <c r="K142" s="227">
        <v>1</v>
      </c>
      <c r="L142" s="340">
        <v>5</v>
      </c>
      <c r="M142" s="258">
        <f>SUM(L139:L142)</f>
        <v>45.5</v>
      </c>
      <c r="O142" s="3"/>
      <c r="P142" s="3" t="s">
        <v>403</v>
      </c>
      <c r="Q142" s="3" t="s">
        <v>404</v>
      </c>
      <c r="R142" s="3" t="s">
        <v>12</v>
      </c>
      <c r="S142" s="3" t="s">
        <v>405</v>
      </c>
      <c r="T142" s="3" t="s">
        <v>406</v>
      </c>
      <c r="U142" s="3"/>
    </row>
    <row r="143" spans="1:21" ht="15.75" thickBot="1" x14ac:dyDescent="0.3">
      <c r="A143" s="341">
        <v>46074</v>
      </c>
      <c r="B143" s="342" t="s">
        <v>901</v>
      </c>
      <c r="C143" s="342" t="s">
        <v>902</v>
      </c>
      <c r="D143" s="342" t="s">
        <v>0</v>
      </c>
      <c r="E143" s="342" t="s">
        <v>903</v>
      </c>
      <c r="F143" s="342" t="s">
        <v>904</v>
      </c>
      <c r="G143" s="342"/>
      <c r="H143" s="342"/>
      <c r="I143" s="342"/>
      <c r="J143" s="342" t="s">
        <v>2688</v>
      </c>
      <c r="K143" s="342">
        <v>1</v>
      </c>
      <c r="L143" s="343">
        <v>11.5</v>
      </c>
      <c r="M143" s="185">
        <v>11.5</v>
      </c>
      <c r="O143" s="3"/>
      <c r="P143" s="3" t="s">
        <v>407</v>
      </c>
      <c r="Q143" s="3" t="s">
        <v>408</v>
      </c>
      <c r="R143" s="3" t="s">
        <v>12</v>
      </c>
      <c r="S143" s="3" t="s">
        <v>409</v>
      </c>
      <c r="T143" s="3" t="s">
        <v>44</v>
      </c>
      <c r="U143" s="3"/>
    </row>
    <row r="144" spans="1:21" x14ac:dyDescent="0.25">
      <c r="A144" s="251">
        <v>46076</v>
      </c>
      <c r="B144" s="3" t="s">
        <v>652</v>
      </c>
      <c r="C144" s="3" t="s">
        <v>653</v>
      </c>
      <c r="D144" s="3" t="s">
        <v>12</v>
      </c>
      <c r="E144" s="3" t="s">
        <v>654</v>
      </c>
      <c r="F144" s="3" t="s">
        <v>43</v>
      </c>
      <c r="G144" s="199"/>
      <c r="H144" s="199"/>
      <c r="I144" s="199"/>
      <c r="J144" s="199" t="s">
        <v>2725</v>
      </c>
      <c r="K144" s="199">
        <v>3</v>
      </c>
      <c r="L144" s="106">
        <v>15</v>
      </c>
      <c r="M144" s="7"/>
      <c r="O144" s="3"/>
      <c r="P144" s="3" t="s">
        <v>2085</v>
      </c>
      <c r="Q144" s="3" t="s">
        <v>2086</v>
      </c>
      <c r="R144" s="3" t="s">
        <v>12</v>
      </c>
      <c r="S144" s="3" t="s">
        <v>2087</v>
      </c>
      <c r="T144" s="3" t="s">
        <v>311</v>
      </c>
      <c r="U144" s="3"/>
    </row>
    <row r="145" spans="1:21" x14ac:dyDescent="0.25">
      <c r="A145" s="220">
        <v>46076</v>
      </c>
      <c r="B145" s="3" t="s">
        <v>497</v>
      </c>
      <c r="C145" s="3" t="s">
        <v>498</v>
      </c>
      <c r="D145" s="3" t="s">
        <v>12</v>
      </c>
      <c r="E145" s="3" t="s">
        <v>499</v>
      </c>
      <c r="F145" s="3" t="s">
        <v>43</v>
      </c>
      <c r="G145" s="3"/>
      <c r="H145" s="3"/>
      <c r="I145" s="3"/>
      <c r="J145" s="199" t="s">
        <v>2725</v>
      </c>
      <c r="K145" s="199">
        <v>3</v>
      </c>
      <c r="L145" s="5">
        <v>65.5</v>
      </c>
      <c r="O145" s="3"/>
      <c r="P145" s="3" t="s">
        <v>410</v>
      </c>
      <c r="Q145" s="3" t="s">
        <v>411</v>
      </c>
      <c r="R145" s="3" t="s">
        <v>12</v>
      </c>
      <c r="S145" s="3" t="s">
        <v>412</v>
      </c>
      <c r="T145" s="3" t="s">
        <v>43</v>
      </c>
      <c r="U145" s="3"/>
    </row>
    <row r="146" spans="1:21" x14ac:dyDescent="0.25">
      <c r="A146" s="220">
        <v>46076</v>
      </c>
      <c r="B146" s="3" t="s">
        <v>2231</v>
      </c>
      <c r="C146" s="3" t="s">
        <v>2232</v>
      </c>
      <c r="D146" s="3" t="s">
        <v>0</v>
      </c>
      <c r="E146" s="3" t="s">
        <v>2233</v>
      </c>
      <c r="F146" s="3" t="s">
        <v>86</v>
      </c>
      <c r="G146" s="3"/>
      <c r="H146" s="3"/>
      <c r="I146" s="3"/>
      <c r="J146" s="199" t="s">
        <v>2725</v>
      </c>
      <c r="K146" s="199">
        <v>3</v>
      </c>
      <c r="L146" s="5">
        <v>62.5</v>
      </c>
      <c r="O146" s="3"/>
      <c r="P146" s="3" t="s">
        <v>1547</v>
      </c>
      <c r="Q146" s="3" t="s">
        <v>1548</v>
      </c>
      <c r="R146" s="3" t="s">
        <v>12</v>
      </c>
      <c r="S146" s="3" t="s">
        <v>1549</v>
      </c>
      <c r="T146" s="3" t="s">
        <v>46</v>
      </c>
      <c r="U146" s="3"/>
    </row>
    <row r="147" spans="1:21" x14ac:dyDescent="0.25">
      <c r="A147" s="220">
        <v>46076</v>
      </c>
      <c r="B147" s="3" t="s">
        <v>2291</v>
      </c>
      <c r="C147" s="3" t="s">
        <v>2292</v>
      </c>
      <c r="D147" s="3" t="s">
        <v>0</v>
      </c>
      <c r="E147" s="3" t="s">
        <v>2293</v>
      </c>
      <c r="F147" s="3" t="s">
        <v>86</v>
      </c>
      <c r="G147" s="3"/>
      <c r="H147" s="3"/>
      <c r="I147" s="3"/>
      <c r="J147" s="3" t="s">
        <v>2695</v>
      </c>
      <c r="K147" s="3">
        <v>2</v>
      </c>
      <c r="L147" s="5">
        <v>10</v>
      </c>
      <c r="O147" s="3"/>
      <c r="P147" s="3" t="s">
        <v>413</v>
      </c>
      <c r="Q147" s="3" t="s">
        <v>414</v>
      </c>
      <c r="R147" s="3" t="s">
        <v>12</v>
      </c>
      <c r="S147" s="3" t="s">
        <v>415</v>
      </c>
      <c r="T147" s="3" t="s">
        <v>327</v>
      </c>
      <c r="U147" s="3"/>
    </row>
    <row r="148" spans="1:21" x14ac:dyDescent="0.25">
      <c r="A148" s="220">
        <v>46076</v>
      </c>
      <c r="B148" s="3" t="s">
        <v>2285</v>
      </c>
      <c r="C148" s="3" t="s">
        <v>2286</v>
      </c>
      <c r="D148" s="3" t="s">
        <v>0</v>
      </c>
      <c r="E148" s="3" t="s">
        <v>2287</v>
      </c>
      <c r="F148" s="3" t="s">
        <v>86</v>
      </c>
      <c r="G148" s="3"/>
      <c r="H148" s="3"/>
      <c r="I148" s="3"/>
      <c r="J148" s="3" t="s">
        <v>2695</v>
      </c>
      <c r="K148" s="3">
        <v>2</v>
      </c>
      <c r="L148" s="5">
        <v>13.5</v>
      </c>
      <c r="O148" s="3"/>
      <c r="P148" s="3" t="s">
        <v>416</v>
      </c>
      <c r="Q148" s="3" t="s">
        <v>417</v>
      </c>
      <c r="R148" s="3" t="s">
        <v>12</v>
      </c>
      <c r="S148" s="3" t="s">
        <v>418</v>
      </c>
      <c r="T148" s="3" t="s">
        <v>419</v>
      </c>
      <c r="U148" s="3"/>
    </row>
    <row r="149" spans="1:21" x14ac:dyDescent="0.25">
      <c r="A149" s="220">
        <v>46076</v>
      </c>
      <c r="B149" s="3" t="s">
        <v>2231</v>
      </c>
      <c r="C149" s="3" t="s">
        <v>2232</v>
      </c>
      <c r="D149" s="3" t="s">
        <v>0</v>
      </c>
      <c r="E149" s="3" t="s">
        <v>2233</v>
      </c>
      <c r="F149" s="3" t="s">
        <v>86</v>
      </c>
      <c r="G149" s="3"/>
      <c r="H149" s="3"/>
      <c r="I149" s="3"/>
      <c r="J149" s="3" t="s">
        <v>2695</v>
      </c>
      <c r="K149" s="3">
        <v>2</v>
      </c>
      <c r="L149" s="5">
        <v>10</v>
      </c>
      <c r="O149" s="3"/>
      <c r="P149" s="3" t="s">
        <v>2088</v>
      </c>
      <c r="Q149" s="3" t="s">
        <v>2089</v>
      </c>
      <c r="R149" s="3" t="s">
        <v>12</v>
      </c>
      <c r="S149" s="3" t="s">
        <v>2090</v>
      </c>
      <c r="T149" s="3" t="s">
        <v>307</v>
      </c>
      <c r="U149" s="3"/>
    </row>
    <row r="150" spans="1:21" x14ac:dyDescent="0.25">
      <c r="A150" s="220">
        <v>46076</v>
      </c>
      <c r="B150" s="3" t="s">
        <v>1308</v>
      </c>
      <c r="C150" s="3" t="s">
        <v>1309</v>
      </c>
      <c r="D150" s="3" t="s">
        <v>0</v>
      </c>
      <c r="E150" s="3" t="s">
        <v>1310</v>
      </c>
      <c r="F150" s="3" t="s">
        <v>86</v>
      </c>
      <c r="G150" s="3"/>
      <c r="H150" s="3"/>
      <c r="I150" s="3"/>
      <c r="J150" s="3" t="s">
        <v>2695</v>
      </c>
      <c r="K150" s="3">
        <v>2</v>
      </c>
      <c r="L150" s="5">
        <v>70</v>
      </c>
      <c r="O150" s="3"/>
      <c r="P150" s="3" t="s">
        <v>420</v>
      </c>
      <c r="Q150" s="3" t="s">
        <v>421</v>
      </c>
      <c r="R150" s="3" t="s">
        <v>12</v>
      </c>
      <c r="S150" s="3" t="s">
        <v>422</v>
      </c>
      <c r="T150" s="3" t="s">
        <v>315</v>
      </c>
      <c r="U150" s="3"/>
    </row>
    <row r="151" spans="1:21" ht="15.75" thickBot="1" x14ac:dyDescent="0.3">
      <c r="A151" s="226">
        <v>46076</v>
      </c>
      <c r="B151" s="227" t="s">
        <v>238</v>
      </c>
      <c r="C151" s="227" t="s">
        <v>239</v>
      </c>
      <c r="D151" s="227" t="s">
        <v>13</v>
      </c>
      <c r="E151" s="227" t="s">
        <v>240</v>
      </c>
      <c r="F151" s="227" t="s">
        <v>43</v>
      </c>
      <c r="G151" s="227"/>
      <c r="H151" s="227"/>
      <c r="I151" s="227"/>
      <c r="J151" s="227" t="s">
        <v>2688</v>
      </c>
      <c r="K151" s="227">
        <v>1</v>
      </c>
      <c r="L151" s="118">
        <v>40.5</v>
      </c>
      <c r="M151" s="258">
        <f>SUM(L144:L151)</f>
        <v>287</v>
      </c>
      <c r="O151" s="3"/>
      <c r="P151" s="3" t="s">
        <v>2091</v>
      </c>
      <c r="Q151" s="3" t="s">
        <v>2092</v>
      </c>
      <c r="R151" s="3" t="s">
        <v>12</v>
      </c>
      <c r="S151" s="3" t="s">
        <v>2093</v>
      </c>
      <c r="T151" s="3" t="s">
        <v>1528</v>
      </c>
      <c r="U151" s="3"/>
    </row>
    <row r="152" spans="1:21" x14ac:dyDescent="0.25">
      <c r="A152" s="251">
        <v>46077</v>
      </c>
      <c r="B152" s="3" t="s">
        <v>91</v>
      </c>
      <c r="C152" s="3" t="s">
        <v>146</v>
      </c>
      <c r="D152" s="3" t="s">
        <v>12</v>
      </c>
      <c r="E152" s="3" t="s">
        <v>92</v>
      </c>
      <c r="F152" s="3" t="s">
        <v>93</v>
      </c>
      <c r="G152" s="199"/>
      <c r="H152" s="199"/>
      <c r="I152" s="199"/>
      <c r="J152" s="199" t="s">
        <v>2691</v>
      </c>
      <c r="K152" s="199">
        <v>3</v>
      </c>
      <c r="L152" s="106">
        <v>30.5</v>
      </c>
      <c r="O152" s="3"/>
      <c r="P152" s="3" t="s">
        <v>1550</v>
      </c>
      <c r="Q152" s="3" t="s">
        <v>1551</v>
      </c>
      <c r="R152" s="3" t="s">
        <v>12</v>
      </c>
      <c r="S152" s="3" t="s">
        <v>1552</v>
      </c>
      <c r="T152" s="3" t="s">
        <v>44</v>
      </c>
      <c r="U152" s="3"/>
    </row>
    <row r="153" spans="1:21" x14ac:dyDescent="0.25">
      <c r="A153" s="220">
        <v>46077</v>
      </c>
      <c r="B153" s="3" t="s">
        <v>1455</v>
      </c>
      <c r="C153" s="3" t="s">
        <v>1456</v>
      </c>
      <c r="D153" s="3" t="s">
        <v>13</v>
      </c>
      <c r="E153" s="3" t="s">
        <v>1457</v>
      </c>
      <c r="F153" s="3" t="s">
        <v>43</v>
      </c>
      <c r="G153" s="3"/>
      <c r="H153" s="3"/>
      <c r="I153" s="3"/>
      <c r="J153" s="3" t="s">
        <v>2695</v>
      </c>
      <c r="K153" s="3">
        <v>2</v>
      </c>
      <c r="L153" s="5">
        <v>10</v>
      </c>
      <c r="O153" s="3"/>
      <c r="P153" s="3" t="s">
        <v>1553</v>
      </c>
      <c r="Q153" s="3" t="s">
        <v>1554</v>
      </c>
      <c r="R153" s="3" t="s">
        <v>12</v>
      </c>
      <c r="S153" s="3" t="s">
        <v>1555</v>
      </c>
      <c r="T153" s="3" t="s">
        <v>1528</v>
      </c>
      <c r="U153" s="3"/>
    </row>
    <row r="154" spans="1:21" x14ac:dyDescent="0.25">
      <c r="A154" s="220">
        <v>46077</v>
      </c>
      <c r="B154" s="3" t="s">
        <v>1464</v>
      </c>
      <c r="C154" s="3" t="s">
        <v>1465</v>
      </c>
      <c r="D154" s="3" t="s">
        <v>13</v>
      </c>
      <c r="E154" s="3" t="s">
        <v>1466</v>
      </c>
      <c r="F154" s="3" t="s">
        <v>43</v>
      </c>
      <c r="G154" s="3"/>
      <c r="H154" s="3"/>
      <c r="I154" s="3"/>
      <c r="J154" s="3" t="s">
        <v>2695</v>
      </c>
      <c r="K154" s="3">
        <v>2</v>
      </c>
      <c r="L154" s="5">
        <v>24</v>
      </c>
      <c r="O154" s="3"/>
      <c r="P154" s="3" t="s">
        <v>423</v>
      </c>
      <c r="Q154" s="3" t="s">
        <v>424</v>
      </c>
      <c r="R154" s="3" t="s">
        <v>12</v>
      </c>
      <c r="S154" s="3" t="s">
        <v>425</v>
      </c>
      <c r="T154" s="3" t="s">
        <v>327</v>
      </c>
      <c r="U154" s="3"/>
    </row>
    <row r="155" spans="1:21" x14ac:dyDescent="0.25">
      <c r="A155" s="220">
        <v>46077</v>
      </c>
      <c r="B155" s="3" t="s">
        <v>1689</v>
      </c>
      <c r="C155" s="3" t="s">
        <v>1690</v>
      </c>
      <c r="D155" s="3" t="s">
        <v>12</v>
      </c>
      <c r="E155" s="3" t="s">
        <v>1691</v>
      </c>
      <c r="F155" s="3" t="s">
        <v>47</v>
      </c>
      <c r="G155" s="3"/>
      <c r="H155" s="3"/>
      <c r="I155" s="3"/>
      <c r="J155" s="3" t="s">
        <v>2695</v>
      </c>
      <c r="K155" s="3">
        <v>2</v>
      </c>
      <c r="L155" s="5">
        <v>10</v>
      </c>
      <c r="M155" s="7" t="s">
        <v>51</v>
      </c>
      <c r="O155" s="3"/>
      <c r="P155" s="3" t="s">
        <v>2094</v>
      </c>
      <c r="Q155" s="3" t="s">
        <v>2095</v>
      </c>
      <c r="R155" s="3" t="s">
        <v>12</v>
      </c>
      <c r="S155" s="3" t="s">
        <v>2096</v>
      </c>
      <c r="T155" s="3" t="s">
        <v>327</v>
      </c>
      <c r="U155" s="3"/>
    </row>
    <row r="156" spans="1:21" x14ac:dyDescent="0.25">
      <c r="A156" s="220">
        <v>46077</v>
      </c>
      <c r="B156" s="3" t="s">
        <v>1031</v>
      </c>
      <c r="C156" s="3" t="s">
        <v>1032</v>
      </c>
      <c r="D156" s="3" t="s">
        <v>0</v>
      </c>
      <c r="E156" s="3" t="s">
        <v>1033</v>
      </c>
      <c r="F156" s="3" t="s">
        <v>1034</v>
      </c>
      <c r="G156" s="3"/>
      <c r="H156" s="3"/>
      <c r="I156" s="3"/>
      <c r="J156" s="3" t="s">
        <v>2688</v>
      </c>
      <c r="K156" s="3">
        <v>1</v>
      </c>
      <c r="L156" s="5">
        <v>5</v>
      </c>
      <c r="O156" s="3"/>
      <c r="P156" s="3" t="s">
        <v>426</v>
      </c>
      <c r="Q156" s="3" t="s">
        <v>427</v>
      </c>
      <c r="R156" s="3" t="s">
        <v>12</v>
      </c>
      <c r="S156" s="3" t="s">
        <v>428</v>
      </c>
      <c r="T156" s="3" t="s">
        <v>327</v>
      </c>
      <c r="U156" s="3"/>
    </row>
    <row r="157" spans="1:21" x14ac:dyDescent="0.25">
      <c r="A157" s="220">
        <v>46077</v>
      </c>
      <c r="B157" s="3" t="s">
        <v>1654</v>
      </c>
      <c r="C157" s="3" t="s">
        <v>1655</v>
      </c>
      <c r="D157" s="3" t="s">
        <v>12</v>
      </c>
      <c r="E157" s="3" t="s">
        <v>1656</v>
      </c>
      <c r="F157" s="3" t="s">
        <v>48</v>
      </c>
      <c r="G157" s="3"/>
      <c r="H157" s="3"/>
      <c r="I157" s="3"/>
      <c r="J157" s="3" t="s">
        <v>2688</v>
      </c>
      <c r="K157" s="3">
        <v>1</v>
      </c>
      <c r="L157" s="5">
        <v>5</v>
      </c>
      <c r="O157" s="3"/>
      <c r="P157" s="3" t="s">
        <v>429</v>
      </c>
      <c r="Q157" s="3" t="s">
        <v>430</v>
      </c>
      <c r="R157" s="3" t="s">
        <v>12</v>
      </c>
      <c r="S157" s="3" t="s">
        <v>431</v>
      </c>
      <c r="T157" s="3" t="s">
        <v>44</v>
      </c>
      <c r="U157" s="3"/>
    </row>
    <row r="158" spans="1:21" x14ac:dyDescent="0.25">
      <c r="A158" s="220">
        <v>46077</v>
      </c>
      <c r="B158" s="3" t="s">
        <v>1819</v>
      </c>
      <c r="C158" s="3" t="s">
        <v>1820</v>
      </c>
      <c r="D158" s="3" t="s">
        <v>14</v>
      </c>
      <c r="E158" s="3" t="s">
        <v>1821</v>
      </c>
      <c r="F158" s="3" t="s">
        <v>32</v>
      </c>
      <c r="G158" s="3"/>
      <c r="H158" s="3"/>
      <c r="I158" s="3"/>
      <c r="J158" s="3" t="s">
        <v>2688</v>
      </c>
      <c r="K158" s="3">
        <v>1</v>
      </c>
      <c r="L158" s="5">
        <v>5</v>
      </c>
      <c r="O158" s="3"/>
      <c r="P158" s="3"/>
      <c r="Q158" s="3"/>
      <c r="R158" s="3"/>
      <c r="S158" s="3"/>
      <c r="T158" s="3"/>
      <c r="U158" s="3"/>
    </row>
    <row r="159" spans="1:21" x14ac:dyDescent="0.25">
      <c r="A159" s="220">
        <v>46077</v>
      </c>
      <c r="B159" s="3" t="s">
        <v>465</v>
      </c>
      <c r="C159" s="3" t="s">
        <v>466</v>
      </c>
      <c r="D159" s="3" t="s">
        <v>12</v>
      </c>
      <c r="E159" s="3" t="s">
        <v>467</v>
      </c>
      <c r="F159" s="3" t="s">
        <v>44</v>
      </c>
      <c r="G159" s="3"/>
      <c r="H159" s="3"/>
      <c r="I159" s="3"/>
      <c r="J159" s="3" t="s">
        <v>2688</v>
      </c>
      <c r="K159" s="3">
        <v>1</v>
      </c>
      <c r="L159" s="5">
        <v>6.5</v>
      </c>
      <c r="O159" s="3"/>
      <c r="P159" s="3" t="s">
        <v>2097</v>
      </c>
      <c r="Q159" s="3" t="s">
        <v>2098</v>
      </c>
      <c r="R159" s="3" t="s">
        <v>12</v>
      </c>
      <c r="S159" s="3" t="s">
        <v>2099</v>
      </c>
      <c r="T159" s="3" t="s">
        <v>47</v>
      </c>
      <c r="U159" s="3"/>
    </row>
    <row r="160" spans="1:21" x14ac:dyDescent="0.25">
      <c r="A160" s="220">
        <v>46077</v>
      </c>
      <c r="B160" s="3" t="s">
        <v>2432</v>
      </c>
      <c r="C160" s="3" t="s">
        <v>2433</v>
      </c>
      <c r="D160" s="3" t="s">
        <v>0</v>
      </c>
      <c r="E160" s="3" t="s">
        <v>467</v>
      </c>
      <c r="F160" s="3" t="s">
        <v>2421</v>
      </c>
      <c r="G160" s="3"/>
      <c r="H160" s="3"/>
      <c r="I160" s="3"/>
      <c r="J160" s="3" t="s">
        <v>2688</v>
      </c>
      <c r="K160" s="3">
        <v>1</v>
      </c>
      <c r="L160" s="5">
        <v>7.5</v>
      </c>
      <c r="O160" s="3"/>
      <c r="P160" s="3" t="s">
        <v>432</v>
      </c>
      <c r="Q160" s="3" t="s">
        <v>433</v>
      </c>
      <c r="R160" s="3" t="s">
        <v>12</v>
      </c>
      <c r="S160" s="3" t="s">
        <v>434</v>
      </c>
      <c r="T160" s="3" t="s">
        <v>43</v>
      </c>
      <c r="U160" s="3"/>
    </row>
    <row r="161" spans="1:21" x14ac:dyDescent="0.25">
      <c r="A161" s="251">
        <v>46077</v>
      </c>
      <c r="B161" s="3" t="s">
        <v>1144</v>
      </c>
      <c r="C161" s="3" t="s">
        <v>1145</v>
      </c>
      <c r="D161" s="3" t="s">
        <v>0</v>
      </c>
      <c r="E161" s="3" t="s">
        <v>1146</v>
      </c>
      <c r="F161" s="3" t="s">
        <v>34</v>
      </c>
      <c r="G161" s="3"/>
      <c r="H161" s="3"/>
      <c r="I161" s="3"/>
      <c r="J161" s="3" t="s">
        <v>2688</v>
      </c>
      <c r="K161" s="3">
        <v>1</v>
      </c>
      <c r="L161" s="5">
        <v>27.5</v>
      </c>
      <c r="O161" s="3"/>
      <c r="P161" s="3" t="s">
        <v>435</v>
      </c>
      <c r="Q161" s="3" t="s">
        <v>436</v>
      </c>
      <c r="R161" s="3" t="s">
        <v>12</v>
      </c>
      <c r="S161" s="3" t="s">
        <v>437</v>
      </c>
      <c r="T161" s="3" t="s">
        <v>48</v>
      </c>
      <c r="U161" s="3"/>
    </row>
    <row r="162" spans="1:21" x14ac:dyDescent="0.25">
      <c r="A162" s="251">
        <v>46077</v>
      </c>
      <c r="B162" s="3" t="s">
        <v>783</v>
      </c>
      <c r="C162" s="3" t="s">
        <v>784</v>
      </c>
      <c r="D162" s="3" t="s">
        <v>12</v>
      </c>
      <c r="E162" s="3" t="s">
        <v>785</v>
      </c>
      <c r="F162" s="3" t="s">
        <v>44</v>
      </c>
      <c r="G162" s="3"/>
      <c r="H162" s="3"/>
      <c r="I162" s="3"/>
      <c r="J162" s="3" t="s">
        <v>2688</v>
      </c>
      <c r="K162" s="3">
        <v>1</v>
      </c>
      <c r="L162" s="5">
        <v>5</v>
      </c>
      <c r="N162" t="s">
        <v>2519</v>
      </c>
      <c r="O162" s="3"/>
      <c r="P162" s="3" t="s">
        <v>1556</v>
      </c>
      <c r="Q162" s="3" t="s">
        <v>1557</v>
      </c>
      <c r="R162" s="3" t="s">
        <v>12</v>
      </c>
      <c r="S162" s="3" t="s">
        <v>1558</v>
      </c>
      <c r="T162" s="3" t="s">
        <v>47</v>
      </c>
      <c r="U162" s="3"/>
    </row>
    <row r="163" spans="1:21" x14ac:dyDescent="0.25">
      <c r="A163" s="251">
        <v>46077</v>
      </c>
      <c r="B163" s="3" t="s">
        <v>83</v>
      </c>
      <c r="C163" s="3" t="s">
        <v>84</v>
      </c>
      <c r="D163" s="3" t="s">
        <v>0</v>
      </c>
      <c r="E163" s="3" t="s">
        <v>2331</v>
      </c>
      <c r="F163" s="3" t="s">
        <v>1924</v>
      </c>
      <c r="G163" s="3"/>
      <c r="H163" s="3"/>
      <c r="I163" s="3"/>
      <c r="J163" s="3" t="s">
        <v>2688</v>
      </c>
      <c r="K163" s="3">
        <v>1</v>
      </c>
      <c r="L163" s="5">
        <v>53.5</v>
      </c>
      <c r="O163" s="3"/>
      <c r="P163" s="3"/>
      <c r="Q163" s="3"/>
      <c r="R163" s="3"/>
      <c r="S163" s="3"/>
      <c r="T163" s="3"/>
      <c r="U163" s="3"/>
    </row>
    <row r="164" spans="1:21" x14ac:dyDescent="0.25">
      <c r="A164" s="251">
        <v>46077</v>
      </c>
      <c r="B164" s="3" t="s">
        <v>658</v>
      </c>
      <c r="C164" s="3" t="s">
        <v>659</v>
      </c>
      <c r="D164" s="3" t="s">
        <v>12</v>
      </c>
      <c r="E164" s="3" t="s">
        <v>660</v>
      </c>
      <c r="F164" s="3" t="s">
        <v>44</v>
      </c>
      <c r="G164" s="3"/>
      <c r="H164" s="3"/>
      <c r="I164" s="3"/>
      <c r="J164" s="3" t="s">
        <v>2688</v>
      </c>
      <c r="K164" s="3">
        <v>1</v>
      </c>
      <c r="L164" s="5">
        <v>33.5</v>
      </c>
      <c r="M164" s="7"/>
      <c r="O164" s="3"/>
      <c r="P164" s="3" t="s">
        <v>1559</v>
      </c>
      <c r="Q164" s="3" t="s">
        <v>1560</v>
      </c>
      <c r="R164" s="3" t="s">
        <v>12</v>
      </c>
      <c r="S164" s="3" t="s">
        <v>1561</v>
      </c>
      <c r="T164" s="3" t="s">
        <v>48</v>
      </c>
      <c r="U164" s="3"/>
    </row>
    <row r="165" spans="1:21" ht="15.75" thickBot="1" x14ac:dyDescent="0.3">
      <c r="A165" s="226">
        <v>46077</v>
      </c>
      <c r="B165" s="227" t="s">
        <v>563</v>
      </c>
      <c r="C165" s="227" t="s">
        <v>564</v>
      </c>
      <c r="D165" s="227" t="s">
        <v>12</v>
      </c>
      <c r="E165" s="227" t="s">
        <v>565</v>
      </c>
      <c r="F165" s="227" t="s">
        <v>44</v>
      </c>
      <c r="G165" s="227"/>
      <c r="H165" s="227"/>
      <c r="I165" s="227"/>
      <c r="J165" s="227" t="s">
        <v>2688</v>
      </c>
      <c r="K165" s="227">
        <v>1</v>
      </c>
      <c r="L165" s="118">
        <v>10.5</v>
      </c>
      <c r="M165" s="258">
        <f>SUM(L152:L165)</f>
        <v>233.5</v>
      </c>
      <c r="O165" s="3"/>
      <c r="P165" s="3" t="s">
        <v>2100</v>
      </c>
      <c r="Q165" s="3" t="s">
        <v>2101</v>
      </c>
      <c r="R165" s="3" t="s">
        <v>12</v>
      </c>
      <c r="S165" s="3" t="s">
        <v>2102</v>
      </c>
      <c r="T165" s="3" t="s">
        <v>48</v>
      </c>
      <c r="U165" s="3"/>
    </row>
    <row r="166" spans="1:21" x14ac:dyDescent="0.25">
      <c r="A166" s="251">
        <v>46078</v>
      </c>
      <c r="B166" s="3" t="s">
        <v>2148</v>
      </c>
      <c r="C166" s="3" t="s">
        <v>2371</v>
      </c>
      <c r="D166" s="3" t="s">
        <v>12</v>
      </c>
      <c r="E166" s="3" t="s">
        <v>2149</v>
      </c>
      <c r="F166" s="3" t="s">
        <v>43</v>
      </c>
      <c r="G166" s="199"/>
      <c r="H166" s="199"/>
      <c r="I166" s="199"/>
      <c r="J166" s="199" t="s">
        <v>2744</v>
      </c>
      <c r="K166" s="199">
        <v>6</v>
      </c>
      <c r="L166" s="106">
        <v>68.5</v>
      </c>
      <c r="M166" s="7"/>
      <c r="O166" s="3"/>
      <c r="P166" s="3" t="s">
        <v>438</v>
      </c>
      <c r="Q166" s="3" t="s">
        <v>439</v>
      </c>
      <c r="R166" s="3" t="s">
        <v>12</v>
      </c>
      <c r="S166" s="3" t="s">
        <v>440</v>
      </c>
      <c r="T166" s="3" t="s">
        <v>48</v>
      </c>
      <c r="U166" s="3"/>
    </row>
    <row r="167" spans="1:21" x14ac:dyDescent="0.25">
      <c r="A167" s="251">
        <v>46078</v>
      </c>
      <c r="B167" s="3" t="s">
        <v>959</v>
      </c>
      <c r="C167" s="3" t="s">
        <v>960</v>
      </c>
      <c r="D167" s="3" t="s">
        <v>0</v>
      </c>
      <c r="E167" s="3" t="s">
        <v>961</v>
      </c>
      <c r="F167" s="3" t="s">
        <v>39</v>
      </c>
      <c r="G167" s="3"/>
      <c r="H167" s="3"/>
      <c r="I167" s="3"/>
      <c r="J167" s="3" t="s">
        <v>2688</v>
      </c>
      <c r="K167" s="3">
        <v>1</v>
      </c>
      <c r="L167" s="5">
        <v>7.5</v>
      </c>
      <c r="M167" s="7"/>
      <c r="O167" s="3"/>
      <c r="P167" s="3" t="s">
        <v>75</v>
      </c>
      <c r="Q167" s="3" t="s">
        <v>76</v>
      </c>
      <c r="R167" s="3" t="s">
        <v>12</v>
      </c>
      <c r="S167" s="3" t="s">
        <v>1562</v>
      </c>
      <c r="T167" s="3" t="s">
        <v>1563</v>
      </c>
      <c r="U167" s="3"/>
    </row>
    <row r="168" spans="1:21" x14ac:dyDescent="0.25">
      <c r="A168" s="251">
        <v>46078</v>
      </c>
      <c r="B168" s="3" t="s">
        <v>347</v>
      </c>
      <c r="C168" s="3" t="s">
        <v>348</v>
      </c>
      <c r="D168" s="3" t="s">
        <v>12</v>
      </c>
      <c r="E168" s="3" t="s">
        <v>349</v>
      </c>
      <c r="F168" s="3" t="s">
        <v>46</v>
      </c>
      <c r="G168" s="3"/>
      <c r="H168" s="3"/>
      <c r="I168" s="3"/>
      <c r="J168" s="3" t="s">
        <v>2688</v>
      </c>
      <c r="K168" s="3">
        <v>1</v>
      </c>
      <c r="L168" s="5">
        <v>8.5</v>
      </c>
      <c r="O168" s="3"/>
      <c r="P168" s="3" t="s">
        <v>1378</v>
      </c>
      <c r="Q168" s="3" t="s">
        <v>1379</v>
      </c>
      <c r="R168" s="3" t="s">
        <v>12</v>
      </c>
      <c r="S168" s="3" t="s">
        <v>1380</v>
      </c>
      <c r="T168" s="3" t="s">
        <v>44</v>
      </c>
      <c r="U168" s="3"/>
    </row>
    <row r="169" spans="1:21" x14ac:dyDescent="0.25">
      <c r="A169" s="251">
        <v>46078</v>
      </c>
      <c r="B169" s="3" t="s">
        <v>1067</v>
      </c>
      <c r="C169" s="3" t="s">
        <v>1068</v>
      </c>
      <c r="D169" s="3" t="s">
        <v>0</v>
      </c>
      <c r="E169" s="3" t="s">
        <v>1069</v>
      </c>
      <c r="F169" s="3" t="s">
        <v>994</v>
      </c>
      <c r="G169" s="3"/>
      <c r="H169" s="3"/>
      <c r="I169" s="3"/>
      <c r="J169" s="3" t="s">
        <v>2688</v>
      </c>
      <c r="K169" s="3">
        <v>1</v>
      </c>
      <c r="L169" s="5">
        <v>8.5</v>
      </c>
      <c r="M169" s="225"/>
      <c r="O169" s="3"/>
      <c r="P169" s="3" t="s">
        <v>441</v>
      </c>
      <c r="Q169" s="3" t="s">
        <v>442</v>
      </c>
      <c r="R169" s="3" t="s">
        <v>12</v>
      </c>
      <c r="S169" s="3" t="s">
        <v>443</v>
      </c>
      <c r="T169" s="3" t="s">
        <v>129</v>
      </c>
      <c r="U169" s="3"/>
    </row>
    <row r="170" spans="1:21" x14ac:dyDescent="0.25">
      <c r="A170" s="251">
        <v>46078</v>
      </c>
      <c r="B170" s="3" t="s">
        <v>524</v>
      </c>
      <c r="C170" s="3" t="s">
        <v>525</v>
      </c>
      <c r="D170" s="3" t="s">
        <v>12</v>
      </c>
      <c r="E170" s="3" t="s">
        <v>526</v>
      </c>
      <c r="F170" s="3" t="s">
        <v>45</v>
      </c>
      <c r="G170" s="3"/>
      <c r="H170" s="3"/>
      <c r="I170" s="3"/>
      <c r="J170" s="3" t="s">
        <v>2688</v>
      </c>
      <c r="K170" s="3">
        <v>1</v>
      </c>
      <c r="L170" s="5">
        <v>5</v>
      </c>
      <c r="O170" s="3"/>
      <c r="P170" s="3" t="s">
        <v>444</v>
      </c>
      <c r="Q170" s="3" t="s">
        <v>445</v>
      </c>
      <c r="R170" s="3" t="s">
        <v>12</v>
      </c>
      <c r="S170" s="3" t="s">
        <v>446</v>
      </c>
      <c r="T170" s="3" t="s">
        <v>44</v>
      </c>
      <c r="U170" s="3"/>
    </row>
    <row r="171" spans="1:21" x14ac:dyDescent="0.25">
      <c r="A171" s="251">
        <v>46078</v>
      </c>
      <c r="B171" s="3" t="s">
        <v>397</v>
      </c>
      <c r="C171" s="3" t="s">
        <v>398</v>
      </c>
      <c r="D171" s="3" t="s">
        <v>12</v>
      </c>
      <c r="E171" s="3" t="s">
        <v>399</v>
      </c>
      <c r="F171" s="3" t="s">
        <v>311</v>
      </c>
      <c r="G171" s="3"/>
      <c r="H171" s="3"/>
      <c r="I171" s="3"/>
      <c r="J171" s="3" t="s">
        <v>2688</v>
      </c>
      <c r="K171" s="3">
        <v>1</v>
      </c>
      <c r="L171" s="5">
        <v>8.5</v>
      </c>
      <c r="M171" s="225"/>
      <c r="O171" s="3"/>
      <c r="P171" s="3" t="s">
        <v>1564</v>
      </c>
      <c r="Q171" s="3" t="s">
        <v>1565</v>
      </c>
      <c r="R171" s="3" t="s">
        <v>12</v>
      </c>
      <c r="S171" s="3" t="s">
        <v>1566</v>
      </c>
      <c r="T171" s="3" t="s">
        <v>340</v>
      </c>
      <c r="U171" s="3"/>
    </row>
    <row r="172" spans="1:21" ht="15.75" thickBot="1" x14ac:dyDescent="0.3">
      <c r="A172" s="226">
        <v>46078</v>
      </c>
      <c r="B172" s="227" t="s">
        <v>438</v>
      </c>
      <c r="C172" s="227" t="s">
        <v>439</v>
      </c>
      <c r="D172" s="227" t="s">
        <v>12</v>
      </c>
      <c r="E172" s="227" t="s">
        <v>440</v>
      </c>
      <c r="F172" s="227" t="s">
        <v>48</v>
      </c>
      <c r="G172" s="227"/>
      <c r="H172" s="227"/>
      <c r="I172" s="227"/>
      <c r="J172" s="227" t="s">
        <v>2688</v>
      </c>
      <c r="K172" s="227">
        <v>1</v>
      </c>
      <c r="L172" s="118">
        <v>5</v>
      </c>
      <c r="M172" s="258">
        <f>SUM(L166:L172)</f>
        <v>111.5</v>
      </c>
      <c r="O172" s="3"/>
      <c r="P172" s="3" t="s">
        <v>447</v>
      </c>
      <c r="Q172" s="3" t="s">
        <v>448</v>
      </c>
      <c r="R172" s="3" t="s">
        <v>12</v>
      </c>
      <c r="S172" s="3" t="s">
        <v>449</v>
      </c>
      <c r="T172" s="3" t="s">
        <v>45</v>
      </c>
      <c r="U172" s="3"/>
    </row>
    <row r="173" spans="1:21" x14ac:dyDescent="0.25">
      <c r="A173" s="251">
        <v>46079</v>
      </c>
      <c r="B173" s="3" t="s">
        <v>2136</v>
      </c>
      <c r="C173" s="3" t="s">
        <v>2137</v>
      </c>
      <c r="D173" s="3" t="s">
        <v>12</v>
      </c>
      <c r="E173" s="3" t="s">
        <v>2138</v>
      </c>
      <c r="F173" s="3" t="s">
        <v>46</v>
      </c>
      <c r="G173" s="199"/>
      <c r="H173" s="199"/>
      <c r="I173" s="199"/>
      <c r="J173" s="199" t="s">
        <v>2690</v>
      </c>
      <c r="K173" s="199">
        <v>4</v>
      </c>
      <c r="L173" s="106">
        <v>20</v>
      </c>
      <c r="O173" s="3"/>
      <c r="P173" s="3" t="s">
        <v>1567</v>
      </c>
      <c r="Q173" s="3" t="s">
        <v>1568</v>
      </c>
      <c r="R173" s="3" t="s">
        <v>12</v>
      </c>
      <c r="S173" s="3" t="s">
        <v>1569</v>
      </c>
      <c r="T173" s="3" t="s">
        <v>1570</v>
      </c>
      <c r="U173" s="3"/>
    </row>
    <row r="174" spans="1:21" x14ac:dyDescent="0.25">
      <c r="A174" s="251">
        <v>46079</v>
      </c>
      <c r="B174" s="3" t="s">
        <v>2463</v>
      </c>
      <c r="C174" s="3" t="s">
        <v>2464</v>
      </c>
      <c r="D174" s="3" t="s">
        <v>12</v>
      </c>
      <c r="E174" s="3" t="s">
        <v>2468</v>
      </c>
      <c r="F174" s="3" t="s">
        <v>129</v>
      </c>
      <c r="G174" s="3"/>
      <c r="H174" s="3"/>
      <c r="I174" s="3"/>
      <c r="J174" s="3" t="s">
        <v>2688</v>
      </c>
      <c r="K174" s="3">
        <v>1</v>
      </c>
      <c r="L174" s="5">
        <v>5</v>
      </c>
      <c r="O174" s="3"/>
      <c r="P174" s="3" t="s">
        <v>450</v>
      </c>
      <c r="Q174" s="3" t="s">
        <v>451</v>
      </c>
      <c r="R174" s="3" t="s">
        <v>12</v>
      </c>
      <c r="S174" s="3" t="s">
        <v>452</v>
      </c>
      <c r="T174" s="3" t="s">
        <v>49</v>
      </c>
      <c r="U174" s="3"/>
    </row>
    <row r="175" spans="1:21" x14ac:dyDescent="0.25">
      <c r="A175" s="251">
        <v>46079</v>
      </c>
      <c r="B175" s="3" t="s">
        <v>857</v>
      </c>
      <c r="C175" s="3" t="s">
        <v>858</v>
      </c>
      <c r="D175" s="3" t="s">
        <v>14</v>
      </c>
      <c r="E175" s="3" t="s">
        <v>859</v>
      </c>
      <c r="F175" s="3" t="s">
        <v>32</v>
      </c>
      <c r="G175" s="3"/>
      <c r="H175" s="3"/>
      <c r="I175" s="3"/>
      <c r="J175" s="3" t="s">
        <v>2688</v>
      </c>
      <c r="K175" s="3">
        <v>1</v>
      </c>
      <c r="L175" s="5">
        <v>9.5</v>
      </c>
      <c r="M175" s="7"/>
      <c r="O175" s="3"/>
      <c r="P175" s="3" t="s">
        <v>2103</v>
      </c>
      <c r="Q175" s="3" t="s">
        <v>2104</v>
      </c>
      <c r="R175" s="3" t="s">
        <v>12</v>
      </c>
      <c r="S175" s="3" t="s">
        <v>452</v>
      </c>
      <c r="T175" s="3" t="s">
        <v>46</v>
      </c>
      <c r="U175" s="3"/>
    </row>
    <row r="176" spans="1:21" x14ac:dyDescent="0.25">
      <c r="A176" s="251">
        <v>46079</v>
      </c>
      <c r="B176" s="3" t="s">
        <v>804</v>
      </c>
      <c r="C176" s="3" t="s">
        <v>805</v>
      </c>
      <c r="D176" s="3" t="s">
        <v>14</v>
      </c>
      <c r="E176" s="3" t="s">
        <v>803</v>
      </c>
      <c r="F176" s="3" t="s">
        <v>32</v>
      </c>
      <c r="G176" s="3"/>
      <c r="H176" s="3"/>
      <c r="I176" s="3"/>
      <c r="J176" s="3" t="s">
        <v>2688</v>
      </c>
      <c r="K176" s="3">
        <v>1</v>
      </c>
      <c r="L176" s="5">
        <v>5</v>
      </c>
      <c r="M176" s="7"/>
      <c r="O176" s="3"/>
      <c r="P176" s="3" t="s">
        <v>2105</v>
      </c>
      <c r="Q176" s="3" t="s">
        <v>2106</v>
      </c>
      <c r="R176" s="3" t="s">
        <v>12</v>
      </c>
      <c r="S176" s="3" t="s">
        <v>2107</v>
      </c>
      <c r="T176" s="3" t="s">
        <v>1528</v>
      </c>
      <c r="U176" s="3"/>
    </row>
    <row r="177" spans="1:21" x14ac:dyDescent="0.25">
      <c r="A177" s="251">
        <v>46079</v>
      </c>
      <c r="B177" s="3" t="s">
        <v>801</v>
      </c>
      <c r="C177" s="3" t="s">
        <v>802</v>
      </c>
      <c r="D177" s="3" t="s">
        <v>14</v>
      </c>
      <c r="E177" s="3" t="s">
        <v>803</v>
      </c>
      <c r="F177" s="3" t="s">
        <v>32</v>
      </c>
      <c r="G177" s="3"/>
      <c r="H177" s="3"/>
      <c r="I177" s="3"/>
      <c r="J177" s="3" t="s">
        <v>2688</v>
      </c>
      <c r="K177" s="3">
        <v>1</v>
      </c>
      <c r="L177" s="5">
        <v>5</v>
      </c>
      <c r="M177" s="7"/>
      <c r="O177" s="3"/>
      <c r="P177" s="3" t="s">
        <v>453</v>
      </c>
      <c r="Q177" s="3" t="s">
        <v>454</v>
      </c>
      <c r="R177" s="3" t="s">
        <v>12</v>
      </c>
      <c r="S177" s="3" t="s">
        <v>455</v>
      </c>
      <c r="T177" s="3" t="s">
        <v>44</v>
      </c>
      <c r="U177" s="3"/>
    </row>
    <row r="178" spans="1:21" x14ac:dyDescent="0.25">
      <c r="A178" s="251">
        <v>46079</v>
      </c>
      <c r="B178" s="3" t="s">
        <v>837</v>
      </c>
      <c r="C178" s="3" t="s">
        <v>838</v>
      </c>
      <c r="D178" s="3" t="s">
        <v>14</v>
      </c>
      <c r="E178" s="3" t="s">
        <v>839</v>
      </c>
      <c r="F178" s="3" t="s">
        <v>32</v>
      </c>
      <c r="G178" s="3"/>
      <c r="H178" s="3"/>
      <c r="I178" s="3"/>
      <c r="J178" s="3" t="s">
        <v>2688</v>
      </c>
      <c r="K178" s="3">
        <v>1</v>
      </c>
      <c r="L178" s="5">
        <v>35.5</v>
      </c>
      <c r="M178" s="7"/>
      <c r="O178" s="3"/>
      <c r="P178" s="3" t="s">
        <v>101</v>
      </c>
      <c r="Q178" s="3" t="s">
        <v>102</v>
      </c>
      <c r="R178" s="3" t="s">
        <v>12</v>
      </c>
      <c r="S178" s="3" t="s">
        <v>103</v>
      </c>
      <c r="T178" s="3" t="s">
        <v>46</v>
      </c>
      <c r="U178" s="3"/>
    </row>
    <row r="179" spans="1:21" x14ac:dyDescent="0.25">
      <c r="A179" s="251">
        <v>46079</v>
      </c>
      <c r="B179" s="3" t="s">
        <v>834</v>
      </c>
      <c r="C179" s="3" t="s">
        <v>835</v>
      </c>
      <c r="D179" s="3" t="s">
        <v>14</v>
      </c>
      <c r="E179" s="3" t="s">
        <v>836</v>
      </c>
      <c r="F179" s="3" t="s">
        <v>32</v>
      </c>
      <c r="G179" s="3"/>
      <c r="H179" s="3"/>
      <c r="I179" s="3"/>
      <c r="J179" s="3" t="s">
        <v>2688</v>
      </c>
      <c r="K179" s="3">
        <v>1</v>
      </c>
      <c r="L179" s="5">
        <v>9.5</v>
      </c>
      <c r="O179" s="3"/>
      <c r="P179" s="3" t="s">
        <v>1571</v>
      </c>
      <c r="Q179" s="3" t="s">
        <v>1572</v>
      </c>
      <c r="R179" s="3" t="s">
        <v>12</v>
      </c>
      <c r="S179" s="3" t="s">
        <v>1573</v>
      </c>
      <c r="T179" s="3" t="s">
        <v>46</v>
      </c>
      <c r="U179" s="3"/>
    </row>
    <row r="180" spans="1:21" x14ac:dyDescent="0.25">
      <c r="A180" s="251">
        <v>46079</v>
      </c>
      <c r="B180" s="3" t="s">
        <v>220</v>
      </c>
      <c r="C180" s="3" t="s">
        <v>221</v>
      </c>
      <c r="D180" s="3" t="s">
        <v>13</v>
      </c>
      <c r="E180" s="3" t="s">
        <v>222</v>
      </c>
      <c r="F180" s="3" t="s">
        <v>215</v>
      </c>
      <c r="G180" s="3"/>
      <c r="H180" s="3"/>
      <c r="I180" s="3"/>
      <c r="J180" s="3" t="s">
        <v>2688</v>
      </c>
      <c r="K180" s="3">
        <v>1</v>
      </c>
      <c r="L180" s="5">
        <v>40</v>
      </c>
      <c r="O180" s="3"/>
      <c r="P180" s="3" t="s">
        <v>456</v>
      </c>
      <c r="Q180" s="3" t="s">
        <v>457</v>
      </c>
      <c r="R180" s="3" t="s">
        <v>12</v>
      </c>
      <c r="S180" s="3" t="s">
        <v>458</v>
      </c>
      <c r="T180" s="3" t="s">
        <v>129</v>
      </c>
      <c r="U180" s="3"/>
    </row>
    <row r="181" spans="1:21" x14ac:dyDescent="0.25">
      <c r="A181" s="251">
        <v>46079</v>
      </c>
      <c r="B181" s="3" t="s">
        <v>1184</v>
      </c>
      <c r="C181" s="3" t="s">
        <v>1185</v>
      </c>
      <c r="D181" s="3" t="s">
        <v>0</v>
      </c>
      <c r="E181" s="3" t="s">
        <v>1186</v>
      </c>
      <c r="F181" s="3" t="s">
        <v>34</v>
      </c>
      <c r="G181" s="3"/>
      <c r="H181" s="3"/>
      <c r="I181" s="3"/>
      <c r="J181" s="3" t="s">
        <v>2688</v>
      </c>
      <c r="K181" s="3">
        <v>1</v>
      </c>
      <c r="L181" s="5">
        <v>19.5</v>
      </c>
      <c r="O181" s="3"/>
      <c r="P181" s="3" t="s">
        <v>1574</v>
      </c>
      <c r="Q181" s="3" t="s">
        <v>1575</v>
      </c>
      <c r="R181" s="3" t="s">
        <v>12</v>
      </c>
      <c r="S181" s="3" t="s">
        <v>1576</v>
      </c>
      <c r="T181" s="3" t="s">
        <v>48</v>
      </c>
      <c r="U181" s="3"/>
    </row>
    <row r="182" spans="1:21" x14ac:dyDescent="0.25">
      <c r="A182" s="251">
        <v>46079</v>
      </c>
      <c r="B182" s="3" t="s">
        <v>1187</v>
      </c>
      <c r="C182" s="3" t="s">
        <v>1188</v>
      </c>
      <c r="D182" s="3" t="s">
        <v>0</v>
      </c>
      <c r="E182" s="3" t="s">
        <v>1186</v>
      </c>
      <c r="F182" s="3" t="s">
        <v>876</v>
      </c>
      <c r="G182" s="3"/>
      <c r="H182" s="3"/>
      <c r="I182" s="3"/>
      <c r="J182" s="3" t="s">
        <v>2688</v>
      </c>
      <c r="K182" s="3">
        <v>1</v>
      </c>
      <c r="L182" s="5">
        <v>5</v>
      </c>
      <c r="O182" s="3"/>
      <c r="P182" s="3" t="s">
        <v>459</v>
      </c>
      <c r="Q182" s="3" t="s">
        <v>460</v>
      </c>
      <c r="R182" s="3" t="s">
        <v>12</v>
      </c>
      <c r="S182" s="3" t="s">
        <v>461</v>
      </c>
      <c r="T182" s="3" t="s">
        <v>43</v>
      </c>
      <c r="U182" s="3"/>
    </row>
    <row r="183" spans="1:21" x14ac:dyDescent="0.25">
      <c r="A183" s="251">
        <v>46079</v>
      </c>
      <c r="B183" s="3" t="s">
        <v>742</v>
      </c>
      <c r="C183" s="3" t="s">
        <v>743</v>
      </c>
      <c r="D183" s="3" t="s">
        <v>12</v>
      </c>
      <c r="E183" s="3" t="s">
        <v>744</v>
      </c>
      <c r="F183" s="3" t="s">
        <v>311</v>
      </c>
      <c r="G183" s="3"/>
      <c r="H183" s="3"/>
      <c r="I183" s="3"/>
      <c r="J183" s="3" t="s">
        <v>2688</v>
      </c>
      <c r="K183" s="3">
        <v>1</v>
      </c>
      <c r="L183" s="5">
        <v>5</v>
      </c>
      <c r="O183" s="3"/>
      <c r="P183" s="3" t="s">
        <v>2403</v>
      </c>
      <c r="Q183" s="3" t="s">
        <v>2404</v>
      </c>
      <c r="R183" s="3" t="s">
        <v>12</v>
      </c>
      <c r="S183" s="3" t="s">
        <v>2407</v>
      </c>
      <c r="T183" s="3" t="s">
        <v>43</v>
      </c>
      <c r="U183" s="3"/>
    </row>
    <row r="184" spans="1:21" x14ac:dyDescent="0.25">
      <c r="A184" s="251">
        <v>46079</v>
      </c>
      <c r="B184" s="3" t="s">
        <v>762</v>
      </c>
      <c r="C184" s="3" t="s">
        <v>763</v>
      </c>
      <c r="D184" s="3" t="s">
        <v>12</v>
      </c>
      <c r="E184" s="3" t="s">
        <v>764</v>
      </c>
      <c r="F184" s="3" t="s">
        <v>44</v>
      </c>
      <c r="G184" s="3"/>
      <c r="H184" s="3"/>
      <c r="I184" s="3"/>
      <c r="J184" s="3" t="s">
        <v>2688</v>
      </c>
      <c r="K184" s="3">
        <v>1</v>
      </c>
      <c r="L184" s="5">
        <v>10.5</v>
      </c>
      <c r="O184" s="3"/>
      <c r="P184" s="3" t="s">
        <v>462</v>
      </c>
      <c r="Q184" s="3" t="s">
        <v>463</v>
      </c>
      <c r="R184" s="3" t="s">
        <v>12</v>
      </c>
      <c r="S184" s="3" t="s">
        <v>464</v>
      </c>
      <c r="T184" s="3" t="s">
        <v>46</v>
      </c>
      <c r="U184" s="3"/>
    </row>
    <row r="185" spans="1:21" x14ac:dyDescent="0.25">
      <c r="A185" s="251">
        <v>46079</v>
      </c>
      <c r="B185" s="3" t="s">
        <v>1264</v>
      </c>
      <c r="C185" s="3" t="s">
        <v>1265</v>
      </c>
      <c r="D185" s="3" t="s">
        <v>0</v>
      </c>
      <c r="E185" s="3" t="s">
        <v>1266</v>
      </c>
      <c r="F185" s="3" t="s">
        <v>33</v>
      </c>
      <c r="G185" s="3"/>
      <c r="H185" s="3"/>
      <c r="I185" s="3"/>
      <c r="J185" s="3" t="s">
        <v>2688</v>
      </c>
      <c r="K185" s="3">
        <v>1</v>
      </c>
      <c r="L185" s="5">
        <v>7.5</v>
      </c>
      <c r="O185" s="3"/>
      <c r="P185" s="3" t="s">
        <v>78</v>
      </c>
      <c r="Q185" s="3" t="s">
        <v>79</v>
      </c>
      <c r="R185" s="3" t="s">
        <v>12</v>
      </c>
      <c r="S185" s="3" t="s">
        <v>80</v>
      </c>
      <c r="T185" s="3" t="s">
        <v>52</v>
      </c>
      <c r="U185" s="3"/>
    </row>
    <row r="186" spans="1:21" ht="15.75" thickBot="1" x14ac:dyDescent="0.3">
      <c r="A186" s="226">
        <v>46079</v>
      </c>
      <c r="B186" s="227" t="s">
        <v>2042</v>
      </c>
      <c r="C186" s="227" t="s">
        <v>2043</v>
      </c>
      <c r="D186" s="227" t="s">
        <v>0</v>
      </c>
      <c r="E186" s="227" t="s">
        <v>2044</v>
      </c>
      <c r="F186" s="227" t="s">
        <v>33</v>
      </c>
      <c r="G186" s="227"/>
      <c r="H186" s="227"/>
      <c r="I186" s="227"/>
      <c r="J186" s="227" t="s">
        <v>2688</v>
      </c>
      <c r="K186" s="227">
        <v>1</v>
      </c>
      <c r="L186" s="118">
        <v>5</v>
      </c>
      <c r="M186" s="258">
        <f>SUM(L173:L186)</f>
        <v>182</v>
      </c>
      <c r="O186" s="3"/>
      <c r="P186" s="3" t="s">
        <v>81</v>
      </c>
      <c r="Q186" s="3" t="s">
        <v>82</v>
      </c>
      <c r="R186" s="3" t="s">
        <v>12</v>
      </c>
      <c r="S186" s="3" t="s">
        <v>80</v>
      </c>
      <c r="T186" s="3" t="s">
        <v>49</v>
      </c>
      <c r="U186" s="3"/>
    </row>
    <row r="187" spans="1:21" x14ac:dyDescent="0.25">
      <c r="A187" s="251">
        <v>46081</v>
      </c>
      <c r="B187" s="3" t="s">
        <v>2180</v>
      </c>
      <c r="C187" s="3" t="s">
        <v>2181</v>
      </c>
      <c r="D187" s="3" t="s">
        <v>12</v>
      </c>
      <c r="E187" s="3" t="s">
        <v>1445</v>
      </c>
      <c r="F187" s="3" t="s">
        <v>311</v>
      </c>
      <c r="G187" s="199"/>
      <c r="H187" s="199"/>
      <c r="I187" s="199"/>
      <c r="J187" s="199" t="s">
        <v>2745</v>
      </c>
      <c r="K187" s="199">
        <v>6</v>
      </c>
      <c r="L187" s="106">
        <v>97.5</v>
      </c>
      <c r="O187" s="3"/>
      <c r="P187" s="3" t="s">
        <v>465</v>
      </c>
      <c r="Q187" s="3" t="s">
        <v>466</v>
      </c>
      <c r="R187" s="3" t="s">
        <v>12</v>
      </c>
      <c r="S187" s="3" t="s">
        <v>467</v>
      </c>
      <c r="T187" s="3" t="s">
        <v>44</v>
      </c>
      <c r="U187" s="3"/>
    </row>
    <row r="188" spans="1:21" x14ac:dyDescent="0.25">
      <c r="A188" s="251">
        <v>46081</v>
      </c>
      <c r="B188" s="247" t="s">
        <v>1443</v>
      </c>
      <c r="C188" s="247" t="s">
        <v>1444</v>
      </c>
      <c r="D188" s="3" t="s">
        <v>17</v>
      </c>
      <c r="E188" s="247" t="s">
        <v>1445</v>
      </c>
      <c r="F188" s="247" t="s">
        <v>179</v>
      </c>
      <c r="G188" s="3"/>
      <c r="H188" s="3"/>
      <c r="I188" s="3"/>
      <c r="J188" s="199" t="s">
        <v>2691</v>
      </c>
      <c r="K188" s="199">
        <v>3</v>
      </c>
      <c r="L188" s="5">
        <v>29.5</v>
      </c>
      <c r="O188" s="3"/>
      <c r="P188" s="3" t="s">
        <v>468</v>
      </c>
      <c r="Q188" s="3" t="s">
        <v>469</v>
      </c>
      <c r="R188" s="3" t="s">
        <v>12</v>
      </c>
      <c r="S188" s="3" t="s">
        <v>470</v>
      </c>
      <c r="T188" s="3" t="s">
        <v>43</v>
      </c>
      <c r="U188" s="3"/>
    </row>
    <row r="189" spans="1:21" x14ac:dyDescent="0.25">
      <c r="A189" s="251">
        <v>46081</v>
      </c>
      <c r="B189" s="3" t="s">
        <v>926</v>
      </c>
      <c r="C189" s="3" t="s">
        <v>927</v>
      </c>
      <c r="D189" s="3" t="s">
        <v>0</v>
      </c>
      <c r="E189" s="3" t="s">
        <v>387</v>
      </c>
      <c r="F189" s="3" t="s">
        <v>39</v>
      </c>
      <c r="G189" s="3"/>
      <c r="H189" s="3"/>
      <c r="I189" s="3"/>
      <c r="J189" s="199" t="s">
        <v>2691</v>
      </c>
      <c r="K189" s="3">
        <v>3</v>
      </c>
      <c r="L189" s="5">
        <v>110.5</v>
      </c>
      <c r="M189" s="254"/>
      <c r="O189" s="3"/>
      <c r="P189" s="3" t="s">
        <v>1577</v>
      </c>
      <c r="Q189" s="3" t="s">
        <v>1578</v>
      </c>
      <c r="R189" s="3" t="s">
        <v>12</v>
      </c>
      <c r="S189" s="3" t="s">
        <v>1579</v>
      </c>
      <c r="T189" s="3" t="s">
        <v>46</v>
      </c>
      <c r="U189" s="3"/>
    </row>
    <row r="190" spans="1:21" x14ac:dyDescent="0.25">
      <c r="A190" s="251">
        <v>46081</v>
      </c>
      <c r="B190" s="3" t="s">
        <v>1210</v>
      </c>
      <c r="C190" s="3" t="s">
        <v>1211</v>
      </c>
      <c r="D190" s="3" t="s">
        <v>0</v>
      </c>
      <c r="E190" s="3" t="s">
        <v>1212</v>
      </c>
      <c r="F190" s="3" t="s">
        <v>900</v>
      </c>
      <c r="G190" s="3"/>
      <c r="H190" s="3"/>
      <c r="I190" s="3"/>
      <c r="J190" s="3" t="s">
        <v>2695</v>
      </c>
      <c r="K190" s="3">
        <v>2</v>
      </c>
      <c r="L190" s="5">
        <v>22</v>
      </c>
      <c r="M190" s="7"/>
      <c r="O190" s="3"/>
      <c r="P190" s="3" t="s">
        <v>471</v>
      </c>
      <c r="Q190" s="3" t="s">
        <v>472</v>
      </c>
      <c r="R190" s="3" t="s">
        <v>12</v>
      </c>
      <c r="S190" s="3" t="s">
        <v>473</v>
      </c>
      <c r="T190" s="3" t="s">
        <v>43</v>
      </c>
      <c r="U190" s="3"/>
    </row>
    <row r="191" spans="1:21" x14ac:dyDescent="0.25">
      <c r="A191" s="251">
        <v>46081</v>
      </c>
      <c r="B191" s="3" t="s">
        <v>1080</v>
      </c>
      <c r="C191" s="3" t="s">
        <v>1081</v>
      </c>
      <c r="D191" s="3" t="s">
        <v>0</v>
      </c>
      <c r="E191" s="3" t="s">
        <v>1082</v>
      </c>
      <c r="F191" s="3" t="s">
        <v>900</v>
      </c>
      <c r="G191" s="3"/>
      <c r="H191" s="3"/>
      <c r="I191" s="3"/>
      <c r="J191" s="3" t="s">
        <v>2695</v>
      </c>
      <c r="K191" s="3">
        <v>2</v>
      </c>
      <c r="L191" s="5">
        <v>35</v>
      </c>
      <c r="M191" s="7"/>
      <c r="O191" s="3"/>
      <c r="P191" s="3" t="s">
        <v>474</v>
      </c>
      <c r="Q191" s="3" t="s">
        <v>475</v>
      </c>
      <c r="R191" s="3" t="s">
        <v>12</v>
      </c>
      <c r="S191" s="3" t="s">
        <v>476</v>
      </c>
      <c r="T191" s="3" t="s">
        <v>46</v>
      </c>
      <c r="U191" s="3"/>
    </row>
    <row r="192" spans="1:21" x14ac:dyDescent="0.25">
      <c r="A192" s="251">
        <v>46081</v>
      </c>
      <c r="B192" s="3" t="s">
        <v>120</v>
      </c>
      <c r="C192" s="3" t="s">
        <v>121</v>
      </c>
      <c r="D192" s="3" t="s">
        <v>12</v>
      </c>
      <c r="E192" s="3" t="s">
        <v>2084</v>
      </c>
      <c r="F192" s="3" t="s">
        <v>48</v>
      </c>
      <c r="G192" s="236"/>
      <c r="H192" s="236"/>
      <c r="I192" s="236"/>
      <c r="J192" s="3" t="s">
        <v>2695</v>
      </c>
      <c r="K192" s="3">
        <v>2</v>
      </c>
      <c r="L192" s="260">
        <v>21</v>
      </c>
      <c r="M192" s="7"/>
      <c r="O192" s="3"/>
      <c r="P192" s="3"/>
      <c r="Q192" s="3"/>
      <c r="R192" s="3"/>
      <c r="S192" s="3"/>
      <c r="T192" s="3"/>
      <c r="U192" s="3"/>
    </row>
    <row r="193" spans="1:21" x14ac:dyDescent="0.25">
      <c r="A193" s="251">
        <v>46081</v>
      </c>
      <c r="B193" s="3" t="s">
        <v>985</v>
      </c>
      <c r="C193" s="3" t="s">
        <v>986</v>
      </c>
      <c r="D193" s="3" t="s">
        <v>0</v>
      </c>
      <c r="E193" s="3" t="s">
        <v>987</v>
      </c>
      <c r="F193" s="3" t="s">
        <v>86</v>
      </c>
      <c r="G193" s="236"/>
      <c r="H193" s="236"/>
      <c r="I193" s="236"/>
      <c r="J193" s="3" t="s">
        <v>2695</v>
      </c>
      <c r="K193" s="3">
        <v>2</v>
      </c>
      <c r="L193" s="260">
        <v>44.5</v>
      </c>
      <c r="M193" s="7"/>
      <c r="O193" s="3"/>
      <c r="P193" s="3"/>
      <c r="Q193" s="3"/>
      <c r="R193" s="3"/>
      <c r="S193" s="3"/>
      <c r="T193" s="3"/>
      <c r="U193" s="3"/>
    </row>
    <row r="194" spans="1:21" ht="15.75" thickBot="1" x14ac:dyDescent="0.3">
      <c r="A194" s="251">
        <v>46081</v>
      </c>
      <c r="B194" s="3" t="s">
        <v>683</v>
      </c>
      <c r="C194" s="3" t="s">
        <v>684</v>
      </c>
      <c r="D194" s="3" t="s">
        <v>12</v>
      </c>
      <c r="E194" s="3" t="s">
        <v>50</v>
      </c>
      <c r="F194" s="3" t="s">
        <v>327</v>
      </c>
      <c r="G194" s="227"/>
      <c r="H194" s="227"/>
      <c r="I194" s="227"/>
      <c r="J194" s="3" t="s">
        <v>2695</v>
      </c>
      <c r="K194" s="3">
        <v>2</v>
      </c>
      <c r="L194" s="260">
        <v>41</v>
      </c>
      <c r="M194" s="7"/>
      <c r="O194" s="3"/>
      <c r="P194" s="3" t="s">
        <v>477</v>
      </c>
      <c r="Q194" s="3" t="s">
        <v>478</v>
      </c>
      <c r="R194" s="3" t="s">
        <v>12</v>
      </c>
      <c r="S194" s="3" t="s">
        <v>476</v>
      </c>
      <c r="T194" s="3" t="s">
        <v>46</v>
      </c>
      <c r="U194" s="3"/>
    </row>
    <row r="195" spans="1:21" x14ac:dyDescent="0.25">
      <c r="A195" s="251">
        <v>46081</v>
      </c>
      <c r="B195" s="3" t="s">
        <v>123</v>
      </c>
      <c r="C195" s="3" t="s">
        <v>124</v>
      </c>
      <c r="D195" s="3" t="s">
        <v>12</v>
      </c>
      <c r="E195" s="3" t="s">
        <v>125</v>
      </c>
      <c r="F195" s="3" t="s">
        <v>46</v>
      </c>
      <c r="G195" s="3"/>
      <c r="H195" s="199"/>
      <c r="I195" s="199"/>
      <c r="J195" s="3" t="s">
        <v>2695</v>
      </c>
      <c r="K195" s="3">
        <v>2</v>
      </c>
      <c r="L195" s="106">
        <v>10</v>
      </c>
      <c r="M195" s="7"/>
      <c r="O195" s="3"/>
      <c r="P195" s="3" t="s">
        <v>2424</v>
      </c>
      <c r="Q195" s="3" t="s">
        <v>2425</v>
      </c>
      <c r="R195" s="3" t="s">
        <v>12</v>
      </c>
      <c r="S195" s="3" t="s">
        <v>2428</v>
      </c>
      <c r="T195" s="3" t="s">
        <v>319</v>
      </c>
      <c r="U195" s="3"/>
    </row>
    <row r="196" spans="1:21" x14ac:dyDescent="0.25">
      <c r="A196" s="251">
        <v>46081</v>
      </c>
      <c r="B196" s="3" t="s">
        <v>117</v>
      </c>
      <c r="C196" s="3" t="s">
        <v>118</v>
      </c>
      <c r="D196" s="3" t="s">
        <v>0</v>
      </c>
      <c r="E196" s="3" t="s">
        <v>119</v>
      </c>
      <c r="F196" s="3" t="s">
        <v>86</v>
      </c>
      <c r="G196" s="3"/>
      <c r="H196" s="3"/>
      <c r="I196" s="3"/>
      <c r="J196" s="3" t="s">
        <v>2688</v>
      </c>
      <c r="K196" s="3">
        <v>1</v>
      </c>
      <c r="L196" s="5">
        <v>16.5</v>
      </c>
      <c r="O196" s="3"/>
      <c r="P196" s="3" t="s">
        <v>1580</v>
      </c>
      <c r="Q196" s="3" t="s">
        <v>2369</v>
      </c>
      <c r="R196" s="3" t="s">
        <v>12</v>
      </c>
      <c r="S196" s="3" t="s">
        <v>1383</v>
      </c>
      <c r="T196" s="3" t="s">
        <v>43</v>
      </c>
      <c r="U196" s="3"/>
    </row>
    <row r="197" spans="1:21" x14ac:dyDescent="0.25">
      <c r="A197" s="251">
        <v>46081</v>
      </c>
      <c r="B197" s="3" t="s">
        <v>962</v>
      </c>
      <c r="C197" s="3" t="s">
        <v>963</v>
      </c>
      <c r="D197" s="3" t="s">
        <v>0</v>
      </c>
      <c r="E197" s="3" t="s">
        <v>964</v>
      </c>
      <c r="F197" s="3" t="s">
        <v>34</v>
      </c>
      <c r="G197" s="3"/>
      <c r="H197" s="3"/>
      <c r="I197" s="3"/>
      <c r="J197" s="3" t="s">
        <v>2688</v>
      </c>
      <c r="K197" s="3">
        <v>1</v>
      </c>
      <c r="L197" s="5">
        <v>5</v>
      </c>
      <c r="O197" s="3"/>
      <c r="P197" s="3" t="s">
        <v>1381</v>
      </c>
      <c r="Q197" s="3" t="s">
        <v>1581</v>
      </c>
      <c r="R197" s="3" t="s">
        <v>12</v>
      </c>
      <c r="S197" s="3" t="s">
        <v>2370</v>
      </c>
      <c r="T197" s="3" t="s">
        <v>43</v>
      </c>
      <c r="U197" s="3"/>
    </row>
    <row r="198" spans="1:21" x14ac:dyDescent="0.25">
      <c r="A198" s="251">
        <v>46081</v>
      </c>
      <c r="B198" s="3" t="s">
        <v>1237</v>
      </c>
      <c r="C198" s="3" t="s">
        <v>1238</v>
      </c>
      <c r="D198" s="3" t="s">
        <v>0</v>
      </c>
      <c r="E198" s="3" t="s">
        <v>1239</v>
      </c>
      <c r="F198" s="3" t="s">
        <v>86</v>
      </c>
      <c r="G198" s="3"/>
      <c r="H198" s="3"/>
      <c r="I198" s="3"/>
      <c r="J198" s="3" t="s">
        <v>2688</v>
      </c>
      <c r="K198" s="3">
        <v>1</v>
      </c>
      <c r="L198" s="5">
        <v>6.5</v>
      </c>
      <c r="O198" s="3"/>
      <c r="P198" s="3" t="s">
        <v>479</v>
      </c>
      <c r="Q198" s="3" t="s">
        <v>480</v>
      </c>
      <c r="R198" s="3" t="s">
        <v>12</v>
      </c>
      <c r="S198" s="3" t="s">
        <v>481</v>
      </c>
      <c r="T198" s="3" t="s">
        <v>46</v>
      </c>
      <c r="U198" s="3"/>
    </row>
    <row r="199" spans="1:21" x14ac:dyDescent="0.25">
      <c r="A199" s="251">
        <v>46081</v>
      </c>
      <c r="B199" s="3" t="s">
        <v>1195</v>
      </c>
      <c r="C199" s="3" t="s">
        <v>1196</v>
      </c>
      <c r="D199" s="3" t="s">
        <v>0</v>
      </c>
      <c r="E199" s="3" t="s">
        <v>1197</v>
      </c>
      <c r="F199" s="3" t="s">
        <v>86</v>
      </c>
      <c r="G199" s="3"/>
      <c r="H199" s="3"/>
      <c r="I199" s="3"/>
      <c r="J199" s="3" t="s">
        <v>2688</v>
      </c>
      <c r="K199" s="3">
        <v>1</v>
      </c>
      <c r="L199" s="5">
        <v>5</v>
      </c>
      <c r="M199" t="s">
        <v>51</v>
      </c>
      <c r="O199" s="3"/>
      <c r="P199" s="3" t="s">
        <v>482</v>
      </c>
      <c r="Q199" s="3" t="s">
        <v>483</v>
      </c>
      <c r="R199" s="3" t="s">
        <v>12</v>
      </c>
      <c r="S199" s="3" t="s">
        <v>484</v>
      </c>
      <c r="T199" s="3" t="s">
        <v>100</v>
      </c>
      <c r="U199" s="3"/>
    </row>
    <row r="200" spans="1:21" x14ac:dyDescent="0.25">
      <c r="A200" s="251">
        <v>46081</v>
      </c>
      <c r="B200" s="3" t="s">
        <v>1189</v>
      </c>
      <c r="C200" s="3" t="s">
        <v>1190</v>
      </c>
      <c r="D200" s="3" t="s">
        <v>0</v>
      </c>
      <c r="E200" s="3" t="s">
        <v>1191</v>
      </c>
      <c r="F200" s="3" t="s">
        <v>1012</v>
      </c>
      <c r="G200" s="3"/>
      <c r="H200" s="3"/>
      <c r="I200" s="3"/>
      <c r="J200" s="3" t="s">
        <v>2688</v>
      </c>
      <c r="K200" s="3">
        <v>1</v>
      </c>
      <c r="L200" s="5">
        <v>5</v>
      </c>
      <c r="O200" s="3"/>
      <c r="P200" s="3" t="s">
        <v>1582</v>
      </c>
      <c r="Q200" s="3" t="s">
        <v>1583</v>
      </c>
      <c r="R200" s="3" t="s">
        <v>12</v>
      </c>
      <c r="S200" s="3" t="s">
        <v>1584</v>
      </c>
      <c r="T200" s="3" t="s">
        <v>43</v>
      </c>
      <c r="U200" s="3"/>
    </row>
    <row r="201" spans="1:21" x14ac:dyDescent="0.25">
      <c r="A201" s="251">
        <v>46081</v>
      </c>
      <c r="B201" s="3" t="s">
        <v>1181</v>
      </c>
      <c r="C201" s="3" t="s">
        <v>1182</v>
      </c>
      <c r="D201" s="3" t="s">
        <v>0</v>
      </c>
      <c r="E201" s="3" t="s">
        <v>1183</v>
      </c>
      <c r="F201" s="3" t="s">
        <v>86</v>
      </c>
      <c r="G201" s="3"/>
      <c r="H201" s="3"/>
      <c r="I201" s="3"/>
      <c r="J201" s="3" t="s">
        <v>2688</v>
      </c>
      <c r="K201" s="3">
        <v>1</v>
      </c>
      <c r="L201" s="5">
        <v>5</v>
      </c>
      <c r="O201" s="3"/>
      <c r="P201" s="3" t="s">
        <v>2108</v>
      </c>
      <c r="Q201" s="3" t="s">
        <v>2109</v>
      </c>
      <c r="R201" s="3" t="s">
        <v>12</v>
      </c>
      <c r="S201" s="3" t="s">
        <v>2110</v>
      </c>
      <c r="T201" s="3" t="s">
        <v>1591</v>
      </c>
      <c r="U201" s="3"/>
    </row>
    <row r="202" spans="1:21" x14ac:dyDescent="0.25">
      <c r="A202" s="251">
        <v>46081</v>
      </c>
      <c r="B202" s="3" t="s">
        <v>1192</v>
      </c>
      <c r="C202" s="3" t="s">
        <v>1193</v>
      </c>
      <c r="D202" s="3" t="s">
        <v>0</v>
      </c>
      <c r="E202" s="3" t="s">
        <v>1194</v>
      </c>
      <c r="F202" s="3" t="s">
        <v>1012</v>
      </c>
      <c r="G202" s="3"/>
      <c r="H202" s="3"/>
      <c r="I202" s="3"/>
      <c r="J202" s="3" t="s">
        <v>2688</v>
      </c>
      <c r="K202" s="3">
        <v>1</v>
      </c>
      <c r="L202" s="5">
        <v>5</v>
      </c>
      <c r="M202" s="7"/>
      <c r="O202" s="3"/>
      <c r="P202" s="3" t="s">
        <v>91</v>
      </c>
      <c r="Q202" s="3" t="s">
        <v>146</v>
      </c>
      <c r="R202" s="3" t="s">
        <v>12</v>
      </c>
      <c r="S202" s="3" t="s">
        <v>92</v>
      </c>
      <c r="T202" s="3" t="s">
        <v>93</v>
      </c>
      <c r="U202" s="3"/>
    </row>
    <row r="203" spans="1:21" x14ac:dyDescent="0.25">
      <c r="A203" s="251">
        <v>46081</v>
      </c>
      <c r="B203" s="3" t="s">
        <v>1543</v>
      </c>
      <c r="C203" s="3" t="s">
        <v>1544</v>
      </c>
      <c r="D203" s="3" t="s">
        <v>12</v>
      </c>
      <c r="E203" s="3" t="s">
        <v>1545</v>
      </c>
      <c r="F203" s="3" t="s">
        <v>1546</v>
      </c>
      <c r="G203" s="3"/>
      <c r="H203" s="3"/>
      <c r="I203" s="3"/>
      <c r="J203" s="3" t="s">
        <v>2688</v>
      </c>
      <c r="K203" s="3">
        <v>1</v>
      </c>
      <c r="L203" s="5">
        <v>5</v>
      </c>
      <c r="O203" s="3"/>
      <c r="P203" s="3" t="s">
        <v>485</v>
      </c>
      <c r="Q203" s="3" t="s">
        <v>486</v>
      </c>
      <c r="R203" s="3" t="s">
        <v>12</v>
      </c>
      <c r="S203" s="3" t="s">
        <v>487</v>
      </c>
      <c r="T203" s="3" t="s">
        <v>44</v>
      </c>
      <c r="U203" s="3"/>
    </row>
    <row r="204" spans="1:21" x14ac:dyDescent="0.25">
      <c r="A204" s="251">
        <v>46081</v>
      </c>
      <c r="B204" s="3" t="s">
        <v>798</v>
      </c>
      <c r="C204" s="3" t="s">
        <v>799</v>
      </c>
      <c r="D204" s="3" t="s">
        <v>14</v>
      </c>
      <c r="E204" s="3" t="s">
        <v>800</v>
      </c>
      <c r="F204" s="3" t="s">
        <v>32</v>
      </c>
      <c r="G204" s="3"/>
      <c r="H204" s="3"/>
      <c r="I204" s="3"/>
      <c r="J204" s="3" t="s">
        <v>2688</v>
      </c>
      <c r="K204" s="3">
        <v>1</v>
      </c>
      <c r="L204" s="5">
        <v>7.5</v>
      </c>
      <c r="M204" s="7"/>
      <c r="O204" s="3"/>
      <c r="P204" s="3" t="s">
        <v>1585</v>
      </c>
      <c r="Q204" s="3" t="s">
        <v>1586</v>
      </c>
      <c r="R204" s="3" t="s">
        <v>12</v>
      </c>
      <c r="S204" s="3" t="s">
        <v>1587</v>
      </c>
      <c r="T204" s="3" t="s">
        <v>44</v>
      </c>
      <c r="U204" s="3"/>
    </row>
    <row r="205" spans="1:21" ht="14.25" customHeight="1" x14ac:dyDescent="0.25">
      <c r="A205" s="251">
        <v>46081</v>
      </c>
      <c r="B205" s="3" t="s">
        <v>2120</v>
      </c>
      <c r="C205" s="3" t="s">
        <v>2121</v>
      </c>
      <c r="D205" s="3" t="s">
        <v>12</v>
      </c>
      <c r="E205" s="3" t="s">
        <v>2122</v>
      </c>
      <c r="F205" s="3" t="s">
        <v>311</v>
      </c>
      <c r="G205" s="3"/>
      <c r="H205" s="3"/>
      <c r="I205" s="3"/>
      <c r="J205" s="3" t="s">
        <v>2688</v>
      </c>
      <c r="K205" s="3">
        <v>1</v>
      </c>
      <c r="L205" s="5">
        <v>5</v>
      </c>
      <c r="M205" s="7"/>
      <c r="O205" s="3"/>
      <c r="P205" s="3" t="s">
        <v>1588</v>
      </c>
      <c r="Q205" s="3" t="s">
        <v>1589</v>
      </c>
      <c r="R205" s="3" t="s">
        <v>12</v>
      </c>
      <c r="S205" s="3" t="s">
        <v>1590</v>
      </c>
      <c r="T205" s="3" t="s">
        <v>1591</v>
      </c>
      <c r="U205" s="3"/>
    </row>
    <row r="206" spans="1:21" ht="14.25" customHeight="1" x14ac:dyDescent="0.25">
      <c r="A206" s="251">
        <v>46081</v>
      </c>
      <c r="B206" s="3" t="s">
        <v>2150</v>
      </c>
      <c r="C206" s="3" t="s">
        <v>2151</v>
      </c>
      <c r="D206" s="3" t="s">
        <v>12</v>
      </c>
      <c r="E206" s="3" t="s">
        <v>2152</v>
      </c>
      <c r="F206" s="3" t="s">
        <v>327</v>
      </c>
      <c r="G206" s="3"/>
      <c r="H206" s="3"/>
      <c r="I206" s="3"/>
      <c r="J206" s="3" t="s">
        <v>2688</v>
      </c>
      <c r="K206" s="3">
        <v>1</v>
      </c>
      <c r="L206" s="5">
        <v>5</v>
      </c>
      <c r="M206" s="7"/>
      <c r="O206" s="3"/>
      <c r="P206" s="3" t="s">
        <v>488</v>
      </c>
      <c r="Q206" s="3" t="s">
        <v>489</v>
      </c>
      <c r="R206" s="3" t="s">
        <v>12</v>
      </c>
      <c r="S206" s="3" t="s">
        <v>490</v>
      </c>
      <c r="T206" s="3" t="s">
        <v>93</v>
      </c>
      <c r="U206" s="3"/>
    </row>
    <row r="207" spans="1:21" x14ac:dyDescent="0.25">
      <c r="A207" s="251">
        <v>46081</v>
      </c>
      <c r="B207" s="3" t="s">
        <v>536</v>
      </c>
      <c r="C207" s="3" t="s">
        <v>537</v>
      </c>
      <c r="D207" s="3" t="s">
        <v>12</v>
      </c>
      <c r="E207" s="3" t="s">
        <v>538</v>
      </c>
      <c r="F207" s="3" t="s">
        <v>100</v>
      </c>
      <c r="G207" s="3"/>
      <c r="H207" s="3"/>
      <c r="I207" s="3"/>
      <c r="J207" s="3" t="s">
        <v>2688</v>
      </c>
      <c r="K207" s="3">
        <v>1</v>
      </c>
      <c r="L207" s="5">
        <v>7.5</v>
      </c>
      <c r="M207" s="7"/>
      <c r="O207" s="3"/>
      <c r="P207" s="3" t="s">
        <v>2111</v>
      </c>
      <c r="Q207" s="3" t="s">
        <v>2112</v>
      </c>
      <c r="R207" s="3" t="s">
        <v>12</v>
      </c>
      <c r="S207" s="3" t="s">
        <v>2113</v>
      </c>
      <c r="T207" s="3" t="s">
        <v>129</v>
      </c>
      <c r="U207" s="3"/>
    </row>
    <row r="208" spans="1:21" x14ac:dyDescent="0.25">
      <c r="A208" s="251">
        <v>46081</v>
      </c>
      <c r="B208" s="3" t="s">
        <v>518</v>
      </c>
      <c r="C208" s="3" t="s">
        <v>519</v>
      </c>
      <c r="D208" s="3" t="s">
        <v>12</v>
      </c>
      <c r="E208" s="3" t="s">
        <v>520</v>
      </c>
      <c r="F208" s="3" t="s">
        <v>129</v>
      </c>
      <c r="G208" s="3"/>
      <c r="H208" s="3"/>
      <c r="I208" s="3"/>
      <c r="J208" s="3" t="s">
        <v>2688</v>
      </c>
      <c r="K208" s="3">
        <v>1</v>
      </c>
      <c r="L208" s="5">
        <v>5</v>
      </c>
      <c r="O208" s="3"/>
      <c r="P208" s="3" t="s">
        <v>491</v>
      </c>
      <c r="Q208" s="3" t="s">
        <v>492</v>
      </c>
      <c r="R208" s="3" t="s">
        <v>12</v>
      </c>
      <c r="S208" s="3" t="s">
        <v>493</v>
      </c>
      <c r="T208" s="3" t="s">
        <v>48</v>
      </c>
      <c r="U208" s="3"/>
    </row>
    <row r="209" spans="1:21" x14ac:dyDescent="0.25">
      <c r="A209" s="251">
        <v>46081</v>
      </c>
      <c r="B209" s="3" t="s">
        <v>1221</v>
      </c>
      <c r="C209" s="3" t="s">
        <v>1222</v>
      </c>
      <c r="D209" s="3" t="s">
        <v>0</v>
      </c>
      <c r="E209" s="3" t="s">
        <v>1223</v>
      </c>
      <c r="F209" s="3" t="s">
        <v>86</v>
      </c>
      <c r="G209" s="3"/>
      <c r="H209" s="3"/>
      <c r="I209" s="3"/>
      <c r="J209" s="3" t="s">
        <v>2688</v>
      </c>
      <c r="K209" s="3">
        <v>1</v>
      </c>
      <c r="L209" s="5">
        <v>8.5</v>
      </c>
      <c r="M209" s="7"/>
      <c r="O209" s="3"/>
      <c r="P209" s="3" t="s">
        <v>1592</v>
      </c>
      <c r="Q209" s="3" t="s">
        <v>1593</v>
      </c>
      <c r="R209" s="3" t="s">
        <v>12</v>
      </c>
      <c r="S209" s="3" t="s">
        <v>1594</v>
      </c>
      <c r="T209" s="3" t="s">
        <v>43</v>
      </c>
      <c r="U209" s="3"/>
    </row>
    <row r="210" spans="1:21" x14ac:dyDescent="0.25">
      <c r="A210" s="251">
        <v>46081</v>
      </c>
      <c r="B210" s="3" t="s">
        <v>413</v>
      </c>
      <c r="C210" s="3" t="s">
        <v>414</v>
      </c>
      <c r="D210" s="3" t="s">
        <v>12</v>
      </c>
      <c r="E210" s="3" t="s">
        <v>415</v>
      </c>
      <c r="F210" s="3" t="s">
        <v>327</v>
      </c>
      <c r="G210" s="3"/>
      <c r="H210" s="3"/>
      <c r="I210" s="3"/>
      <c r="J210" s="3" t="s">
        <v>2688</v>
      </c>
      <c r="K210" s="3">
        <v>1</v>
      </c>
      <c r="L210" s="5">
        <v>5</v>
      </c>
      <c r="M210" s="7"/>
      <c r="O210" s="3"/>
      <c r="P210" s="3" t="s">
        <v>494</v>
      </c>
      <c r="Q210" s="3" t="s">
        <v>495</v>
      </c>
      <c r="R210" s="3" t="s">
        <v>12</v>
      </c>
      <c r="S210" s="3" t="s">
        <v>496</v>
      </c>
      <c r="T210" s="3" t="s">
        <v>311</v>
      </c>
      <c r="U210" s="3"/>
    </row>
    <row r="211" spans="1:21" ht="15.75" thickBot="1" x14ac:dyDescent="0.3">
      <c r="A211" s="226">
        <v>46081</v>
      </c>
      <c r="B211" s="227" t="s">
        <v>1198</v>
      </c>
      <c r="C211" s="227" t="s">
        <v>1199</v>
      </c>
      <c r="D211" s="227" t="s">
        <v>0</v>
      </c>
      <c r="E211" s="227" t="s">
        <v>1200</v>
      </c>
      <c r="F211" s="227" t="s">
        <v>876</v>
      </c>
      <c r="G211" s="227"/>
      <c r="H211" s="227"/>
      <c r="I211" s="227"/>
      <c r="J211" s="227" t="s">
        <v>2688</v>
      </c>
      <c r="K211" s="227">
        <v>1</v>
      </c>
      <c r="L211" s="118">
        <v>5</v>
      </c>
      <c r="M211" s="258">
        <f>SUM(L187:L211)</f>
        <v>512.5</v>
      </c>
      <c r="O211" s="3"/>
      <c r="P211" s="3" t="s">
        <v>2114</v>
      </c>
      <c r="Q211" s="3" t="s">
        <v>2115</v>
      </c>
      <c r="R211" s="3" t="s">
        <v>12</v>
      </c>
      <c r="S211" s="3" t="s">
        <v>2116</v>
      </c>
      <c r="T211" s="3" t="s">
        <v>327</v>
      </c>
      <c r="U211" s="3"/>
    </row>
    <row r="212" spans="1:21" x14ac:dyDescent="0.25">
      <c r="A212" s="251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06"/>
      <c r="M212" s="7"/>
      <c r="O212" s="3"/>
      <c r="P212" s="3" t="s">
        <v>497</v>
      </c>
      <c r="Q212" s="3" t="s">
        <v>498</v>
      </c>
      <c r="R212" s="3" t="s">
        <v>12</v>
      </c>
      <c r="S212" s="3" t="s">
        <v>499</v>
      </c>
      <c r="T212" s="3" t="s">
        <v>43</v>
      </c>
      <c r="U212" s="3"/>
    </row>
    <row r="213" spans="1:21" x14ac:dyDescent="0.25">
      <c r="A213" s="25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5"/>
      <c r="M213" s="7"/>
      <c r="O213" s="3"/>
      <c r="P213" s="3" t="s">
        <v>500</v>
      </c>
      <c r="Q213" s="3" t="s">
        <v>501</v>
      </c>
      <c r="R213" s="3" t="s">
        <v>12</v>
      </c>
      <c r="S213" s="3" t="s">
        <v>502</v>
      </c>
      <c r="T213" s="3" t="s">
        <v>129</v>
      </c>
      <c r="U213" s="3"/>
    </row>
    <row r="214" spans="1:21" x14ac:dyDescent="0.25">
      <c r="A214" s="25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5"/>
      <c r="O214" s="3"/>
      <c r="P214" s="3" t="s">
        <v>503</v>
      </c>
      <c r="Q214" s="3" t="s">
        <v>504</v>
      </c>
      <c r="R214" s="3" t="s">
        <v>12</v>
      </c>
      <c r="S214" s="3" t="s">
        <v>505</v>
      </c>
      <c r="T214" s="3" t="s">
        <v>100</v>
      </c>
      <c r="U214" s="3"/>
    </row>
    <row r="215" spans="1:21" x14ac:dyDescent="0.25">
      <c r="A215" s="25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5"/>
      <c r="M215" s="7"/>
      <c r="O215" s="3"/>
      <c r="P215" s="3" t="s">
        <v>506</v>
      </c>
      <c r="Q215" s="3" t="s">
        <v>507</v>
      </c>
      <c r="R215" s="3" t="s">
        <v>12</v>
      </c>
      <c r="S215" s="3" t="s">
        <v>508</v>
      </c>
      <c r="T215" s="3" t="s">
        <v>116</v>
      </c>
      <c r="U215" s="3"/>
    </row>
    <row r="216" spans="1:21" x14ac:dyDescent="0.25">
      <c r="A216" s="25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5"/>
      <c r="O216" s="3"/>
      <c r="P216" s="3" t="s">
        <v>2117</v>
      </c>
      <c r="Q216" s="3" t="s">
        <v>2118</v>
      </c>
      <c r="R216" s="3" t="s">
        <v>12</v>
      </c>
      <c r="S216" s="3" t="s">
        <v>2119</v>
      </c>
      <c r="T216" s="3" t="s">
        <v>129</v>
      </c>
      <c r="U216" s="3"/>
    </row>
    <row r="217" spans="1:21" x14ac:dyDescent="0.25">
      <c r="A217" s="25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5"/>
      <c r="M217" s="7"/>
      <c r="O217" s="3"/>
      <c r="P217" s="3" t="s">
        <v>1595</v>
      </c>
      <c r="Q217" s="3" t="s">
        <v>1596</v>
      </c>
      <c r="R217" s="3" t="s">
        <v>12</v>
      </c>
      <c r="S217" s="3" t="s">
        <v>1597</v>
      </c>
      <c r="T217" s="3" t="s">
        <v>1598</v>
      </c>
      <c r="U217" s="3"/>
    </row>
    <row r="218" spans="1:21" x14ac:dyDescent="0.25">
      <c r="A218" s="25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5"/>
      <c r="O218" s="3"/>
      <c r="P218" s="3" t="s">
        <v>509</v>
      </c>
      <c r="Q218" s="3" t="s">
        <v>510</v>
      </c>
      <c r="R218" s="3" t="s">
        <v>12</v>
      </c>
      <c r="S218" s="3" t="s">
        <v>511</v>
      </c>
      <c r="T218" s="3" t="s">
        <v>46</v>
      </c>
      <c r="U218" s="3"/>
    </row>
    <row r="219" spans="1:21" x14ac:dyDescent="0.25">
      <c r="A219" s="25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5"/>
      <c r="M219" s="7"/>
      <c r="O219" s="3"/>
      <c r="P219" s="3" t="s">
        <v>512</v>
      </c>
      <c r="Q219" s="3" t="s">
        <v>513</v>
      </c>
      <c r="R219" s="3" t="s">
        <v>12</v>
      </c>
      <c r="S219" s="3" t="s">
        <v>514</v>
      </c>
      <c r="T219" s="3" t="s">
        <v>311</v>
      </c>
      <c r="U219" s="3"/>
    </row>
    <row r="220" spans="1:21" x14ac:dyDescent="0.25">
      <c r="A220" s="25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5"/>
      <c r="O220" s="3"/>
      <c r="P220" s="3" t="s">
        <v>515</v>
      </c>
      <c r="Q220" s="3" t="s">
        <v>516</v>
      </c>
      <c r="R220" s="3" t="s">
        <v>12</v>
      </c>
      <c r="S220" s="3" t="s">
        <v>517</v>
      </c>
      <c r="T220" s="3" t="s">
        <v>311</v>
      </c>
      <c r="U220" s="3"/>
    </row>
    <row r="221" spans="1:21" x14ac:dyDescent="0.25">
      <c r="A221" s="25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5"/>
      <c r="O221" s="3"/>
      <c r="P221" s="3" t="s">
        <v>518</v>
      </c>
      <c r="Q221" s="3" t="s">
        <v>519</v>
      </c>
      <c r="R221" s="3" t="s">
        <v>12</v>
      </c>
      <c r="S221" s="3" t="s">
        <v>520</v>
      </c>
      <c r="T221" s="3" t="s">
        <v>129</v>
      </c>
      <c r="U221" s="3"/>
    </row>
    <row r="222" spans="1:21" x14ac:dyDescent="0.25">
      <c r="A222" s="251"/>
      <c r="B222" s="3"/>
      <c r="C222" s="3"/>
      <c r="D222" s="3"/>
      <c r="E222" s="3"/>
      <c r="F222" s="3"/>
      <c r="G222" s="3"/>
      <c r="J222" s="3"/>
      <c r="K222" s="3"/>
      <c r="L222" s="5"/>
      <c r="O222" s="3"/>
      <c r="P222" s="3" t="s">
        <v>2120</v>
      </c>
      <c r="Q222" s="3" t="s">
        <v>2121</v>
      </c>
      <c r="R222" s="3" t="s">
        <v>12</v>
      </c>
      <c r="S222" s="3" t="s">
        <v>2122</v>
      </c>
      <c r="T222" s="3" t="s">
        <v>311</v>
      </c>
      <c r="U222" s="3"/>
    </row>
    <row r="223" spans="1:21" x14ac:dyDescent="0.25">
      <c r="A223" s="25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5"/>
      <c r="O223" s="3"/>
      <c r="P223" s="3" t="s">
        <v>521</v>
      </c>
      <c r="Q223" s="3" t="s">
        <v>522</v>
      </c>
      <c r="R223" s="3" t="s">
        <v>12</v>
      </c>
      <c r="S223" s="3" t="s">
        <v>523</v>
      </c>
      <c r="T223" s="3" t="s">
        <v>319</v>
      </c>
      <c r="U223" s="3"/>
    </row>
    <row r="224" spans="1:21" x14ac:dyDescent="0.25">
      <c r="A224" s="25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5"/>
      <c r="O224" s="3"/>
      <c r="P224" s="3" t="s">
        <v>524</v>
      </c>
      <c r="Q224" s="3" t="s">
        <v>525</v>
      </c>
      <c r="R224" s="3" t="s">
        <v>12</v>
      </c>
      <c r="S224" s="3" t="s">
        <v>526</v>
      </c>
      <c r="T224" s="3" t="s">
        <v>45</v>
      </c>
      <c r="U224" s="3"/>
    </row>
    <row r="225" spans="1:21" x14ac:dyDescent="0.25">
      <c r="A225" s="25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5"/>
      <c r="O225" s="3"/>
      <c r="P225" s="3" t="s">
        <v>527</v>
      </c>
      <c r="Q225" s="3" t="s">
        <v>528</v>
      </c>
      <c r="R225" s="3" t="s">
        <v>12</v>
      </c>
      <c r="S225" s="3" t="s">
        <v>529</v>
      </c>
      <c r="T225" s="3" t="s">
        <v>129</v>
      </c>
      <c r="U225" s="3"/>
    </row>
    <row r="226" spans="1:21" ht="15.75" thickBot="1" x14ac:dyDescent="0.3">
      <c r="A226" s="226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118"/>
      <c r="O226" s="3"/>
      <c r="P226" s="3" t="s">
        <v>530</v>
      </c>
      <c r="Q226" s="3" t="s">
        <v>531</v>
      </c>
      <c r="R226" s="3" t="s">
        <v>12</v>
      </c>
      <c r="S226" s="3" t="s">
        <v>532</v>
      </c>
      <c r="T226" s="3" t="s">
        <v>129</v>
      </c>
      <c r="U226" s="3"/>
    </row>
    <row r="227" spans="1:21" x14ac:dyDescent="0.25">
      <c r="A227" s="251"/>
      <c r="B227" s="3"/>
      <c r="C227" s="3"/>
      <c r="D227" s="3"/>
      <c r="E227" s="3"/>
      <c r="F227" s="3"/>
      <c r="G227" s="199"/>
      <c r="H227" s="199"/>
      <c r="I227" s="199"/>
      <c r="J227" s="199"/>
      <c r="K227" s="199"/>
      <c r="L227" s="106"/>
      <c r="O227" s="3"/>
      <c r="P227" s="3" t="s">
        <v>533</v>
      </c>
      <c r="Q227" s="3" t="s">
        <v>534</v>
      </c>
      <c r="R227" s="3" t="s">
        <v>12</v>
      </c>
      <c r="S227" s="3" t="s">
        <v>535</v>
      </c>
      <c r="T227" s="3" t="s">
        <v>47</v>
      </c>
      <c r="U227" s="3"/>
    </row>
    <row r="228" spans="1:21" x14ac:dyDescent="0.25">
      <c r="A228" s="251"/>
      <c r="B228" s="3"/>
      <c r="C228" s="3"/>
      <c r="D228" s="3"/>
      <c r="E228" s="3"/>
      <c r="F228" s="3"/>
      <c r="G228" s="199"/>
      <c r="H228" s="199"/>
      <c r="I228" s="199"/>
      <c r="J228" s="199"/>
      <c r="K228" s="199"/>
      <c r="L228" s="106"/>
      <c r="M228" s="7"/>
      <c r="O228" s="3"/>
      <c r="P228" s="3" t="s">
        <v>536</v>
      </c>
      <c r="Q228" s="3" t="s">
        <v>537</v>
      </c>
      <c r="R228" s="3" t="s">
        <v>12</v>
      </c>
      <c r="S228" s="3" t="s">
        <v>538</v>
      </c>
      <c r="T228" s="3" t="s">
        <v>100</v>
      </c>
      <c r="U228" s="3"/>
    </row>
    <row r="229" spans="1:21" x14ac:dyDescent="0.25">
      <c r="A229" s="220"/>
      <c r="B229" s="3"/>
      <c r="C229" s="3"/>
      <c r="D229" s="3"/>
      <c r="E229" s="3"/>
      <c r="F229" s="3"/>
      <c r="G229" s="3"/>
      <c r="H229" s="199"/>
      <c r="I229" s="199"/>
      <c r="J229" s="199"/>
      <c r="K229" s="199"/>
      <c r="L229" s="5"/>
      <c r="M229" s="7"/>
      <c r="O229" s="3"/>
      <c r="P229" s="3" t="s">
        <v>1599</v>
      </c>
      <c r="Q229" s="3" t="s">
        <v>1600</v>
      </c>
      <c r="R229" s="3" t="s">
        <v>12</v>
      </c>
      <c r="S229" s="3" t="s">
        <v>1601</v>
      </c>
      <c r="T229" s="3" t="s">
        <v>340</v>
      </c>
      <c r="U229" s="3"/>
    </row>
    <row r="230" spans="1:21" x14ac:dyDescent="0.25">
      <c r="A230" s="220"/>
      <c r="B230" s="3"/>
      <c r="C230" s="3"/>
      <c r="D230" s="3"/>
      <c r="E230" s="3"/>
      <c r="F230" s="3"/>
      <c r="G230" s="3"/>
      <c r="H230" s="199"/>
      <c r="I230" s="199"/>
      <c r="J230" s="199"/>
      <c r="K230" s="199"/>
      <c r="L230" s="5"/>
      <c r="M230" s="7"/>
      <c r="O230" s="3"/>
      <c r="P230" s="3" t="s">
        <v>539</v>
      </c>
      <c r="Q230" s="3" t="s">
        <v>1602</v>
      </c>
      <c r="R230" s="3" t="s">
        <v>12</v>
      </c>
      <c r="S230" s="3" t="s">
        <v>541</v>
      </c>
      <c r="T230" s="3" t="s">
        <v>43</v>
      </c>
      <c r="U230" s="3"/>
    </row>
    <row r="231" spans="1:21" x14ac:dyDescent="0.25">
      <c r="A231" s="220"/>
      <c r="B231" s="3"/>
      <c r="C231" s="3"/>
      <c r="D231" s="3"/>
      <c r="E231" s="3"/>
      <c r="F231" s="3"/>
      <c r="G231" s="3"/>
      <c r="H231" s="199"/>
      <c r="I231" s="199"/>
      <c r="J231" s="199"/>
      <c r="K231" s="199"/>
      <c r="L231" s="5"/>
      <c r="M231" s="7"/>
      <c r="O231" s="3"/>
      <c r="P231" s="3" t="s">
        <v>2377</v>
      </c>
      <c r="Q231" s="3" t="s">
        <v>2378</v>
      </c>
      <c r="R231" s="3" t="s">
        <v>12</v>
      </c>
      <c r="S231" s="3" t="s">
        <v>2379</v>
      </c>
      <c r="T231" s="3" t="s">
        <v>2380</v>
      </c>
      <c r="U231" s="3"/>
    </row>
    <row r="232" spans="1:21" x14ac:dyDescent="0.25">
      <c r="A232" s="220"/>
      <c r="B232" s="3"/>
      <c r="C232" s="3"/>
      <c r="D232" s="3"/>
      <c r="E232" s="3"/>
      <c r="F232" s="3"/>
      <c r="G232" s="3"/>
      <c r="H232" s="3"/>
      <c r="I232" s="3"/>
      <c r="J232" s="199"/>
      <c r="K232" s="199"/>
      <c r="L232" s="5"/>
      <c r="M232" s="7"/>
      <c r="O232" s="3"/>
      <c r="P232" s="3" t="s">
        <v>1603</v>
      </c>
      <c r="Q232" s="3" t="s">
        <v>1604</v>
      </c>
      <c r="R232" s="3" t="s">
        <v>12</v>
      </c>
      <c r="S232" s="3" t="s">
        <v>1605</v>
      </c>
      <c r="T232" s="3" t="s">
        <v>315</v>
      </c>
      <c r="U232" s="3"/>
    </row>
    <row r="233" spans="1:21" x14ac:dyDescent="0.25">
      <c r="A233" s="220"/>
      <c r="B233" s="3"/>
      <c r="C233" s="3"/>
      <c r="D233" s="3"/>
      <c r="E233" s="3"/>
      <c r="F233" s="3"/>
      <c r="G233" s="3"/>
      <c r="H233" s="3"/>
      <c r="I233" s="3"/>
      <c r="J233" s="199"/>
      <c r="K233" s="199"/>
      <c r="L233" s="5"/>
      <c r="M233" s="7"/>
      <c r="O233" s="3"/>
      <c r="P233" s="3" t="s">
        <v>2123</v>
      </c>
      <c r="Q233" s="3" t="s">
        <v>2124</v>
      </c>
      <c r="R233" s="3" t="s">
        <v>12</v>
      </c>
      <c r="S233" s="3" t="s">
        <v>2125</v>
      </c>
      <c r="T233" s="3" t="s">
        <v>49</v>
      </c>
      <c r="U233" s="3"/>
    </row>
    <row r="234" spans="1:21" x14ac:dyDescent="0.25">
      <c r="A234" s="220"/>
      <c r="B234" s="3"/>
      <c r="C234" s="3"/>
      <c r="D234" s="3"/>
      <c r="E234" s="3"/>
      <c r="F234" s="3"/>
      <c r="G234" s="3"/>
      <c r="H234" s="3"/>
      <c r="I234" s="3"/>
      <c r="J234" s="199"/>
      <c r="K234" s="3"/>
      <c r="L234" s="5"/>
      <c r="M234" s="7"/>
      <c r="O234" s="3"/>
      <c r="P234" s="3" t="s">
        <v>542</v>
      </c>
      <c r="Q234" s="3" t="s">
        <v>543</v>
      </c>
      <c r="R234" s="3" t="s">
        <v>12</v>
      </c>
      <c r="S234" s="3" t="s">
        <v>544</v>
      </c>
      <c r="T234" s="3" t="s">
        <v>43</v>
      </c>
      <c r="U234" s="3"/>
    </row>
    <row r="235" spans="1:21" x14ac:dyDescent="0.25">
      <c r="A235" s="22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5"/>
      <c r="M235" s="7"/>
      <c r="O235" s="3"/>
      <c r="P235" s="3" t="s">
        <v>545</v>
      </c>
      <c r="Q235" s="3" t="s">
        <v>546</v>
      </c>
      <c r="R235" s="3" t="s">
        <v>12</v>
      </c>
      <c r="S235" s="3" t="s">
        <v>547</v>
      </c>
      <c r="T235" s="3" t="s">
        <v>49</v>
      </c>
      <c r="U235" s="3"/>
    </row>
    <row r="236" spans="1:21" x14ac:dyDescent="0.25">
      <c r="A236" s="22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5"/>
      <c r="M236" s="7"/>
      <c r="O236" s="3"/>
      <c r="P236" s="3" t="s">
        <v>1606</v>
      </c>
      <c r="Q236" s="3" t="s">
        <v>1607</v>
      </c>
      <c r="R236" s="3" t="s">
        <v>12</v>
      </c>
      <c r="S236" s="3" t="s">
        <v>1608</v>
      </c>
      <c r="T236" s="3" t="s">
        <v>1609</v>
      </c>
      <c r="U236" s="3"/>
    </row>
    <row r="237" spans="1:21" x14ac:dyDescent="0.25">
      <c r="A237" s="253"/>
      <c r="B237" s="3"/>
      <c r="C237" s="3"/>
      <c r="D237" s="3"/>
      <c r="E237" s="3"/>
      <c r="F237" s="3"/>
      <c r="G237" s="236"/>
      <c r="H237" s="236"/>
      <c r="I237" s="236"/>
      <c r="J237" s="236"/>
      <c r="K237" s="236"/>
      <c r="L237" s="260"/>
      <c r="M237" s="7"/>
      <c r="O237" s="3"/>
      <c r="P237" s="3" t="s">
        <v>548</v>
      </c>
      <c r="Q237" s="3" t="s">
        <v>549</v>
      </c>
      <c r="R237" s="3" t="s">
        <v>12</v>
      </c>
      <c r="S237" s="3" t="s">
        <v>550</v>
      </c>
      <c r="T237" s="3" t="s">
        <v>129</v>
      </c>
      <c r="U237" s="3"/>
    </row>
    <row r="238" spans="1:21" x14ac:dyDescent="0.25">
      <c r="A238" s="22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5"/>
      <c r="M238" s="7"/>
      <c r="O238" s="3"/>
      <c r="P238" s="3" t="s">
        <v>551</v>
      </c>
      <c r="Q238" s="3" t="s">
        <v>552</v>
      </c>
      <c r="R238" s="3" t="s">
        <v>12</v>
      </c>
      <c r="S238" s="3" t="s">
        <v>553</v>
      </c>
      <c r="T238" s="3" t="s">
        <v>44</v>
      </c>
      <c r="U238" s="3"/>
    </row>
    <row r="239" spans="1:21" x14ac:dyDescent="0.25">
      <c r="A239" s="251"/>
      <c r="B239" s="3"/>
      <c r="C239" s="3"/>
      <c r="D239" s="3"/>
      <c r="E239" s="3"/>
      <c r="F239" s="3"/>
      <c r="G239" s="199"/>
      <c r="H239" s="199"/>
      <c r="I239" s="199"/>
      <c r="J239" s="199"/>
      <c r="K239" s="199"/>
      <c r="L239" s="106"/>
      <c r="M239" s="7"/>
      <c r="O239" s="3"/>
      <c r="P239" s="3" t="s">
        <v>554</v>
      </c>
      <c r="Q239" s="3" t="s">
        <v>555</v>
      </c>
      <c r="R239" s="3" t="s">
        <v>12</v>
      </c>
      <c r="S239" s="3" t="s">
        <v>556</v>
      </c>
      <c r="T239" s="3" t="s">
        <v>47</v>
      </c>
      <c r="U239" s="3"/>
    </row>
    <row r="240" spans="1:21" x14ac:dyDescent="0.25">
      <c r="A240" s="220"/>
      <c r="B240" s="3"/>
      <c r="C240" s="3"/>
      <c r="D240" s="3"/>
      <c r="E240" s="3"/>
      <c r="F240" s="3"/>
      <c r="G240" s="3"/>
      <c r="H240" s="199"/>
      <c r="I240" s="199"/>
      <c r="J240" s="199"/>
      <c r="K240" s="199"/>
      <c r="L240" s="106"/>
      <c r="M240" s="7"/>
      <c r="O240" s="3"/>
      <c r="P240" s="3" t="s">
        <v>557</v>
      </c>
      <c r="Q240" s="3" t="s">
        <v>558</v>
      </c>
      <c r="R240" s="3" t="s">
        <v>12</v>
      </c>
      <c r="S240" s="3" t="s">
        <v>559</v>
      </c>
      <c r="T240" s="3" t="s">
        <v>46</v>
      </c>
      <c r="U240" s="3"/>
    </row>
    <row r="241" spans="1:21" x14ac:dyDescent="0.25">
      <c r="A241" s="220"/>
      <c r="B241" s="3"/>
      <c r="C241" s="3"/>
      <c r="D241" s="3"/>
      <c r="E241" s="3"/>
      <c r="F241" s="3"/>
      <c r="G241" s="3"/>
      <c r="H241" s="3"/>
      <c r="I241" s="3"/>
      <c r="J241" s="199"/>
      <c r="K241" s="3"/>
      <c r="L241" s="5"/>
      <c r="M241" s="7"/>
      <c r="O241" s="3"/>
      <c r="P241" s="3" t="s">
        <v>1610</v>
      </c>
      <c r="Q241" s="3" t="s">
        <v>1611</v>
      </c>
      <c r="R241" s="3" t="s">
        <v>12</v>
      </c>
      <c r="S241" s="3" t="s">
        <v>1612</v>
      </c>
      <c r="T241" s="3" t="s">
        <v>311</v>
      </c>
      <c r="U241" s="3"/>
    </row>
    <row r="242" spans="1:21" x14ac:dyDescent="0.25">
      <c r="A242" s="220"/>
      <c r="B242" s="3"/>
      <c r="C242" s="3"/>
      <c r="D242" s="3"/>
      <c r="E242" s="3"/>
      <c r="F242" s="3"/>
      <c r="G242" s="3"/>
      <c r="H242" s="3"/>
      <c r="I242" s="3"/>
      <c r="J242" s="199"/>
      <c r="K242" s="3"/>
      <c r="L242" s="5"/>
      <c r="M242" s="7"/>
      <c r="O242" s="3"/>
      <c r="P242" s="3" t="s">
        <v>2126</v>
      </c>
      <c r="Q242" s="3" t="s">
        <v>2127</v>
      </c>
      <c r="R242" s="3" t="s">
        <v>12</v>
      </c>
      <c r="S242" s="3" t="s">
        <v>2128</v>
      </c>
      <c r="T242" s="3" t="s">
        <v>44</v>
      </c>
      <c r="U242" s="3"/>
    </row>
    <row r="243" spans="1:21" x14ac:dyDescent="0.25">
      <c r="A243" s="220"/>
      <c r="B243" s="3"/>
      <c r="C243" s="3"/>
      <c r="D243" s="3"/>
      <c r="E243" s="3"/>
      <c r="F243" s="3"/>
      <c r="G243" s="3"/>
      <c r="H243" s="3"/>
      <c r="I243" s="3"/>
      <c r="J243" s="199"/>
      <c r="K243" s="199"/>
      <c r="L243" s="5"/>
      <c r="M243" s="7"/>
      <c r="O243" s="3"/>
      <c r="P243" s="3" t="s">
        <v>126</v>
      </c>
      <c r="Q243" s="3" t="s">
        <v>127</v>
      </c>
      <c r="R243" s="3" t="s">
        <v>12</v>
      </c>
      <c r="S243" s="3" t="s">
        <v>128</v>
      </c>
      <c r="T243" s="3" t="s">
        <v>129</v>
      </c>
      <c r="U243" s="3"/>
    </row>
    <row r="244" spans="1:21" ht="15.75" thickBot="1" x14ac:dyDescent="0.3">
      <c r="A244" s="226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118"/>
      <c r="M244" s="258"/>
      <c r="O244" s="3"/>
      <c r="P244" s="3" t="s">
        <v>560</v>
      </c>
      <c r="Q244" s="3" t="s">
        <v>561</v>
      </c>
      <c r="R244" s="3" t="s">
        <v>12</v>
      </c>
      <c r="S244" s="3" t="s">
        <v>562</v>
      </c>
      <c r="T244" s="3" t="s">
        <v>327</v>
      </c>
      <c r="U244" s="3"/>
    </row>
    <row r="245" spans="1:21" x14ac:dyDescent="0.25">
      <c r="A245" s="251"/>
      <c r="B245" s="3"/>
      <c r="C245" s="3"/>
      <c r="D245" s="3"/>
      <c r="E245" s="3"/>
      <c r="F245" s="3"/>
      <c r="G245" s="3"/>
      <c r="H245" s="199"/>
      <c r="I245" s="199"/>
      <c r="J245" s="199"/>
      <c r="K245" s="199"/>
      <c r="L245" s="106"/>
      <c r="M245" s="7"/>
      <c r="O245" s="3"/>
      <c r="P245" s="3" t="s">
        <v>1613</v>
      </c>
      <c r="Q245" s="3" t="s">
        <v>1614</v>
      </c>
      <c r="R245" s="3" t="s">
        <v>12</v>
      </c>
      <c r="S245" s="3" t="s">
        <v>1615</v>
      </c>
      <c r="T245" s="3" t="s">
        <v>44</v>
      </c>
      <c r="U245" s="3"/>
    </row>
    <row r="246" spans="1:21" x14ac:dyDescent="0.25">
      <c r="A246" s="251"/>
      <c r="B246" s="3"/>
      <c r="C246" s="3"/>
      <c r="D246" s="3"/>
      <c r="E246" s="3"/>
      <c r="F246" s="3"/>
      <c r="G246" s="3"/>
      <c r="H246" s="3"/>
      <c r="I246" s="3"/>
      <c r="J246" s="199"/>
      <c r="K246" s="3"/>
      <c r="L246" s="5"/>
      <c r="M246" s="7"/>
      <c r="O246" s="3"/>
      <c r="P246" s="3" t="s">
        <v>114</v>
      </c>
      <c r="Q246" s="3" t="s">
        <v>115</v>
      </c>
      <c r="R246" s="3" t="s">
        <v>12</v>
      </c>
      <c r="S246" s="3" t="s">
        <v>113</v>
      </c>
      <c r="T246" s="3" t="s">
        <v>116</v>
      </c>
      <c r="U246" s="3"/>
    </row>
    <row r="247" spans="1:21" x14ac:dyDescent="0.25">
      <c r="A247" s="251"/>
      <c r="B247" s="3"/>
      <c r="C247" s="3"/>
      <c r="D247" s="3"/>
      <c r="E247" s="3"/>
      <c r="F247" s="3"/>
      <c r="G247" s="3"/>
      <c r="H247" s="3"/>
      <c r="I247" s="3"/>
      <c r="J247" s="199"/>
      <c r="K247" s="3"/>
      <c r="L247" s="5"/>
      <c r="M247" s="7"/>
      <c r="O247" s="3"/>
      <c r="P247" s="3" t="s">
        <v>563</v>
      </c>
      <c r="Q247" s="3" t="s">
        <v>564</v>
      </c>
      <c r="R247" s="3" t="s">
        <v>12</v>
      </c>
      <c r="S247" s="3" t="s">
        <v>565</v>
      </c>
      <c r="T247" s="3" t="s">
        <v>44</v>
      </c>
      <c r="U247" s="3"/>
    </row>
    <row r="248" spans="1:21" x14ac:dyDescent="0.25">
      <c r="A248" s="251"/>
      <c r="B248" s="3"/>
      <c r="C248" s="3"/>
      <c r="D248" s="3"/>
      <c r="E248" s="3"/>
      <c r="F248" s="3"/>
      <c r="G248" s="3"/>
      <c r="H248" s="3"/>
      <c r="I248" s="3"/>
      <c r="J248" s="199"/>
      <c r="K248" s="3"/>
      <c r="L248" s="5"/>
      <c r="M248" s="7"/>
      <c r="O248" s="3"/>
      <c r="P248" s="3" t="s">
        <v>566</v>
      </c>
      <c r="Q248" s="3" t="s">
        <v>567</v>
      </c>
      <c r="R248" s="3" t="s">
        <v>12</v>
      </c>
      <c r="S248" s="3" t="s">
        <v>568</v>
      </c>
      <c r="T248" s="3" t="s">
        <v>569</v>
      </c>
      <c r="U248" s="3"/>
    </row>
    <row r="249" spans="1:21" x14ac:dyDescent="0.25">
      <c r="A249" s="251"/>
      <c r="B249" s="3"/>
      <c r="C249" s="3"/>
      <c r="D249" s="3"/>
      <c r="E249" s="3"/>
      <c r="F249" s="3"/>
      <c r="G249" s="3"/>
      <c r="H249" s="3"/>
      <c r="I249" s="3"/>
      <c r="J249" s="199"/>
      <c r="K249" s="3"/>
      <c r="L249" s="5"/>
      <c r="M249" s="7"/>
      <c r="O249" s="3"/>
      <c r="P249" s="3" t="s">
        <v>2459</v>
      </c>
      <c r="Q249" s="3" t="s">
        <v>2460</v>
      </c>
      <c r="R249" s="3" t="s">
        <v>12</v>
      </c>
      <c r="S249" s="3" t="s">
        <v>2466</v>
      </c>
      <c r="T249" s="3" t="s">
        <v>43</v>
      </c>
      <c r="U249" s="3"/>
    </row>
    <row r="250" spans="1:21" x14ac:dyDescent="0.25">
      <c r="A250" s="251"/>
      <c r="B250" s="3"/>
      <c r="C250" s="3"/>
      <c r="D250" s="3"/>
      <c r="E250" s="3"/>
      <c r="F250" s="3"/>
      <c r="G250" s="3"/>
      <c r="H250" s="3"/>
      <c r="I250" s="3"/>
      <c r="J250" s="199"/>
      <c r="K250" s="3"/>
      <c r="L250" s="5"/>
      <c r="M250" s="7"/>
      <c r="O250" s="3"/>
      <c r="P250" s="3" t="s">
        <v>1616</v>
      </c>
      <c r="Q250" s="3" t="s">
        <v>1617</v>
      </c>
      <c r="R250" s="3" t="s">
        <v>12</v>
      </c>
      <c r="S250" s="3" t="s">
        <v>1618</v>
      </c>
      <c r="T250" s="3" t="s">
        <v>129</v>
      </c>
      <c r="U250" s="3"/>
    </row>
    <row r="251" spans="1:21" x14ac:dyDescent="0.25">
      <c r="A251" s="251"/>
      <c r="B251" s="3"/>
      <c r="C251" s="3"/>
      <c r="D251" s="3"/>
      <c r="E251" s="3"/>
      <c r="F251" s="3"/>
      <c r="G251" s="3"/>
      <c r="H251" s="3"/>
      <c r="I251" s="3"/>
      <c r="J251" s="199"/>
      <c r="K251" s="3"/>
      <c r="L251" s="5"/>
      <c r="M251" s="7"/>
      <c r="O251" s="3"/>
      <c r="P251" s="3" t="s">
        <v>1619</v>
      </c>
      <c r="Q251" s="3" t="s">
        <v>1620</v>
      </c>
      <c r="R251" s="3" t="s">
        <v>12</v>
      </c>
      <c r="S251" s="3" t="s">
        <v>1618</v>
      </c>
      <c r="T251" s="3" t="s">
        <v>129</v>
      </c>
      <c r="U251" s="3"/>
    </row>
    <row r="252" spans="1:21" x14ac:dyDescent="0.25">
      <c r="A252" s="251"/>
      <c r="B252" s="3"/>
      <c r="C252" s="3"/>
      <c r="D252" s="3"/>
      <c r="E252" s="3"/>
      <c r="F252" s="3"/>
      <c r="G252" s="3"/>
      <c r="H252" s="3"/>
      <c r="I252" s="3"/>
      <c r="J252" s="199"/>
      <c r="K252" s="3"/>
      <c r="L252" s="5"/>
      <c r="M252" s="7"/>
      <c r="O252" s="3"/>
      <c r="P252" s="3" t="s">
        <v>1621</v>
      </c>
      <c r="Q252" s="3" t="s">
        <v>1622</v>
      </c>
      <c r="R252" s="3" t="s">
        <v>12</v>
      </c>
      <c r="S252" s="3" t="s">
        <v>1623</v>
      </c>
      <c r="T252" s="3" t="s">
        <v>1624</v>
      </c>
      <c r="U252" s="3"/>
    </row>
    <row r="253" spans="1:21" x14ac:dyDescent="0.25">
      <c r="A253" s="251"/>
      <c r="B253" s="3"/>
      <c r="C253" s="3"/>
      <c r="D253" s="3"/>
      <c r="E253" s="3"/>
      <c r="F253" s="3"/>
      <c r="G253" s="3"/>
      <c r="H253" s="3"/>
      <c r="I253" s="3"/>
      <c r="J253" s="199"/>
      <c r="K253" s="3"/>
      <c r="L253" s="5"/>
      <c r="M253" s="7"/>
      <c r="O253" s="3"/>
      <c r="P253" s="3" t="s">
        <v>2129</v>
      </c>
      <c r="Q253" s="3" t="s">
        <v>2130</v>
      </c>
      <c r="R253" s="3" t="s">
        <v>12</v>
      </c>
      <c r="S253" s="3" t="s">
        <v>2131</v>
      </c>
      <c r="T253" s="3" t="s">
        <v>2132</v>
      </c>
      <c r="U253" s="3"/>
    </row>
    <row r="254" spans="1:21" x14ac:dyDescent="0.25">
      <c r="A254" s="251"/>
      <c r="B254" s="3"/>
      <c r="C254" s="3"/>
      <c r="D254" s="3"/>
      <c r="E254" s="3"/>
      <c r="F254" s="3"/>
      <c r="G254" s="3"/>
      <c r="H254" s="3"/>
      <c r="I254" s="3"/>
      <c r="J254" s="199"/>
      <c r="K254" s="3"/>
      <c r="L254" s="5"/>
      <c r="M254" s="7"/>
      <c r="O254" s="3"/>
      <c r="P254" s="3" t="s">
        <v>570</v>
      </c>
      <c r="Q254" s="3" t="s">
        <v>571</v>
      </c>
      <c r="R254" s="3" t="s">
        <v>12</v>
      </c>
      <c r="S254" s="3" t="s">
        <v>572</v>
      </c>
      <c r="T254" s="3" t="s">
        <v>129</v>
      </c>
      <c r="U254" s="3"/>
    </row>
    <row r="255" spans="1:21" x14ac:dyDescent="0.25">
      <c r="A255" s="251"/>
      <c r="B255" s="3"/>
      <c r="C255" s="3"/>
      <c r="D255" s="3"/>
      <c r="E255" s="3"/>
      <c r="F255" s="3"/>
      <c r="G255" s="3"/>
      <c r="H255" s="3"/>
      <c r="I255" s="3"/>
      <c r="J255" s="199"/>
      <c r="K255" s="3"/>
      <c r="L255" s="5"/>
      <c r="M255" s="7"/>
      <c r="O255" s="3"/>
      <c r="P255" s="3" t="s">
        <v>573</v>
      </c>
      <c r="Q255" s="3" t="s">
        <v>574</v>
      </c>
      <c r="R255" s="3" t="s">
        <v>12</v>
      </c>
      <c r="S255" s="3" t="s">
        <v>575</v>
      </c>
      <c r="T255" s="3" t="s">
        <v>326</v>
      </c>
      <c r="U255" s="3"/>
    </row>
    <row r="256" spans="1:21" ht="15.75" thickBot="1" x14ac:dyDescent="0.3">
      <c r="A256" s="226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118"/>
      <c r="M256" s="258"/>
      <c r="O256" s="3"/>
      <c r="P256" s="3" t="s">
        <v>1625</v>
      </c>
      <c r="Q256" s="3" t="s">
        <v>1626</v>
      </c>
      <c r="R256" s="3" t="s">
        <v>12</v>
      </c>
      <c r="S256" s="3" t="s">
        <v>1627</v>
      </c>
      <c r="T256" s="3" t="s">
        <v>1528</v>
      </c>
      <c r="U256" s="3"/>
    </row>
    <row r="257" spans="1:21" x14ac:dyDescent="0.25">
      <c r="A257" s="251"/>
      <c r="B257" s="3"/>
      <c r="C257" s="3"/>
      <c r="D257" s="3"/>
      <c r="E257" s="3"/>
      <c r="F257" s="3"/>
      <c r="G257" s="199"/>
      <c r="H257" s="199"/>
      <c r="I257" s="199"/>
      <c r="J257" s="199"/>
      <c r="K257" s="199"/>
      <c r="L257" s="106"/>
      <c r="M257" s="7"/>
      <c r="O257" s="3"/>
      <c r="P257" s="3" t="s">
        <v>1628</v>
      </c>
      <c r="Q257" s="3" t="s">
        <v>1629</v>
      </c>
      <c r="R257" s="3" t="s">
        <v>12</v>
      </c>
      <c r="S257" s="3" t="s">
        <v>1630</v>
      </c>
      <c r="T257" s="3" t="s">
        <v>201</v>
      </c>
      <c r="U257" s="3"/>
    </row>
    <row r="258" spans="1:21" x14ac:dyDescent="0.25">
      <c r="A258" s="25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5"/>
      <c r="M258" s="7"/>
      <c r="O258" s="3"/>
      <c r="P258" s="3" t="s">
        <v>576</v>
      </c>
      <c r="Q258" s="3" t="s">
        <v>577</v>
      </c>
      <c r="R258" s="3" t="s">
        <v>12</v>
      </c>
      <c r="S258" s="3" t="s">
        <v>578</v>
      </c>
      <c r="T258" s="3" t="s">
        <v>579</v>
      </c>
      <c r="U258" s="3"/>
    </row>
    <row r="259" spans="1:21" x14ac:dyDescent="0.25">
      <c r="A259" s="25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5"/>
      <c r="M259" s="7"/>
      <c r="O259" s="3"/>
      <c r="P259" s="3" t="s">
        <v>580</v>
      </c>
      <c r="Q259" s="3" t="s">
        <v>581</v>
      </c>
      <c r="R259" s="3" t="s">
        <v>12</v>
      </c>
      <c r="S259" s="3" t="s">
        <v>582</v>
      </c>
      <c r="T259" s="3" t="s">
        <v>48</v>
      </c>
      <c r="U259" s="3"/>
    </row>
    <row r="260" spans="1:21" x14ac:dyDescent="0.25">
      <c r="A260" s="25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5"/>
      <c r="M260" s="7"/>
      <c r="O260" s="3"/>
      <c r="P260" s="3" t="s">
        <v>1631</v>
      </c>
      <c r="Q260" s="3" t="s">
        <v>1632</v>
      </c>
      <c r="R260" s="3" t="s">
        <v>12</v>
      </c>
      <c r="S260" s="3" t="s">
        <v>1633</v>
      </c>
      <c r="T260" s="3" t="s">
        <v>201</v>
      </c>
      <c r="U260" s="3"/>
    </row>
    <row r="261" spans="1:21" x14ac:dyDescent="0.25">
      <c r="A261" s="25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5"/>
      <c r="M261" s="7"/>
      <c r="O261" s="3"/>
      <c r="P261" s="3" t="s">
        <v>2133</v>
      </c>
      <c r="Q261" s="3" t="s">
        <v>2134</v>
      </c>
      <c r="R261" s="3" t="s">
        <v>12</v>
      </c>
      <c r="S261" s="3" t="s">
        <v>2135</v>
      </c>
      <c r="T261" s="3" t="s">
        <v>43</v>
      </c>
      <c r="U261" s="3"/>
    </row>
    <row r="262" spans="1:21" x14ac:dyDescent="0.25">
      <c r="A262" s="25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5"/>
      <c r="M262" s="7"/>
      <c r="O262" s="3"/>
      <c r="P262" s="3" t="s">
        <v>2136</v>
      </c>
      <c r="Q262" s="3" t="s">
        <v>2137</v>
      </c>
      <c r="R262" s="3" t="s">
        <v>12</v>
      </c>
      <c r="S262" s="3" t="s">
        <v>2138</v>
      </c>
      <c r="T262" s="3" t="s">
        <v>46</v>
      </c>
      <c r="U262" s="3"/>
    </row>
    <row r="263" spans="1:21" x14ac:dyDescent="0.25">
      <c r="A263" s="25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5"/>
      <c r="M263" s="7"/>
      <c r="O263" s="3"/>
      <c r="P263" s="3" t="s">
        <v>2139</v>
      </c>
      <c r="Q263" s="3" t="s">
        <v>2140</v>
      </c>
      <c r="R263" s="3" t="s">
        <v>12</v>
      </c>
      <c r="S263" s="3" t="s">
        <v>2141</v>
      </c>
      <c r="T263" s="3" t="s">
        <v>116</v>
      </c>
      <c r="U263" s="3"/>
    </row>
    <row r="264" spans="1:21" x14ac:dyDescent="0.25">
      <c r="A264" s="25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5"/>
      <c r="M264" s="7"/>
      <c r="O264" s="3"/>
      <c r="P264" s="3" t="s">
        <v>1634</v>
      </c>
      <c r="Q264" s="3" t="s">
        <v>1635</v>
      </c>
      <c r="R264" s="3" t="s">
        <v>12</v>
      </c>
      <c r="S264" s="3" t="s">
        <v>1636</v>
      </c>
      <c r="T264" s="3" t="s">
        <v>129</v>
      </c>
      <c r="U264" s="3"/>
    </row>
    <row r="265" spans="1:21" x14ac:dyDescent="0.25">
      <c r="A265" s="25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5"/>
      <c r="M265" s="7"/>
      <c r="O265" s="3"/>
      <c r="P265" s="3" t="s">
        <v>1637</v>
      </c>
      <c r="Q265" s="3" t="s">
        <v>1638</v>
      </c>
      <c r="R265" s="3" t="s">
        <v>12</v>
      </c>
      <c r="S265" s="3" t="s">
        <v>1639</v>
      </c>
      <c r="T265" s="3" t="s">
        <v>340</v>
      </c>
      <c r="U265" s="3"/>
    </row>
    <row r="266" spans="1:21" x14ac:dyDescent="0.25">
      <c r="A266" s="25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5"/>
      <c r="M266" s="7"/>
      <c r="O266" s="3"/>
      <c r="P266" s="3" t="s">
        <v>1640</v>
      </c>
      <c r="Q266" s="3" t="s">
        <v>1641</v>
      </c>
      <c r="R266" s="3" t="s">
        <v>12</v>
      </c>
      <c r="S266" s="3" t="s">
        <v>1639</v>
      </c>
      <c r="T266" s="3" t="s">
        <v>44</v>
      </c>
      <c r="U266" s="3"/>
    </row>
    <row r="267" spans="1:21" x14ac:dyDescent="0.25">
      <c r="A267" s="25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5"/>
      <c r="M267" s="7"/>
      <c r="O267" s="3"/>
      <c r="P267" s="3" t="s">
        <v>583</v>
      </c>
      <c r="Q267" s="3" t="s">
        <v>584</v>
      </c>
      <c r="R267" s="3" t="s">
        <v>12</v>
      </c>
      <c r="S267" s="3" t="s">
        <v>585</v>
      </c>
      <c r="T267" s="3" t="s">
        <v>46</v>
      </c>
      <c r="U267" s="3"/>
    </row>
    <row r="268" spans="1:21" x14ac:dyDescent="0.25">
      <c r="A268" s="25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5"/>
      <c r="M268" s="7"/>
      <c r="O268" s="3"/>
      <c r="P268" s="3" t="s">
        <v>2142</v>
      </c>
      <c r="Q268" s="3" t="s">
        <v>2143</v>
      </c>
      <c r="R268" s="3" t="s">
        <v>12</v>
      </c>
      <c r="S268" s="3" t="s">
        <v>2144</v>
      </c>
      <c r="T268" s="3" t="s">
        <v>44</v>
      </c>
      <c r="U268" s="3"/>
    </row>
    <row r="269" spans="1:21" x14ac:dyDescent="0.25">
      <c r="A269" s="25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5"/>
      <c r="M269" s="7"/>
      <c r="O269" s="3"/>
      <c r="P269" s="3" t="s">
        <v>586</v>
      </c>
      <c r="Q269" s="3" t="s">
        <v>587</v>
      </c>
      <c r="R269" s="3" t="s">
        <v>12</v>
      </c>
      <c r="S269" s="3" t="s">
        <v>588</v>
      </c>
      <c r="T269" s="3" t="s">
        <v>46</v>
      </c>
      <c r="U269" s="3"/>
    </row>
    <row r="270" spans="1:21" x14ac:dyDescent="0.25">
      <c r="A270" s="251"/>
      <c r="B270" s="3"/>
      <c r="C270" s="3"/>
      <c r="D270" s="3"/>
      <c r="E270" s="3"/>
      <c r="F270" s="3"/>
      <c r="G270" s="199"/>
      <c r="H270" s="199"/>
      <c r="I270" s="199"/>
      <c r="J270" s="3"/>
      <c r="K270" s="3"/>
      <c r="L270" s="106"/>
      <c r="M270" s="7"/>
      <c r="O270" s="3"/>
      <c r="P270" s="3" t="s">
        <v>1642</v>
      </c>
      <c r="Q270" s="3" t="s">
        <v>1643</v>
      </c>
      <c r="R270" s="3" t="s">
        <v>12</v>
      </c>
      <c r="S270" s="3" t="s">
        <v>1644</v>
      </c>
      <c r="T270" s="3" t="s">
        <v>43</v>
      </c>
      <c r="U270" s="3"/>
    </row>
    <row r="271" spans="1:21" x14ac:dyDescent="0.25">
      <c r="A271" s="25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5"/>
      <c r="M271" s="7"/>
      <c r="O271" s="3"/>
      <c r="P271" s="3" t="s">
        <v>589</v>
      </c>
      <c r="Q271" s="3" t="s">
        <v>590</v>
      </c>
      <c r="R271" s="3" t="s">
        <v>12</v>
      </c>
      <c r="S271" s="3" t="s">
        <v>591</v>
      </c>
      <c r="T271" s="3" t="s">
        <v>44</v>
      </c>
      <c r="U271" s="3"/>
    </row>
    <row r="272" spans="1:21" x14ac:dyDescent="0.25">
      <c r="A272" s="25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5"/>
      <c r="M272" s="7"/>
      <c r="O272" s="3"/>
      <c r="P272" s="3" t="s">
        <v>1645</v>
      </c>
      <c r="Q272" s="3" t="s">
        <v>1646</v>
      </c>
      <c r="R272" s="3" t="s">
        <v>12</v>
      </c>
      <c r="S272" s="3" t="s">
        <v>1647</v>
      </c>
      <c r="T272" s="3" t="s">
        <v>1528</v>
      </c>
      <c r="U272" s="3"/>
    </row>
    <row r="273" spans="1:21" ht="15.75" thickBot="1" x14ac:dyDescent="0.3">
      <c r="A273" s="226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118"/>
      <c r="M273" s="258"/>
      <c r="O273" s="3"/>
      <c r="P273" s="3" t="s">
        <v>2145</v>
      </c>
      <c r="Q273" s="3" t="s">
        <v>2146</v>
      </c>
      <c r="R273" s="3" t="s">
        <v>12</v>
      </c>
      <c r="S273" s="3" t="s">
        <v>2147</v>
      </c>
      <c r="T273" s="3" t="s">
        <v>49</v>
      </c>
      <c r="U273" s="3"/>
    </row>
    <row r="274" spans="1:21" x14ac:dyDescent="0.25">
      <c r="A274" s="251"/>
      <c r="B274" s="3"/>
      <c r="C274" s="3"/>
      <c r="D274" s="3"/>
      <c r="E274" s="3"/>
      <c r="F274" s="3"/>
      <c r="G274" s="199"/>
      <c r="H274" s="199"/>
      <c r="I274" s="199"/>
      <c r="J274" s="199"/>
      <c r="K274" s="199"/>
      <c r="L274" s="106"/>
      <c r="M274" s="7"/>
      <c r="O274" s="3"/>
      <c r="P274" s="3" t="s">
        <v>94</v>
      </c>
      <c r="Q274" s="3" t="s">
        <v>95</v>
      </c>
      <c r="R274" s="3" t="s">
        <v>12</v>
      </c>
      <c r="S274" s="3" t="s">
        <v>96</v>
      </c>
      <c r="T274" s="3" t="s">
        <v>46</v>
      </c>
      <c r="U274" s="3"/>
    </row>
    <row r="275" spans="1:21" x14ac:dyDescent="0.25">
      <c r="A275" s="251"/>
      <c r="B275" s="3"/>
      <c r="C275" s="3"/>
      <c r="D275" s="3"/>
      <c r="E275" s="3"/>
      <c r="F275" s="3"/>
      <c r="G275" s="3"/>
      <c r="H275" s="3"/>
      <c r="I275" s="3"/>
      <c r="J275" s="199"/>
      <c r="K275" s="199"/>
      <c r="L275" s="5"/>
      <c r="M275" s="7"/>
      <c r="O275" s="3"/>
      <c r="P275" s="3" t="s">
        <v>97</v>
      </c>
      <c r="Q275" s="3" t="s">
        <v>98</v>
      </c>
      <c r="R275" s="3" t="s">
        <v>12</v>
      </c>
      <c r="S275" s="3" t="s">
        <v>99</v>
      </c>
      <c r="T275" s="3" t="s">
        <v>100</v>
      </c>
      <c r="U275" s="3"/>
    </row>
    <row r="276" spans="1:21" x14ac:dyDescent="0.25">
      <c r="A276" s="251"/>
      <c r="B276" s="3"/>
      <c r="C276" s="3"/>
      <c r="D276" s="3"/>
      <c r="E276" s="3"/>
      <c r="F276" s="3"/>
      <c r="G276" s="3"/>
      <c r="H276" s="3"/>
      <c r="I276" s="3"/>
      <c r="J276" s="199"/>
      <c r="K276" s="3"/>
      <c r="L276" s="5"/>
      <c r="M276" s="7"/>
      <c r="O276" s="3"/>
      <c r="P276" s="3" t="s">
        <v>592</v>
      </c>
      <c r="Q276" s="3" t="s">
        <v>593</v>
      </c>
      <c r="R276" s="3" t="s">
        <v>12</v>
      </c>
      <c r="S276" s="3" t="s">
        <v>594</v>
      </c>
      <c r="T276" s="3" t="s">
        <v>44</v>
      </c>
      <c r="U276" s="3"/>
    </row>
    <row r="277" spans="1:21" x14ac:dyDescent="0.25">
      <c r="A277" s="251"/>
      <c r="B277" s="3"/>
      <c r="C277" s="3"/>
      <c r="D277" s="3"/>
      <c r="E277" s="3"/>
      <c r="F277" s="3"/>
      <c r="G277" s="3"/>
      <c r="H277" s="3"/>
      <c r="I277" s="3"/>
      <c r="J277" s="199"/>
      <c r="K277" s="3"/>
      <c r="L277" s="5"/>
      <c r="M277" s="7"/>
      <c r="O277" s="3"/>
      <c r="P277" s="3" t="s">
        <v>595</v>
      </c>
      <c r="Q277" s="3" t="s">
        <v>596</v>
      </c>
      <c r="R277" s="3" t="s">
        <v>12</v>
      </c>
      <c r="S277" s="3" t="s">
        <v>597</v>
      </c>
      <c r="T277" s="3" t="s">
        <v>47</v>
      </c>
      <c r="U277" s="3"/>
    </row>
    <row r="278" spans="1:21" x14ac:dyDescent="0.25">
      <c r="A278" s="251"/>
      <c r="B278" s="3"/>
      <c r="C278" s="3"/>
      <c r="D278" s="3"/>
      <c r="E278" s="3"/>
      <c r="F278" s="3"/>
      <c r="G278" s="3"/>
      <c r="H278" s="3"/>
      <c r="I278" s="3"/>
      <c r="J278" s="199"/>
      <c r="K278" s="3"/>
      <c r="L278" s="5"/>
      <c r="M278" s="7"/>
      <c r="O278" s="3"/>
      <c r="P278" s="3" t="s">
        <v>598</v>
      </c>
      <c r="Q278" s="3" t="s">
        <v>599</v>
      </c>
      <c r="R278" s="3" t="s">
        <v>12</v>
      </c>
      <c r="S278" s="3" t="s">
        <v>600</v>
      </c>
      <c r="T278" s="3" t="s">
        <v>601</v>
      </c>
      <c r="U278" s="3"/>
    </row>
    <row r="279" spans="1:21" x14ac:dyDescent="0.25">
      <c r="A279" s="251"/>
      <c r="B279" s="3"/>
      <c r="C279" s="3"/>
      <c r="D279" s="3"/>
      <c r="E279" s="3"/>
      <c r="F279" s="3"/>
      <c r="G279" s="3"/>
      <c r="H279" s="3"/>
      <c r="I279" s="3"/>
      <c r="J279" s="199"/>
      <c r="K279" s="3"/>
      <c r="L279" s="5"/>
      <c r="M279" s="7"/>
      <c r="O279" s="3"/>
      <c r="P279" s="3" t="s">
        <v>602</v>
      </c>
      <c r="Q279" s="3" t="s">
        <v>603</v>
      </c>
      <c r="R279" s="3" t="s">
        <v>12</v>
      </c>
      <c r="S279" s="3" t="s">
        <v>604</v>
      </c>
      <c r="T279" s="3" t="s">
        <v>327</v>
      </c>
      <c r="U279" s="3"/>
    </row>
    <row r="280" spans="1:21" x14ac:dyDescent="0.25">
      <c r="A280" s="25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5"/>
      <c r="M280" s="7"/>
      <c r="O280" s="3"/>
      <c r="P280" s="3" t="s">
        <v>605</v>
      </c>
      <c r="Q280" s="3" t="s">
        <v>606</v>
      </c>
      <c r="R280" s="3" t="s">
        <v>12</v>
      </c>
      <c r="S280" s="3" t="s">
        <v>607</v>
      </c>
      <c r="T280" s="3" t="s">
        <v>129</v>
      </c>
      <c r="U280" s="3"/>
    </row>
    <row r="281" spans="1:21" x14ac:dyDescent="0.25">
      <c r="A281" s="25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5"/>
      <c r="M281" s="7"/>
      <c r="O281" s="3"/>
      <c r="P281" s="3" t="s">
        <v>608</v>
      </c>
      <c r="Q281" s="3" t="s">
        <v>609</v>
      </c>
      <c r="R281" s="3" t="s">
        <v>12</v>
      </c>
      <c r="S281" s="3" t="s">
        <v>607</v>
      </c>
      <c r="T281" s="3" t="s">
        <v>327</v>
      </c>
      <c r="U281" s="3"/>
    </row>
    <row r="282" spans="1:21" x14ac:dyDescent="0.25">
      <c r="A282" s="25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5"/>
      <c r="M282" s="7"/>
      <c r="O282" s="3"/>
      <c r="P282" s="3" t="s">
        <v>1648</v>
      </c>
      <c r="Q282" s="3" t="s">
        <v>1649</v>
      </c>
      <c r="R282" s="3" t="s">
        <v>12</v>
      </c>
      <c r="S282" s="3" t="s">
        <v>1650</v>
      </c>
      <c r="T282" s="3" t="s">
        <v>48</v>
      </c>
      <c r="U282" s="3"/>
    </row>
    <row r="283" spans="1:21" x14ac:dyDescent="0.25">
      <c r="A283" s="25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5"/>
      <c r="M283" s="7"/>
      <c r="O283" s="3"/>
      <c r="P283" s="3" t="s">
        <v>1651</v>
      </c>
      <c r="Q283" s="3" t="s">
        <v>1652</v>
      </c>
      <c r="R283" s="3" t="s">
        <v>12</v>
      </c>
      <c r="S283" s="3" t="s">
        <v>1653</v>
      </c>
      <c r="T283" s="3" t="s">
        <v>319</v>
      </c>
      <c r="U283" s="3"/>
    </row>
    <row r="284" spans="1:21" x14ac:dyDescent="0.25">
      <c r="A284" s="25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5"/>
      <c r="M284" s="7"/>
      <c r="O284" s="3"/>
      <c r="P284" s="3" t="s">
        <v>610</v>
      </c>
      <c r="Q284" s="3" t="s">
        <v>611</v>
      </c>
      <c r="R284" s="3" t="s">
        <v>12</v>
      </c>
      <c r="S284" s="3" t="s">
        <v>612</v>
      </c>
      <c r="T284" s="3" t="s">
        <v>613</v>
      </c>
      <c r="U284" s="3"/>
    </row>
    <row r="285" spans="1:21" x14ac:dyDescent="0.25">
      <c r="A285" s="25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5"/>
      <c r="M285" s="7"/>
      <c r="O285" s="3"/>
      <c r="P285" s="3" t="s">
        <v>1654</v>
      </c>
      <c r="Q285" s="3" t="s">
        <v>1655</v>
      </c>
      <c r="R285" s="3" t="s">
        <v>12</v>
      </c>
      <c r="S285" s="3" t="s">
        <v>1656</v>
      </c>
      <c r="T285" s="3" t="s">
        <v>48</v>
      </c>
      <c r="U285" s="3"/>
    </row>
    <row r="286" spans="1:21" x14ac:dyDescent="0.25">
      <c r="A286" s="25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5"/>
      <c r="M286" s="7"/>
      <c r="O286" s="3"/>
      <c r="P286" s="3" t="s">
        <v>614</v>
      </c>
      <c r="Q286" s="3" t="s">
        <v>615</v>
      </c>
      <c r="R286" s="3" t="s">
        <v>12</v>
      </c>
      <c r="S286" s="3" t="s">
        <v>273</v>
      </c>
      <c r="T286" s="3" t="s">
        <v>340</v>
      </c>
      <c r="U286" s="3"/>
    </row>
    <row r="287" spans="1:21" x14ac:dyDescent="0.25">
      <c r="A287" s="220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5"/>
      <c r="M287" s="7"/>
      <c r="O287" s="3"/>
      <c r="P287" s="3" t="s">
        <v>1657</v>
      </c>
      <c r="Q287" s="3" t="s">
        <v>1658</v>
      </c>
      <c r="R287" s="3" t="s">
        <v>12</v>
      </c>
      <c r="S287" s="3" t="s">
        <v>1659</v>
      </c>
      <c r="T287" s="3" t="s">
        <v>326</v>
      </c>
      <c r="U287" s="3"/>
    </row>
    <row r="288" spans="1:21" x14ac:dyDescent="0.25">
      <c r="A288" s="220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5"/>
      <c r="M288" s="7"/>
      <c r="O288" s="3"/>
      <c r="P288" s="3" t="s">
        <v>1660</v>
      </c>
      <c r="Q288" s="3" t="s">
        <v>1661</v>
      </c>
      <c r="R288" s="3" t="s">
        <v>12</v>
      </c>
      <c r="S288" s="3" t="s">
        <v>1662</v>
      </c>
      <c r="T288" s="3" t="s">
        <v>1663</v>
      </c>
      <c r="U288" s="3"/>
    </row>
    <row r="289" spans="1:21" x14ac:dyDescent="0.25">
      <c r="A289" s="251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06"/>
      <c r="M289" s="7"/>
      <c r="O289" s="3"/>
      <c r="P289" s="3" t="s">
        <v>616</v>
      </c>
      <c r="Q289" s="3" t="s">
        <v>617</v>
      </c>
      <c r="R289" s="3" t="s">
        <v>12</v>
      </c>
      <c r="S289" s="3" t="s">
        <v>618</v>
      </c>
      <c r="T289" s="3" t="s">
        <v>47</v>
      </c>
      <c r="U289" s="3"/>
    </row>
    <row r="290" spans="1:21" ht="15.75" thickBot="1" x14ac:dyDescent="0.3">
      <c r="A290" s="226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118"/>
      <c r="M290" s="258"/>
      <c r="O290" s="3"/>
      <c r="P290" s="3" t="s">
        <v>1664</v>
      </c>
      <c r="Q290" s="3" t="s">
        <v>1665</v>
      </c>
      <c r="R290" s="3" t="s">
        <v>12</v>
      </c>
      <c r="S290" s="3" t="s">
        <v>1666</v>
      </c>
      <c r="T290" s="3" t="s">
        <v>311</v>
      </c>
      <c r="U290" s="3"/>
    </row>
    <row r="291" spans="1:21" x14ac:dyDescent="0.25">
      <c r="A291" s="251"/>
      <c r="B291" s="3"/>
      <c r="C291" s="3"/>
      <c r="D291" s="3"/>
      <c r="E291" s="3"/>
      <c r="F291" s="3"/>
      <c r="G291" s="199"/>
      <c r="H291" s="199"/>
      <c r="I291" s="199"/>
      <c r="J291" s="199"/>
      <c r="K291" s="199"/>
      <c r="L291" s="106"/>
      <c r="M291" s="7"/>
      <c r="O291" s="3"/>
      <c r="P291" s="3" t="s">
        <v>1667</v>
      </c>
      <c r="Q291" s="3" t="s">
        <v>1668</v>
      </c>
      <c r="R291" s="3" t="s">
        <v>12</v>
      </c>
      <c r="S291" s="3" t="s">
        <v>1666</v>
      </c>
      <c r="T291" s="3" t="s">
        <v>311</v>
      </c>
      <c r="U291" s="3"/>
    </row>
    <row r="292" spans="1:21" x14ac:dyDescent="0.25">
      <c r="A292" s="251"/>
      <c r="B292" s="3"/>
      <c r="C292" s="3"/>
      <c r="D292" s="3"/>
      <c r="E292" s="3"/>
      <c r="F292" s="3"/>
      <c r="G292" s="3"/>
      <c r="H292" s="3"/>
      <c r="I292" s="3"/>
      <c r="J292" s="199"/>
      <c r="K292" s="3"/>
      <c r="L292" s="5"/>
      <c r="M292" s="7"/>
      <c r="O292" s="3"/>
      <c r="P292" s="3" t="s">
        <v>619</v>
      </c>
      <c r="Q292" s="3" t="s">
        <v>620</v>
      </c>
      <c r="R292" s="3" t="s">
        <v>12</v>
      </c>
      <c r="S292" s="3" t="s">
        <v>621</v>
      </c>
      <c r="T292" s="3" t="s">
        <v>327</v>
      </c>
      <c r="U292" s="3"/>
    </row>
    <row r="293" spans="1:21" x14ac:dyDescent="0.25">
      <c r="A293" s="251"/>
      <c r="B293" s="3"/>
      <c r="C293" s="3"/>
      <c r="D293" s="3"/>
      <c r="E293" s="3"/>
      <c r="F293" s="3"/>
      <c r="G293" s="3"/>
      <c r="H293" s="3"/>
      <c r="I293" s="3"/>
      <c r="J293" s="199"/>
      <c r="K293" s="3"/>
      <c r="L293" s="5"/>
      <c r="M293" s="7"/>
      <c r="O293" s="3"/>
      <c r="P293" s="3" t="s">
        <v>1669</v>
      </c>
      <c r="Q293" s="3" t="s">
        <v>623</v>
      </c>
      <c r="R293" s="3" t="s">
        <v>12</v>
      </c>
      <c r="S293" s="3" t="s">
        <v>1670</v>
      </c>
      <c r="T293" s="3" t="s">
        <v>43</v>
      </c>
      <c r="U293" s="3"/>
    </row>
    <row r="294" spans="1:21" x14ac:dyDescent="0.25">
      <c r="A294" s="251"/>
      <c r="B294" s="3"/>
      <c r="C294" s="3"/>
      <c r="D294" s="3"/>
      <c r="E294" s="3"/>
      <c r="F294" s="3"/>
      <c r="G294" s="3"/>
      <c r="H294" s="3"/>
      <c r="I294" s="3"/>
      <c r="J294" s="199"/>
      <c r="K294" s="3"/>
      <c r="L294" s="5"/>
      <c r="M294" s="7"/>
      <c r="O294" s="3"/>
      <c r="P294" s="3" t="s">
        <v>622</v>
      </c>
      <c r="Q294" s="3" t="s">
        <v>2445</v>
      </c>
      <c r="R294" s="3" t="s">
        <v>12</v>
      </c>
      <c r="S294" s="3" t="s">
        <v>624</v>
      </c>
      <c r="T294" s="3" t="s">
        <v>327</v>
      </c>
      <c r="U294" s="3"/>
    </row>
    <row r="295" spans="1:21" x14ac:dyDescent="0.25">
      <c r="A295" s="251"/>
      <c r="B295" s="3"/>
      <c r="C295" s="3"/>
      <c r="D295" s="3"/>
      <c r="E295" s="3"/>
      <c r="F295" s="3"/>
      <c r="G295" s="3"/>
      <c r="H295" s="3"/>
      <c r="I295" s="3"/>
      <c r="J295" s="199"/>
      <c r="K295" s="3"/>
      <c r="L295" s="5"/>
      <c r="M295" s="7"/>
      <c r="O295" s="3"/>
      <c r="P295" s="3" t="s">
        <v>1671</v>
      </c>
      <c r="Q295" s="3" t="s">
        <v>1672</v>
      </c>
      <c r="R295" s="3" t="s">
        <v>12</v>
      </c>
      <c r="S295" s="3" t="s">
        <v>1673</v>
      </c>
      <c r="T295" s="3" t="s">
        <v>1674</v>
      </c>
      <c r="U295" s="3"/>
    </row>
    <row r="296" spans="1:21" x14ac:dyDescent="0.25">
      <c r="A296" s="251"/>
      <c r="B296" s="3"/>
      <c r="C296" s="3"/>
      <c r="D296" s="3"/>
      <c r="E296" s="3"/>
      <c r="F296" s="3"/>
      <c r="G296" s="3"/>
      <c r="H296" s="3"/>
      <c r="I296" s="3"/>
      <c r="J296" s="199"/>
      <c r="K296" s="3"/>
      <c r="L296" s="5"/>
      <c r="M296" s="7"/>
      <c r="O296" s="3"/>
      <c r="P296" s="3" t="s">
        <v>625</v>
      </c>
      <c r="Q296" s="3" t="s">
        <v>626</v>
      </c>
      <c r="R296" s="3" t="s">
        <v>12</v>
      </c>
      <c r="S296" s="3" t="s">
        <v>627</v>
      </c>
      <c r="T296" s="3" t="s">
        <v>48</v>
      </c>
      <c r="U296" s="3"/>
    </row>
    <row r="297" spans="1:21" x14ac:dyDescent="0.25">
      <c r="A297" s="251"/>
      <c r="B297" s="3"/>
      <c r="C297" s="3"/>
      <c r="D297" s="3"/>
      <c r="E297" s="3"/>
      <c r="F297" s="3"/>
      <c r="G297" s="3"/>
      <c r="H297" s="3"/>
      <c r="I297" s="3"/>
      <c r="J297" s="199"/>
      <c r="K297" s="3"/>
      <c r="L297" s="5"/>
      <c r="M297" s="7"/>
      <c r="O297" s="3"/>
      <c r="P297" s="3" t="s">
        <v>628</v>
      </c>
      <c r="Q297" s="3" t="s">
        <v>629</v>
      </c>
      <c r="R297" s="3" t="s">
        <v>12</v>
      </c>
      <c r="S297" s="3" t="s">
        <v>630</v>
      </c>
      <c r="T297" s="3" t="s">
        <v>631</v>
      </c>
      <c r="U297" s="3"/>
    </row>
    <row r="298" spans="1:21" x14ac:dyDescent="0.25">
      <c r="A298" s="25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5"/>
      <c r="M298" s="7"/>
      <c r="O298" s="3"/>
      <c r="P298" s="3" t="s">
        <v>632</v>
      </c>
      <c r="Q298" s="3" t="s">
        <v>633</v>
      </c>
      <c r="R298" s="3" t="s">
        <v>12</v>
      </c>
      <c r="S298" s="3" t="s">
        <v>634</v>
      </c>
      <c r="T298" s="3" t="s">
        <v>46</v>
      </c>
      <c r="U298" s="3"/>
    </row>
    <row r="299" spans="1:21" x14ac:dyDescent="0.25">
      <c r="A299" s="25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5"/>
      <c r="M299" s="7"/>
      <c r="O299" s="3"/>
      <c r="P299" s="3" t="s">
        <v>635</v>
      </c>
      <c r="Q299" s="3" t="s">
        <v>636</v>
      </c>
      <c r="R299" s="3" t="s">
        <v>12</v>
      </c>
      <c r="S299" s="3" t="s">
        <v>637</v>
      </c>
      <c r="T299" s="3" t="s">
        <v>46</v>
      </c>
      <c r="U299" s="3"/>
    </row>
    <row r="300" spans="1:21" x14ac:dyDescent="0.25">
      <c r="A300" s="25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5"/>
      <c r="M300" s="7"/>
      <c r="O300" s="3"/>
      <c r="P300" s="3" t="s">
        <v>638</v>
      </c>
      <c r="Q300" s="3" t="s">
        <v>639</v>
      </c>
      <c r="R300" s="3" t="s">
        <v>12</v>
      </c>
      <c r="S300" s="3" t="s">
        <v>637</v>
      </c>
      <c r="T300" s="3" t="s">
        <v>640</v>
      </c>
      <c r="U300" s="3"/>
    </row>
    <row r="301" spans="1:21" ht="14.25" customHeight="1" x14ac:dyDescent="0.25">
      <c r="A301" s="25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5"/>
      <c r="M301" s="7"/>
      <c r="O301" s="3"/>
      <c r="P301" s="3" t="s">
        <v>1675</v>
      </c>
      <c r="Q301" s="3" t="s">
        <v>1676</v>
      </c>
      <c r="R301" s="3" t="s">
        <v>12</v>
      </c>
      <c r="S301" s="3" t="s">
        <v>1677</v>
      </c>
      <c r="T301" s="3" t="s">
        <v>44</v>
      </c>
      <c r="U301" s="3"/>
    </row>
    <row r="302" spans="1:21" x14ac:dyDescent="0.25">
      <c r="A302" s="25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5"/>
      <c r="M302" s="7"/>
      <c r="O302" s="3"/>
      <c r="P302" s="3" t="s">
        <v>1678</v>
      </c>
      <c r="Q302" s="3" t="s">
        <v>1679</v>
      </c>
      <c r="R302" s="3" t="s">
        <v>12</v>
      </c>
      <c r="S302" s="3" t="s">
        <v>1677</v>
      </c>
      <c r="T302" s="3" t="s">
        <v>46</v>
      </c>
      <c r="U302" s="3"/>
    </row>
    <row r="303" spans="1:21" ht="14.25" customHeight="1" x14ac:dyDescent="0.25">
      <c r="A303" s="25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5"/>
      <c r="M303" s="7"/>
      <c r="O303" s="3"/>
      <c r="P303" s="3" t="s">
        <v>1680</v>
      </c>
      <c r="Q303" s="3" t="s">
        <v>1681</v>
      </c>
      <c r="R303" s="3" t="s">
        <v>12</v>
      </c>
      <c r="S303" s="3" t="s">
        <v>1682</v>
      </c>
      <c r="T303" s="3" t="s">
        <v>46</v>
      </c>
      <c r="U303" s="3"/>
    </row>
    <row r="304" spans="1:21" ht="14.25" customHeight="1" x14ac:dyDescent="0.25">
      <c r="A304" s="25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5"/>
      <c r="M304" s="7"/>
      <c r="O304" s="3"/>
      <c r="P304" s="3" t="s">
        <v>737</v>
      </c>
      <c r="Q304" s="3" t="s">
        <v>738</v>
      </c>
      <c r="R304" s="3" t="s">
        <v>12</v>
      </c>
      <c r="S304" s="3" t="s">
        <v>1345</v>
      </c>
      <c r="T304" s="3" t="s">
        <v>48</v>
      </c>
      <c r="U304" s="3"/>
    </row>
    <row r="305" spans="1:21" x14ac:dyDescent="0.25">
      <c r="A305" s="25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5"/>
      <c r="M305" s="7"/>
      <c r="O305" s="3"/>
      <c r="P305" s="3" t="s">
        <v>2148</v>
      </c>
      <c r="Q305" s="3" t="s">
        <v>2371</v>
      </c>
      <c r="R305" s="3" t="s">
        <v>12</v>
      </c>
      <c r="S305" s="3" t="s">
        <v>2149</v>
      </c>
      <c r="T305" s="3" t="s">
        <v>43</v>
      </c>
      <c r="U305" s="3"/>
    </row>
    <row r="306" spans="1:21" x14ac:dyDescent="0.25">
      <c r="A306" s="25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5"/>
      <c r="M306" s="7"/>
      <c r="O306" s="3"/>
      <c r="P306" s="3" t="s">
        <v>641</v>
      </c>
      <c r="Q306" s="3" t="s">
        <v>642</v>
      </c>
      <c r="R306" s="3" t="s">
        <v>12</v>
      </c>
      <c r="S306" s="3" t="s">
        <v>643</v>
      </c>
      <c r="T306" s="3" t="s">
        <v>49</v>
      </c>
      <c r="U306" s="3"/>
    </row>
    <row r="307" spans="1:21" x14ac:dyDescent="0.25">
      <c r="A307" s="25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5"/>
      <c r="M307" s="7"/>
      <c r="O307" s="3"/>
      <c r="P307" s="3" t="s">
        <v>2150</v>
      </c>
      <c r="Q307" s="3" t="s">
        <v>2151</v>
      </c>
      <c r="R307" s="3" t="s">
        <v>12</v>
      </c>
      <c r="S307" s="3" t="s">
        <v>2152</v>
      </c>
      <c r="T307" s="3" t="s">
        <v>327</v>
      </c>
      <c r="U307" s="3"/>
    </row>
    <row r="308" spans="1:21" x14ac:dyDescent="0.25">
      <c r="A308" s="25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5"/>
      <c r="M308" s="7"/>
      <c r="O308" s="3"/>
      <c r="P308" s="3" t="s">
        <v>644</v>
      </c>
      <c r="Q308" s="3" t="s">
        <v>645</v>
      </c>
      <c r="R308" s="3" t="s">
        <v>12</v>
      </c>
      <c r="S308" s="3" t="s">
        <v>646</v>
      </c>
      <c r="T308" s="3" t="s">
        <v>327</v>
      </c>
      <c r="U308" s="3"/>
    </row>
    <row r="309" spans="1:21" x14ac:dyDescent="0.25">
      <c r="A309" s="25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5"/>
      <c r="M309" s="7"/>
      <c r="O309" s="3"/>
      <c r="P309" s="3" t="s">
        <v>647</v>
      </c>
      <c r="Q309" s="3" t="s">
        <v>648</v>
      </c>
      <c r="R309" s="3" t="s">
        <v>12</v>
      </c>
      <c r="S309" s="3" t="s">
        <v>646</v>
      </c>
      <c r="T309" s="3" t="s">
        <v>47</v>
      </c>
      <c r="U309" s="3"/>
    </row>
    <row r="310" spans="1:21" x14ac:dyDescent="0.25">
      <c r="A310" s="25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5"/>
      <c r="M310" s="7"/>
      <c r="O310" s="3"/>
      <c r="P310" s="3" t="s">
        <v>1683</v>
      </c>
      <c r="Q310" s="3" t="s">
        <v>1684</v>
      </c>
      <c r="R310" s="3" t="s">
        <v>12</v>
      </c>
      <c r="S310" s="3" t="s">
        <v>1685</v>
      </c>
      <c r="T310" s="3" t="s">
        <v>1528</v>
      </c>
      <c r="U310" s="3"/>
    </row>
    <row r="311" spans="1:21" x14ac:dyDescent="0.25">
      <c r="A311" s="25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5"/>
      <c r="M311" s="7"/>
      <c r="O311" s="3"/>
      <c r="P311" s="3" t="s">
        <v>1686</v>
      </c>
      <c r="Q311" s="3" t="s">
        <v>1687</v>
      </c>
      <c r="R311" s="3" t="s">
        <v>12</v>
      </c>
      <c r="S311" s="3" t="s">
        <v>1688</v>
      </c>
      <c r="T311" s="3" t="s">
        <v>43</v>
      </c>
      <c r="U311" s="3"/>
    </row>
    <row r="312" spans="1:21" x14ac:dyDescent="0.25">
      <c r="A312" s="25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5"/>
      <c r="M312" s="7"/>
      <c r="O312" s="3"/>
      <c r="P312" s="3" t="s">
        <v>1689</v>
      </c>
      <c r="Q312" s="3" t="s">
        <v>1690</v>
      </c>
      <c r="R312" s="3" t="s">
        <v>12</v>
      </c>
      <c r="S312" s="3" t="s">
        <v>1691</v>
      </c>
      <c r="T312" s="3" t="s">
        <v>47</v>
      </c>
      <c r="U312" s="3"/>
    </row>
    <row r="313" spans="1:21" ht="15.75" thickBot="1" x14ac:dyDescent="0.3">
      <c r="A313" s="226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118"/>
      <c r="M313" s="258"/>
      <c r="O313" s="3"/>
      <c r="P313" s="3" t="s">
        <v>649</v>
      </c>
      <c r="Q313" s="3" t="s">
        <v>650</v>
      </c>
      <c r="R313" s="3" t="s">
        <v>12</v>
      </c>
      <c r="S313" s="3" t="s">
        <v>651</v>
      </c>
      <c r="T313" s="3" t="s">
        <v>48</v>
      </c>
      <c r="U313" s="3"/>
    </row>
    <row r="314" spans="1:21" x14ac:dyDescent="0.25">
      <c r="A314" s="261"/>
      <c r="B314" s="3"/>
      <c r="C314" s="3"/>
      <c r="D314" s="3"/>
      <c r="E314" s="3"/>
      <c r="F314" s="3"/>
      <c r="G314" s="217"/>
      <c r="H314" s="217"/>
      <c r="I314" s="217"/>
      <c r="J314" s="217"/>
      <c r="K314" s="217"/>
      <c r="L314" s="237"/>
      <c r="M314" s="7"/>
      <c r="O314" s="3"/>
      <c r="P314" s="3"/>
      <c r="Q314" s="3"/>
      <c r="R314" s="3"/>
      <c r="S314" s="3"/>
      <c r="T314" s="3"/>
      <c r="U314" s="3"/>
    </row>
    <row r="315" spans="1:21" x14ac:dyDescent="0.25">
      <c r="A315" s="251"/>
      <c r="B315" s="3"/>
      <c r="C315" s="3"/>
      <c r="D315" s="3"/>
      <c r="E315" s="3"/>
      <c r="F315" s="3"/>
      <c r="G315" s="199"/>
      <c r="H315" s="199"/>
      <c r="I315" s="199"/>
      <c r="J315" s="199"/>
      <c r="K315" s="199"/>
      <c r="L315" s="106"/>
      <c r="M315" s="7"/>
      <c r="O315" s="3"/>
      <c r="P315" s="3" t="s">
        <v>652</v>
      </c>
      <c r="Q315" s="3" t="s">
        <v>653</v>
      </c>
      <c r="R315" s="3" t="s">
        <v>12</v>
      </c>
      <c r="S315" s="3" t="s">
        <v>654</v>
      </c>
      <c r="T315" s="3" t="s">
        <v>43</v>
      </c>
      <c r="U315" s="3"/>
    </row>
    <row r="316" spans="1:21" x14ac:dyDescent="0.25">
      <c r="A316" s="251"/>
      <c r="B316" s="3"/>
      <c r="C316" s="3"/>
      <c r="D316" s="3"/>
      <c r="E316" s="3"/>
      <c r="F316" s="3"/>
      <c r="G316" s="3"/>
      <c r="H316" s="3"/>
      <c r="I316" s="3"/>
      <c r="J316" s="199"/>
      <c r="K316" s="199"/>
      <c r="L316" s="5"/>
      <c r="M316" s="7"/>
      <c r="O316" s="3"/>
      <c r="P316" s="3" t="s">
        <v>2461</v>
      </c>
      <c r="Q316" s="3" t="s">
        <v>2462</v>
      </c>
      <c r="R316" s="3" t="s">
        <v>12</v>
      </c>
      <c r="S316" s="3" t="s">
        <v>1155</v>
      </c>
      <c r="T316" s="3" t="s">
        <v>2467</v>
      </c>
      <c r="U316" s="3"/>
    </row>
    <row r="317" spans="1:21" x14ac:dyDescent="0.25">
      <c r="A317" s="251"/>
      <c r="B317" s="3"/>
      <c r="C317" s="3"/>
      <c r="D317" s="3"/>
      <c r="E317" s="3"/>
      <c r="F317" s="3"/>
      <c r="G317" s="3"/>
      <c r="H317" s="3"/>
      <c r="I317" s="3"/>
      <c r="J317" s="199"/>
      <c r="K317" s="3"/>
      <c r="L317" s="5"/>
      <c r="M317" s="7"/>
      <c r="O317" s="3"/>
      <c r="P317" s="3" t="s">
        <v>655</v>
      </c>
      <c r="Q317" s="3" t="s">
        <v>656</v>
      </c>
      <c r="R317" s="3" t="s">
        <v>12</v>
      </c>
      <c r="S317" s="3" t="s">
        <v>657</v>
      </c>
      <c r="T317" s="3" t="s">
        <v>327</v>
      </c>
      <c r="U317" s="3"/>
    </row>
    <row r="318" spans="1:21" x14ac:dyDescent="0.25">
      <c r="A318" s="251"/>
      <c r="B318" s="3"/>
      <c r="C318" s="3"/>
      <c r="D318" s="3"/>
      <c r="E318" s="3"/>
      <c r="F318" s="3"/>
      <c r="G318" s="3"/>
      <c r="H318" s="3"/>
      <c r="I318" s="3"/>
      <c r="J318" s="199"/>
      <c r="K318" s="199"/>
      <c r="L318" s="5"/>
      <c r="M318" s="7"/>
      <c r="O318" s="3"/>
      <c r="P318" s="3" t="s">
        <v>1692</v>
      </c>
      <c r="Q318" s="3" t="s">
        <v>1693</v>
      </c>
      <c r="R318" s="3" t="s">
        <v>12</v>
      </c>
      <c r="S318" s="3" t="s">
        <v>1694</v>
      </c>
      <c r="T318" s="3" t="s">
        <v>44</v>
      </c>
      <c r="U318" s="3"/>
    </row>
    <row r="319" spans="1:21" x14ac:dyDescent="0.25">
      <c r="A319" s="251"/>
      <c r="B319" s="3"/>
      <c r="C319" s="3"/>
      <c r="D319" s="3"/>
      <c r="E319" s="3"/>
      <c r="F319" s="3"/>
      <c r="G319" s="3"/>
      <c r="H319" s="3"/>
      <c r="I319" s="3"/>
      <c r="J319" s="199"/>
      <c r="K319" s="3"/>
      <c r="L319" s="5"/>
      <c r="M319" s="7"/>
      <c r="O319" s="3"/>
      <c r="P319" s="3" t="s">
        <v>2426</v>
      </c>
      <c r="Q319" s="3" t="s">
        <v>2427</v>
      </c>
      <c r="R319" s="3" t="s">
        <v>12</v>
      </c>
      <c r="S319" s="3" t="s">
        <v>2429</v>
      </c>
      <c r="T319" s="3" t="s">
        <v>43</v>
      </c>
      <c r="U319" s="3"/>
    </row>
    <row r="320" spans="1:21" x14ac:dyDescent="0.25">
      <c r="A320" s="251"/>
      <c r="B320" s="3"/>
      <c r="C320" s="3"/>
      <c r="D320" s="3"/>
      <c r="E320" s="3"/>
      <c r="F320" s="3"/>
      <c r="G320" s="3"/>
      <c r="H320" s="3"/>
      <c r="I320" s="3"/>
      <c r="J320" s="199"/>
      <c r="K320" s="3"/>
      <c r="L320" s="5"/>
      <c r="M320" s="7"/>
      <c r="O320" s="3"/>
      <c r="P320" s="3" t="s">
        <v>1695</v>
      </c>
      <c r="Q320" s="3" t="s">
        <v>1696</v>
      </c>
      <c r="R320" s="3" t="s">
        <v>12</v>
      </c>
      <c r="S320" s="3" t="s">
        <v>1697</v>
      </c>
      <c r="T320" s="3" t="s">
        <v>93</v>
      </c>
      <c r="U320" s="3"/>
    </row>
    <row r="321" spans="1:21" x14ac:dyDescent="0.25">
      <c r="A321" s="251"/>
      <c r="B321" s="3"/>
      <c r="C321" s="3"/>
      <c r="D321" s="3"/>
      <c r="E321" s="3"/>
      <c r="F321" s="3"/>
      <c r="G321" s="3"/>
      <c r="H321" s="3"/>
      <c r="I321" s="3"/>
      <c r="J321" s="199"/>
      <c r="K321" s="3"/>
      <c r="L321" s="5"/>
      <c r="M321" s="7"/>
      <c r="O321" s="3"/>
      <c r="P321" s="3" t="s">
        <v>1698</v>
      </c>
      <c r="Q321" s="3" t="s">
        <v>1699</v>
      </c>
      <c r="R321" s="3" t="s">
        <v>12</v>
      </c>
      <c r="S321" s="3" t="s">
        <v>1700</v>
      </c>
      <c r="T321" s="3" t="s">
        <v>1701</v>
      </c>
      <c r="U321" s="3"/>
    </row>
    <row r="322" spans="1:21" x14ac:dyDescent="0.25">
      <c r="A322" s="251"/>
      <c r="B322" s="3"/>
      <c r="C322" s="3"/>
      <c r="D322" s="3"/>
      <c r="E322" s="3"/>
      <c r="F322" s="3"/>
      <c r="G322" s="3"/>
      <c r="H322" s="3"/>
      <c r="I322" s="3"/>
      <c r="J322" s="199"/>
      <c r="K322" s="3"/>
      <c r="L322" s="5"/>
      <c r="M322" s="7"/>
      <c r="O322" s="3"/>
      <c r="P322" s="3" t="s">
        <v>1702</v>
      </c>
      <c r="Q322" s="3" t="s">
        <v>1703</v>
      </c>
      <c r="R322" s="3" t="s">
        <v>12</v>
      </c>
      <c r="S322" s="3" t="s">
        <v>1704</v>
      </c>
      <c r="T322" s="3" t="s">
        <v>340</v>
      </c>
      <c r="U322" s="3"/>
    </row>
    <row r="323" spans="1:21" x14ac:dyDescent="0.25">
      <c r="A323" s="25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5"/>
      <c r="M323" s="7"/>
      <c r="O323" s="3"/>
      <c r="P323" s="3" t="s">
        <v>2153</v>
      </c>
      <c r="Q323" s="3" t="s">
        <v>2154</v>
      </c>
      <c r="R323" s="3" t="s">
        <v>12</v>
      </c>
      <c r="S323" s="3" t="s">
        <v>1704</v>
      </c>
      <c r="T323" s="3" t="s">
        <v>46</v>
      </c>
      <c r="U323" s="3"/>
    </row>
    <row r="324" spans="1:21" x14ac:dyDescent="0.25">
      <c r="A324" s="261"/>
      <c r="B324" s="3"/>
      <c r="C324" s="3"/>
      <c r="D324" s="3"/>
      <c r="E324" s="3"/>
      <c r="F324" s="3"/>
      <c r="G324" s="236"/>
      <c r="H324" s="236"/>
      <c r="I324" s="236"/>
      <c r="J324" s="3"/>
      <c r="K324" s="3"/>
      <c r="L324" s="260"/>
      <c r="M324" s="7"/>
      <c r="O324" s="236"/>
      <c r="P324" s="236" t="s">
        <v>2155</v>
      </c>
      <c r="Q324" s="236" t="s">
        <v>2156</v>
      </c>
      <c r="R324" s="236" t="s">
        <v>12</v>
      </c>
      <c r="S324" s="236" t="s">
        <v>1407</v>
      </c>
      <c r="T324" s="236" t="s">
        <v>311</v>
      </c>
      <c r="U324" s="236"/>
    </row>
    <row r="325" spans="1:21" s="3" customFormat="1" x14ac:dyDescent="0.25">
      <c r="A325" s="220"/>
      <c r="L325" s="5"/>
      <c r="M325" s="7"/>
      <c r="N325"/>
      <c r="O325" s="272"/>
      <c r="P325" s="3" t="s">
        <v>658</v>
      </c>
      <c r="Q325" s="3" t="s">
        <v>659</v>
      </c>
      <c r="R325" s="3" t="s">
        <v>12</v>
      </c>
      <c r="S325" s="3" t="s">
        <v>660</v>
      </c>
      <c r="T325" s="3" t="s">
        <v>44</v>
      </c>
    </row>
    <row r="326" spans="1:21" x14ac:dyDescent="0.25">
      <c r="A326" s="251"/>
      <c r="B326" s="3"/>
      <c r="C326" s="3"/>
      <c r="D326" s="3"/>
      <c r="E326" s="3"/>
      <c r="F326" s="3"/>
      <c r="G326" s="199"/>
      <c r="H326" s="199"/>
      <c r="I326" s="199"/>
      <c r="J326" s="3"/>
      <c r="K326" s="3"/>
      <c r="L326" s="106"/>
      <c r="M326" s="7"/>
      <c r="O326" s="199"/>
      <c r="P326" s="199" t="s">
        <v>661</v>
      </c>
      <c r="Q326" s="199" t="s">
        <v>662</v>
      </c>
      <c r="R326" s="199" t="s">
        <v>12</v>
      </c>
      <c r="S326" s="199" t="s">
        <v>663</v>
      </c>
      <c r="T326" s="199" t="s">
        <v>43</v>
      </c>
      <c r="U326" s="199"/>
    </row>
    <row r="327" spans="1:21" x14ac:dyDescent="0.25">
      <c r="A327" s="25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5"/>
      <c r="M327" s="7"/>
      <c r="O327" s="3"/>
      <c r="P327" s="3" t="s">
        <v>1705</v>
      </c>
      <c r="Q327" s="3" t="s">
        <v>1706</v>
      </c>
      <c r="R327" s="3" t="s">
        <v>12</v>
      </c>
      <c r="S327" s="3" t="s">
        <v>1707</v>
      </c>
      <c r="T327" s="3" t="s">
        <v>664</v>
      </c>
      <c r="U327" s="3"/>
    </row>
    <row r="328" spans="1:21" x14ac:dyDescent="0.25">
      <c r="A328" s="261"/>
      <c r="B328" s="236"/>
      <c r="C328" s="236"/>
      <c r="D328" s="236"/>
      <c r="E328" s="236"/>
      <c r="F328" s="236"/>
      <c r="G328" s="236"/>
      <c r="H328" s="236"/>
      <c r="I328" s="236"/>
      <c r="J328" s="236"/>
      <c r="K328" s="236"/>
      <c r="L328" s="260"/>
      <c r="M328" s="7"/>
      <c r="O328" s="3"/>
      <c r="P328" s="3" t="s">
        <v>665</v>
      </c>
      <c r="Q328" s="3" t="s">
        <v>666</v>
      </c>
      <c r="R328" s="3" t="s">
        <v>12</v>
      </c>
      <c r="S328" s="3" t="s">
        <v>667</v>
      </c>
      <c r="T328" s="3" t="s">
        <v>46</v>
      </c>
      <c r="U328" s="3"/>
    </row>
    <row r="329" spans="1:21" ht="15.75" thickBot="1" x14ac:dyDescent="0.3">
      <c r="A329" s="226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118"/>
      <c r="M329" s="258"/>
      <c r="O329" s="3"/>
      <c r="P329" s="3" t="s">
        <v>668</v>
      </c>
      <c r="Q329" s="3" t="s">
        <v>669</v>
      </c>
      <c r="R329" s="3" t="s">
        <v>12</v>
      </c>
      <c r="S329" s="3" t="s">
        <v>670</v>
      </c>
      <c r="T329" s="3" t="s">
        <v>48</v>
      </c>
      <c r="U329" s="3"/>
    </row>
    <row r="330" spans="1:21" x14ac:dyDescent="0.25">
      <c r="A330" s="251"/>
      <c r="B330" s="3"/>
      <c r="C330" s="3"/>
      <c r="D330" s="3"/>
      <c r="E330" s="3"/>
      <c r="F330" s="3"/>
      <c r="G330" s="199"/>
      <c r="H330" s="199"/>
      <c r="I330" s="199"/>
      <c r="J330" s="199"/>
      <c r="K330" s="199"/>
      <c r="L330" s="106"/>
      <c r="M330" s="7"/>
      <c r="O330" s="3"/>
      <c r="P330" s="3" t="s">
        <v>1708</v>
      </c>
      <c r="Q330" s="3" t="s">
        <v>1709</v>
      </c>
      <c r="R330" s="3" t="s">
        <v>12</v>
      </c>
      <c r="S330" s="3" t="s">
        <v>1710</v>
      </c>
      <c r="T330" s="3" t="s">
        <v>48</v>
      </c>
      <c r="U330" s="3"/>
    </row>
    <row r="331" spans="1:21" x14ac:dyDescent="0.25">
      <c r="A331" s="251"/>
      <c r="B331" s="3"/>
      <c r="C331" s="3"/>
      <c r="D331" s="3"/>
      <c r="E331" s="3"/>
      <c r="F331" s="3"/>
      <c r="G331" s="3"/>
      <c r="H331" s="3"/>
      <c r="I331" s="3"/>
      <c r="J331" s="199"/>
      <c r="K331" s="3"/>
      <c r="L331" s="5"/>
      <c r="M331" s="7"/>
      <c r="O331" s="3"/>
      <c r="P331" s="3" t="s">
        <v>671</v>
      </c>
      <c r="Q331" s="3" t="s">
        <v>672</v>
      </c>
      <c r="R331" s="3" t="s">
        <v>12</v>
      </c>
      <c r="S331" s="3" t="s">
        <v>673</v>
      </c>
      <c r="T331" s="3" t="s">
        <v>47</v>
      </c>
      <c r="U331" s="3"/>
    </row>
    <row r="332" spans="1:21" x14ac:dyDescent="0.25">
      <c r="A332" s="251"/>
      <c r="B332" s="3"/>
      <c r="C332" s="3"/>
      <c r="D332" s="3"/>
      <c r="E332" s="3"/>
      <c r="F332" s="3"/>
      <c r="G332" s="3"/>
      <c r="H332" s="3"/>
      <c r="I332" s="3"/>
      <c r="J332" s="3"/>
      <c r="K332" s="199"/>
      <c r="L332" s="5"/>
      <c r="M332" s="7"/>
      <c r="O332" s="3"/>
      <c r="P332" s="3" t="s">
        <v>1711</v>
      </c>
      <c r="Q332" s="3" t="s">
        <v>1712</v>
      </c>
      <c r="R332" s="3" t="s">
        <v>12</v>
      </c>
      <c r="S332" s="3" t="s">
        <v>1713</v>
      </c>
      <c r="T332" s="3" t="s">
        <v>340</v>
      </c>
      <c r="U332" s="3"/>
    </row>
    <row r="333" spans="1:21" x14ac:dyDescent="0.25">
      <c r="A333" s="251"/>
      <c r="B333" s="3"/>
      <c r="C333" s="3"/>
      <c r="D333" s="3"/>
      <c r="E333" s="3"/>
      <c r="F333" s="3"/>
      <c r="G333" s="3"/>
      <c r="H333" s="199"/>
      <c r="I333" s="199"/>
      <c r="J333" s="3"/>
      <c r="K333" s="199"/>
      <c r="L333" s="106"/>
      <c r="M333" s="7"/>
      <c r="O333" s="3"/>
      <c r="P333" s="3" t="s">
        <v>2157</v>
      </c>
      <c r="Q333" s="3" t="s">
        <v>2158</v>
      </c>
      <c r="R333" s="3" t="s">
        <v>12</v>
      </c>
      <c r="S333" s="3" t="s">
        <v>2159</v>
      </c>
      <c r="T333" s="3" t="s">
        <v>2160</v>
      </c>
      <c r="U333" s="3"/>
    </row>
    <row r="334" spans="1:21" x14ac:dyDescent="0.25">
      <c r="A334" s="251"/>
      <c r="B334" s="3"/>
      <c r="C334" s="3"/>
      <c r="D334" s="3"/>
      <c r="E334" s="3"/>
      <c r="F334" s="3"/>
      <c r="G334" s="3"/>
      <c r="H334" s="199"/>
      <c r="I334" s="199"/>
      <c r="J334" s="3"/>
      <c r="K334" s="199"/>
      <c r="L334" s="106"/>
      <c r="M334" s="7"/>
      <c r="O334" s="3"/>
      <c r="P334" s="3" t="s">
        <v>2161</v>
      </c>
      <c r="Q334" s="3" t="s">
        <v>2162</v>
      </c>
      <c r="R334" s="3" t="s">
        <v>12</v>
      </c>
      <c r="S334" s="3" t="s">
        <v>2163</v>
      </c>
      <c r="T334" s="3" t="s">
        <v>46</v>
      </c>
      <c r="U334" s="3"/>
    </row>
    <row r="335" spans="1:21" x14ac:dyDescent="0.25">
      <c r="A335" s="251"/>
      <c r="B335" s="3"/>
      <c r="C335" s="3"/>
      <c r="D335" s="3"/>
      <c r="E335" s="3"/>
      <c r="F335" s="3"/>
      <c r="G335" s="3"/>
      <c r="H335" s="3"/>
      <c r="I335" s="3"/>
      <c r="J335" s="3"/>
      <c r="K335" s="199"/>
      <c r="L335" s="5"/>
      <c r="M335" s="7"/>
      <c r="O335" s="3"/>
      <c r="P335" s="3" t="s">
        <v>674</v>
      </c>
      <c r="Q335" s="3" t="s">
        <v>675</v>
      </c>
      <c r="R335" s="3" t="s">
        <v>12</v>
      </c>
      <c r="S335" s="3" t="s">
        <v>676</v>
      </c>
      <c r="T335" s="3" t="s">
        <v>44</v>
      </c>
      <c r="U335" s="3"/>
    </row>
    <row r="336" spans="1:21" x14ac:dyDescent="0.25">
      <c r="A336" s="251"/>
      <c r="B336" s="3"/>
      <c r="C336" s="3"/>
      <c r="D336" s="3"/>
      <c r="E336" s="3"/>
      <c r="F336" s="3"/>
      <c r="G336" s="3"/>
      <c r="H336" s="3"/>
      <c r="I336" s="3"/>
      <c r="J336" s="3"/>
      <c r="K336" s="199"/>
      <c r="L336" s="5"/>
      <c r="M336" s="7"/>
      <c r="O336" s="3"/>
      <c r="P336" s="3" t="s">
        <v>677</v>
      </c>
      <c r="Q336" s="3" t="s">
        <v>678</v>
      </c>
      <c r="R336" s="3" t="s">
        <v>12</v>
      </c>
      <c r="S336" s="3" t="s">
        <v>679</v>
      </c>
      <c r="T336" s="3" t="s">
        <v>327</v>
      </c>
      <c r="U336" s="3"/>
    </row>
    <row r="337" spans="1:21" x14ac:dyDescent="0.25">
      <c r="A337" s="251"/>
      <c r="B337" s="3"/>
      <c r="C337" s="3"/>
      <c r="D337" s="3"/>
      <c r="E337" s="3"/>
      <c r="F337" s="3"/>
      <c r="G337" s="3"/>
      <c r="H337" s="3"/>
      <c r="I337" s="3"/>
      <c r="J337" s="3"/>
      <c r="K337" s="199"/>
      <c r="L337" s="5"/>
      <c r="M337" s="7"/>
      <c r="O337" s="3"/>
      <c r="P337" s="3" t="s">
        <v>1714</v>
      </c>
      <c r="Q337" s="3" t="s">
        <v>1715</v>
      </c>
      <c r="R337" s="3" t="s">
        <v>12</v>
      </c>
      <c r="S337" s="3" t="s">
        <v>1716</v>
      </c>
      <c r="T337" s="3" t="s">
        <v>46</v>
      </c>
      <c r="U337" s="3"/>
    </row>
    <row r="338" spans="1:21" x14ac:dyDescent="0.25">
      <c r="A338" s="251"/>
      <c r="B338" s="3"/>
      <c r="C338" s="3"/>
      <c r="D338" s="3"/>
      <c r="E338" s="3"/>
      <c r="F338" s="3"/>
      <c r="G338" s="3"/>
      <c r="H338" s="3"/>
      <c r="I338" s="3"/>
      <c r="J338" s="3"/>
      <c r="K338" s="199"/>
      <c r="L338" s="5"/>
      <c r="M338" s="7"/>
      <c r="O338" s="3"/>
      <c r="P338" s="3" t="s">
        <v>1717</v>
      </c>
      <c r="Q338" s="3" t="s">
        <v>1718</v>
      </c>
      <c r="R338" s="3" t="s">
        <v>12</v>
      </c>
      <c r="S338" s="3" t="s">
        <v>1719</v>
      </c>
      <c r="T338" s="3" t="s">
        <v>46</v>
      </c>
      <c r="U338" s="3"/>
    </row>
    <row r="339" spans="1:21" x14ac:dyDescent="0.25">
      <c r="A339" s="251"/>
      <c r="B339" s="3"/>
      <c r="C339" s="3"/>
      <c r="D339" s="3"/>
      <c r="E339" s="3"/>
      <c r="F339" s="3"/>
      <c r="G339" s="3"/>
      <c r="H339" s="3"/>
      <c r="I339" s="3"/>
      <c r="J339" s="3"/>
      <c r="K339" s="199"/>
      <c r="L339" s="5"/>
      <c r="M339" s="7"/>
      <c r="O339" s="3"/>
      <c r="P339" s="3" t="s">
        <v>680</v>
      </c>
      <c r="Q339" s="3" t="s">
        <v>681</v>
      </c>
      <c r="R339" s="3" t="s">
        <v>12</v>
      </c>
      <c r="S339" s="3" t="s">
        <v>682</v>
      </c>
      <c r="T339" s="3" t="s">
        <v>43</v>
      </c>
      <c r="U339" s="3"/>
    </row>
    <row r="340" spans="1:21" x14ac:dyDescent="0.25">
      <c r="A340" s="251"/>
      <c r="B340" s="3"/>
      <c r="C340" s="3"/>
      <c r="D340" s="3"/>
      <c r="E340" s="3"/>
      <c r="F340" s="3"/>
      <c r="G340" s="3"/>
      <c r="H340" s="3"/>
      <c r="I340" s="3"/>
      <c r="J340" s="3"/>
      <c r="K340" s="199"/>
      <c r="L340" s="5"/>
      <c r="M340" s="7"/>
      <c r="O340" s="3"/>
      <c r="P340" s="3" t="s">
        <v>1384</v>
      </c>
      <c r="Q340" s="3" t="s">
        <v>1385</v>
      </c>
      <c r="R340" s="3" t="s">
        <v>12</v>
      </c>
      <c r="S340" s="3" t="s">
        <v>50</v>
      </c>
      <c r="T340" s="3" t="s">
        <v>49</v>
      </c>
      <c r="U340" s="3"/>
    </row>
    <row r="341" spans="1:21" x14ac:dyDescent="0.25">
      <c r="A341" s="251"/>
      <c r="B341" s="3"/>
      <c r="C341" s="3"/>
      <c r="D341" s="3"/>
      <c r="E341" s="3"/>
      <c r="F341" s="3"/>
      <c r="G341" s="3"/>
      <c r="H341" s="3"/>
      <c r="I341" s="3"/>
      <c r="J341" s="3"/>
      <c r="K341" s="199"/>
      <c r="L341" s="5"/>
      <c r="M341" s="7"/>
      <c r="O341" s="3"/>
      <c r="P341" s="3" t="s">
        <v>683</v>
      </c>
      <c r="Q341" s="3" t="s">
        <v>684</v>
      </c>
      <c r="R341" s="3" t="s">
        <v>12</v>
      </c>
      <c r="S341" s="3" t="s">
        <v>50</v>
      </c>
      <c r="T341" s="3" t="s">
        <v>327</v>
      </c>
      <c r="U341" s="3"/>
    </row>
    <row r="342" spans="1:21" x14ac:dyDescent="0.25">
      <c r="A342" s="251"/>
      <c r="B342" s="3"/>
      <c r="C342" s="3"/>
      <c r="D342" s="3"/>
      <c r="E342" s="3"/>
      <c r="F342" s="3"/>
      <c r="G342" s="3"/>
      <c r="H342" s="3"/>
      <c r="I342" s="3"/>
      <c r="J342" s="3"/>
      <c r="K342" s="199"/>
      <c r="L342" s="5"/>
      <c r="O342" s="3"/>
      <c r="P342" s="3" t="s">
        <v>685</v>
      </c>
      <c r="Q342" s="3" t="s">
        <v>686</v>
      </c>
      <c r="R342" s="3" t="s">
        <v>12</v>
      </c>
      <c r="S342" s="3" t="s">
        <v>687</v>
      </c>
      <c r="T342" s="3" t="s">
        <v>12</v>
      </c>
      <c r="U342" s="3"/>
    </row>
    <row r="343" spans="1:21" x14ac:dyDescent="0.25">
      <c r="A343" s="251"/>
      <c r="B343" s="3"/>
      <c r="C343" s="3"/>
      <c r="D343" s="3"/>
      <c r="E343" s="3"/>
      <c r="F343" s="3"/>
      <c r="G343" s="3"/>
      <c r="H343" s="3"/>
      <c r="I343" s="3"/>
      <c r="J343" s="3"/>
      <c r="K343" s="199"/>
      <c r="L343" s="5"/>
      <c r="M343" s="7"/>
      <c r="O343" s="3"/>
      <c r="P343" s="3" t="s">
        <v>688</v>
      </c>
      <c r="Q343" s="3" t="s">
        <v>689</v>
      </c>
      <c r="R343" s="3" t="s">
        <v>12</v>
      </c>
      <c r="S343" s="3" t="s">
        <v>690</v>
      </c>
      <c r="T343" s="3" t="s">
        <v>43</v>
      </c>
      <c r="U343" s="3"/>
    </row>
    <row r="344" spans="1:21" x14ac:dyDescent="0.25">
      <c r="A344" s="25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5"/>
      <c r="M344" s="7"/>
      <c r="O344" s="3"/>
      <c r="P344" s="3" t="s">
        <v>1720</v>
      </c>
      <c r="Q344" s="3" t="s">
        <v>1721</v>
      </c>
      <c r="R344" s="3" t="s">
        <v>12</v>
      </c>
      <c r="S344" s="3" t="s">
        <v>1722</v>
      </c>
      <c r="T344" s="3" t="s">
        <v>48</v>
      </c>
      <c r="U344" s="3"/>
    </row>
    <row r="345" spans="1:21" x14ac:dyDescent="0.25">
      <c r="A345" s="25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5"/>
      <c r="M345" s="7"/>
      <c r="O345" s="3"/>
      <c r="P345" s="3" t="s">
        <v>1723</v>
      </c>
      <c r="Q345" s="3" t="s">
        <v>1724</v>
      </c>
      <c r="R345" s="3" t="s">
        <v>12</v>
      </c>
      <c r="S345" s="3" t="s">
        <v>1725</v>
      </c>
      <c r="T345" s="3" t="s">
        <v>43</v>
      </c>
      <c r="U345" s="3"/>
    </row>
    <row r="346" spans="1:21" x14ac:dyDescent="0.25">
      <c r="A346" s="25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5"/>
      <c r="M346" s="7"/>
      <c r="O346" s="3"/>
      <c r="P346" s="3" t="s">
        <v>691</v>
      </c>
      <c r="Q346" s="3" t="s">
        <v>692</v>
      </c>
      <c r="R346" s="3" t="s">
        <v>12</v>
      </c>
      <c r="S346" s="3" t="s">
        <v>693</v>
      </c>
      <c r="T346" s="3" t="s">
        <v>44</v>
      </c>
      <c r="U346" s="3"/>
    </row>
    <row r="347" spans="1:21" x14ac:dyDescent="0.25">
      <c r="A347" s="25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5"/>
      <c r="M347" s="7"/>
      <c r="O347" s="3"/>
      <c r="P347" s="3" t="s">
        <v>694</v>
      </c>
      <c r="Q347" s="3" t="s">
        <v>695</v>
      </c>
      <c r="R347" s="3" t="s">
        <v>12</v>
      </c>
      <c r="S347" s="3" t="s">
        <v>696</v>
      </c>
      <c r="T347" s="3" t="s">
        <v>44</v>
      </c>
      <c r="U347" s="3"/>
    </row>
    <row r="348" spans="1:21" x14ac:dyDescent="0.25">
      <c r="A348" s="251"/>
      <c r="B348" s="3"/>
      <c r="C348" s="3"/>
      <c r="D348" s="3"/>
      <c r="E348" s="3"/>
      <c r="F348" s="3"/>
      <c r="G348" s="199"/>
      <c r="H348" s="199"/>
      <c r="I348" s="199"/>
      <c r="J348" s="3"/>
      <c r="K348" s="3"/>
      <c r="L348" s="106"/>
      <c r="M348" s="7"/>
      <c r="O348" s="3"/>
      <c r="P348" s="3" t="s">
        <v>697</v>
      </c>
      <c r="Q348" s="3" t="s">
        <v>698</v>
      </c>
      <c r="R348" s="3" t="s">
        <v>12</v>
      </c>
      <c r="S348" s="3" t="s">
        <v>699</v>
      </c>
      <c r="T348" s="3" t="s">
        <v>43</v>
      </c>
      <c r="U348" s="3"/>
    </row>
    <row r="349" spans="1:21" x14ac:dyDescent="0.25">
      <c r="A349" s="25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5"/>
      <c r="M349" s="7"/>
      <c r="O349" s="3"/>
      <c r="P349" s="3" t="s">
        <v>700</v>
      </c>
      <c r="Q349" s="3" t="s">
        <v>701</v>
      </c>
      <c r="R349" s="3" t="s">
        <v>12</v>
      </c>
      <c r="S349" s="3" t="s">
        <v>702</v>
      </c>
      <c r="T349" s="3" t="s">
        <v>44</v>
      </c>
      <c r="U349" s="3"/>
    </row>
    <row r="350" spans="1:21" x14ac:dyDescent="0.25">
      <c r="A350" s="25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5"/>
      <c r="M350" s="7"/>
      <c r="O350" s="3"/>
      <c r="P350" s="3" t="s">
        <v>703</v>
      </c>
      <c r="Q350" s="3" t="s">
        <v>704</v>
      </c>
      <c r="R350" s="3" t="s">
        <v>12</v>
      </c>
      <c r="S350" s="3" t="s">
        <v>705</v>
      </c>
      <c r="T350" s="3" t="s">
        <v>48</v>
      </c>
      <c r="U350" s="3"/>
    </row>
    <row r="351" spans="1:21" x14ac:dyDescent="0.25">
      <c r="A351" s="25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5"/>
      <c r="M351" s="7"/>
      <c r="O351" s="3"/>
      <c r="P351" s="3" t="s">
        <v>2506</v>
      </c>
      <c r="Q351" s="3" t="s">
        <v>2401</v>
      </c>
      <c r="R351" s="3" t="s">
        <v>12</v>
      </c>
      <c r="S351" s="3" t="s">
        <v>2507</v>
      </c>
      <c r="T351" s="3" t="s">
        <v>201</v>
      </c>
      <c r="U351" s="3"/>
    </row>
    <row r="352" spans="1:21" x14ac:dyDescent="0.25">
      <c r="A352" s="25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5"/>
      <c r="M352" s="7"/>
      <c r="O352" s="3"/>
      <c r="P352" s="3" t="s">
        <v>1726</v>
      </c>
      <c r="Q352" s="3" t="s">
        <v>1727</v>
      </c>
      <c r="R352" s="3" t="s">
        <v>12</v>
      </c>
      <c r="S352" s="3" t="s">
        <v>1728</v>
      </c>
      <c r="T352" s="3" t="s">
        <v>340</v>
      </c>
      <c r="U352" s="3"/>
    </row>
    <row r="353" spans="1:21" x14ac:dyDescent="0.25">
      <c r="A353" s="25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5"/>
      <c r="M353" s="7"/>
      <c r="O353" s="3"/>
      <c r="P353" s="3" t="s">
        <v>1729</v>
      </c>
      <c r="Q353" s="3" t="s">
        <v>1730</v>
      </c>
      <c r="R353" s="3" t="s">
        <v>12</v>
      </c>
      <c r="S353" s="3" t="s">
        <v>1731</v>
      </c>
      <c r="T353" s="3" t="s">
        <v>311</v>
      </c>
      <c r="U353" s="3"/>
    </row>
    <row r="354" spans="1:21" x14ac:dyDescent="0.25">
      <c r="A354" s="25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5"/>
      <c r="M354" s="7"/>
      <c r="O354" s="3"/>
      <c r="P354" s="3" t="s">
        <v>706</v>
      </c>
      <c r="Q354" s="3" t="s">
        <v>707</v>
      </c>
      <c r="R354" s="3" t="s">
        <v>12</v>
      </c>
      <c r="S354" s="3" t="s">
        <v>708</v>
      </c>
      <c r="T354" s="3" t="s">
        <v>43</v>
      </c>
      <c r="U354" s="3"/>
    </row>
    <row r="355" spans="1:21" ht="15.75" thickBot="1" x14ac:dyDescent="0.3">
      <c r="A355" s="226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118"/>
      <c r="M355" s="258"/>
      <c r="O355" s="3"/>
      <c r="P355" s="3" t="s">
        <v>2164</v>
      </c>
      <c r="Q355" s="3" t="s">
        <v>2165</v>
      </c>
      <c r="R355" s="3" t="s">
        <v>12</v>
      </c>
      <c r="S355" s="3" t="s">
        <v>2166</v>
      </c>
      <c r="T355" s="3" t="s">
        <v>129</v>
      </c>
      <c r="U355" s="3"/>
    </row>
    <row r="356" spans="1:21" x14ac:dyDescent="0.25">
      <c r="A356" s="251"/>
      <c r="B356" s="3"/>
      <c r="C356" s="3"/>
      <c r="D356" s="3"/>
      <c r="E356" s="3"/>
      <c r="F356" s="3"/>
      <c r="G356" s="3"/>
      <c r="H356" s="199"/>
      <c r="I356" s="199"/>
      <c r="J356" s="199"/>
      <c r="K356" s="199"/>
      <c r="L356" s="106"/>
      <c r="M356" s="7"/>
      <c r="O356" s="3"/>
      <c r="P356" s="3" t="s">
        <v>709</v>
      </c>
      <c r="Q356" s="3" t="s">
        <v>710</v>
      </c>
      <c r="R356" s="3" t="s">
        <v>12</v>
      </c>
      <c r="S356" s="3" t="s">
        <v>711</v>
      </c>
      <c r="T356" s="3" t="s">
        <v>712</v>
      </c>
      <c r="U356" s="3"/>
    </row>
    <row r="357" spans="1:21" x14ac:dyDescent="0.25">
      <c r="A357" s="25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5"/>
      <c r="M357" s="7"/>
      <c r="O357" s="3"/>
      <c r="P357" s="3" t="s">
        <v>713</v>
      </c>
      <c r="Q357" s="3" t="s">
        <v>714</v>
      </c>
      <c r="R357" s="3" t="s">
        <v>12</v>
      </c>
      <c r="S357" s="3" t="s">
        <v>715</v>
      </c>
      <c r="T357" s="3" t="s">
        <v>664</v>
      </c>
      <c r="U357" s="3"/>
    </row>
    <row r="358" spans="1:21" x14ac:dyDescent="0.25">
      <c r="A358" s="25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5"/>
      <c r="M358" s="7"/>
      <c r="O358" s="3"/>
      <c r="P358" s="3" t="s">
        <v>1732</v>
      </c>
      <c r="Q358" s="3" t="s">
        <v>1733</v>
      </c>
      <c r="R358" s="3" t="s">
        <v>12</v>
      </c>
      <c r="S358" s="3" t="s">
        <v>1734</v>
      </c>
      <c r="T358" s="3" t="s">
        <v>129</v>
      </c>
      <c r="U358" s="3"/>
    </row>
    <row r="359" spans="1:21" x14ac:dyDescent="0.25">
      <c r="A359" s="25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5"/>
      <c r="M359" s="7"/>
      <c r="O359" s="3"/>
      <c r="P359" s="3" t="s">
        <v>716</v>
      </c>
      <c r="Q359" s="3" t="s">
        <v>717</v>
      </c>
      <c r="R359" s="3" t="s">
        <v>12</v>
      </c>
      <c r="S359" s="3" t="s">
        <v>718</v>
      </c>
      <c r="T359" s="3" t="s">
        <v>93</v>
      </c>
      <c r="U359" s="3"/>
    </row>
    <row r="360" spans="1:21" x14ac:dyDescent="0.25">
      <c r="A360" s="25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5"/>
      <c r="M360" s="7"/>
      <c r="O360" s="3"/>
      <c r="P360" s="3" t="s">
        <v>1735</v>
      </c>
      <c r="Q360" s="3" t="s">
        <v>1736</v>
      </c>
      <c r="R360" s="3" t="s">
        <v>12</v>
      </c>
      <c r="S360" s="3" t="s">
        <v>1737</v>
      </c>
      <c r="T360" s="3" t="s">
        <v>1570</v>
      </c>
      <c r="U360" s="3"/>
    </row>
    <row r="361" spans="1:21" x14ac:dyDescent="0.25">
      <c r="A361" s="25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5"/>
      <c r="M361" s="7"/>
      <c r="O361" s="3"/>
      <c r="P361" s="3" t="s">
        <v>719</v>
      </c>
      <c r="Q361" s="3" t="s">
        <v>720</v>
      </c>
      <c r="R361" s="3" t="s">
        <v>12</v>
      </c>
      <c r="S361" s="3" t="s">
        <v>721</v>
      </c>
      <c r="T361" s="3" t="s">
        <v>46</v>
      </c>
      <c r="U361" s="3"/>
    </row>
    <row r="362" spans="1:21" x14ac:dyDescent="0.25">
      <c r="A362" s="25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5"/>
      <c r="M362" s="7"/>
      <c r="O362" s="3"/>
      <c r="P362" s="3" t="s">
        <v>722</v>
      </c>
      <c r="Q362" s="3" t="s">
        <v>723</v>
      </c>
      <c r="R362" s="3" t="s">
        <v>12</v>
      </c>
      <c r="S362" s="3" t="s">
        <v>724</v>
      </c>
      <c r="T362" s="3" t="s">
        <v>129</v>
      </c>
      <c r="U362" s="3"/>
    </row>
    <row r="363" spans="1:21" x14ac:dyDescent="0.25">
      <c r="A363" s="25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5"/>
      <c r="M363" s="7"/>
      <c r="O363" s="3"/>
      <c r="P363" s="3" t="s">
        <v>1738</v>
      </c>
      <c r="Q363" s="3" t="s">
        <v>1739</v>
      </c>
      <c r="R363" s="3" t="s">
        <v>12</v>
      </c>
      <c r="S363" s="3" t="s">
        <v>1740</v>
      </c>
      <c r="T363" s="3" t="s">
        <v>49</v>
      </c>
      <c r="U363" s="3"/>
    </row>
    <row r="364" spans="1:21" x14ac:dyDescent="0.25">
      <c r="A364" s="25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5"/>
      <c r="M364" s="7"/>
      <c r="O364" s="3"/>
      <c r="P364" s="3" t="s">
        <v>1386</v>
      </c>
      <c r="Q364" s="3" t="s">
        <v>1387</v>
      </c>
      <c r="R364" s="3" t="s">
        <v>12</v>
      </c>
      <c r="S364" s="3" t="s">
        <v>1388</v>
      </c>
      <c r="T364" s="3" t="s">
        <v>48</v>
      </c>
      <c r="U364" s="3"/>
    </row>
    <row r="365" spans="1:21" x14ac:dyDescent="0.25">
      <c r="A365" s="25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5"/>
      <c r="M365" s="7"/>
      <c r="O365" s="3"/>
      <c r="P365" s="3" t="s">
        <v>728</v>
      </c>
      <c r="Q365" s="3" t="s">
        <v>729</v>
      </c>
      <c r="R365" s="3" t="s">
        <v>12</v>
      </c>
      <c r="S365" s="3" t="s">
        <v>730</v>
      </c>
      <c r="T365" s="3" t="s">
        <v>46</v>
      </c>
      <c r="U365" s="3"/>
    </row>
    <row r="366" spans="1:21" x14ac:dyDescent="0.25">
      <c r="A366" s="25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5"/>
      <c r="M366" s="7"/>
      <c r="O366" s="3"/>
      <c r="P366" s="3" t="s">
        <v>1741</v>
      </c>
      <c r="Q366" s="3" t="s">
        <v>1742</v>
      </c>
      <c r="R366" s="3" t="s">
        <v>12</v>
      </c>
      <c r="S366" s="3" t="s">
        <v>1743</v>
      </c>
      <c r="T366" s="3" t="s">
        <v>129</v>
      </c>
      <c r="U366" s="3"/>
    </row>
    <row r="367" spans="1:21" x14ac:dyDescent="0.25">
      <c r="A367" s="25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5"/>
      <c r="M367" s="7"/>
      <c r="O367" s="3"/>
      <c r="P367" s="3" t="s">
        <v>2167</v>
      </c>
      <c r="Q367" s="3" t="s">
        <v>2168</v>
      </c>
      <c r="R367" s="3" t="s">
        <v>12</v>
      </c>
      <c r="S367" s="3" t="s">
        <v>2169</v>
      </c>
      <c r="T367" s="3" t="s">
        <v>129</v>
      </c>
      <c r="U367" s="3"/>
    </row>
    <row r="368" spans="1:21" x14ac:dyDescent="0.25">
      <c r="A368" s="25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5"/>
      <c r="M368" s="7"/>
      <c r="O368" s="3"/>
      <c r="P368" s="3" t="s">
        <v>731</v>
      </c>
      <c r="Q368" s="3" t="s">
        <v>732</v>
      </c>
      <c r="R368" s="3" t="s">
        <v>12</v>
      </c>
      <c r="S368" s="3" t="s">
        <v>733</v>
      </c>
      <c r="T368" s="3" t="s">
        <v>44</v>
      </c>
      <c r="U368" s="3"/>
    </row>
    <row r="369" spans="1:21" x14ac:dyDescent="0.25">
      <c r="A369" s="25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5"/>
      <c r="M369" s="7"/>
      <c r="O369" s="3"/>
      <c r="P369" s="3" t="s">
        <v>734</v>
      </c>
      <c r="Q369" s="3" t="s">
        <v>1744</v>
      </c>
      <c r="R369" s="3" t="s">
        <v>12</v>
      </c>
      <c r="S369" s="3" t="s">
        <v>736</v>
      </c>
      <c r="T369" s="3" t="s">
        <v>49</v>
      </c>
      <c r="U369" s="3"/>
    </row>
    <row r="370" spans="1:21" x14ac:dyDescent="0.25">
      <c r="A370" s="25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5"/>
      <c r="M370" s="7"/>
      <c r="O370" s="3"/>
      <c r="P370" s="3" t="s">
        <v>2463</v>
      </c>
      <c r="Q370" s="3" t="s">
        <v>2464</v>
      </c>
      <c r="R370" s="3" t="s">
        <v>12</v>
      </c>
      <c r="S370" s="3" t="s">
        <v>2468</v>
      </c>
      <c r="T370" s="3" t="s">
        <v>129</v>
      </c>
      <c r="U370" s="3"/>
    </row>
    <row r="371" spans="1:21" x14ac:dyDescent="0.25">
      <c r="A371" s="25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5"/>
      <c r="M371" s="7"/>
      <c r="O371" s="3"/>
      <c r="P371" s="3"/>
      <c r="Q371" s="3"/>
      <c r="R371" s="3"/>
      <c r="S371" s="3"/>
      <c r="T371" s="3"/>
      <c r="U371" s="3"/>
    </row>
    <row r="372" spans="1:21" x14ac:dyDescent="0.25">
      <c r="A372" s="25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5"/>
      <c r="M372" s="7"/>
      <c r="O372" s="3"/>
      <c r="P372" s="3"/>
      <c r="Q372" s="3"/>
      <c r="R372" s="3"/>
      <c r="S372" s="3"/>
      <c r="T372" s="3"/>
      <c r="U372" s="3"/>
    </row>
    <row r="373" spans="1:21" x14ac:dyDescent="0.25">
      <c r="A373" s="25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5"/>
      <c r="M373" s="7"/>
      <c r="O373" s="3"/>
      <c r="P373" s="3"/>
      <c r="Q373" s="3"/>
      <c r="R373" s="3"/>
      <c r="S373" s="3"/>
      <c r="T373" s="3"/>
      <c r="U373" s="3"/>
    </row>
    <row r="374" spans="1:21" x14ac:dyDescent="0.25">
      <c r="A374" s="25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5"/>
      <c r="M374" s="7"/>
      <c r="O374" s="3"/>
      <c r="P374" s="3"/>
      <c r="Q374" s="3"/>
      <c r="R374" s="3"/>
      <c r="S374" s="3"/>
      <c r="T374" s="3"/>
      <c r="U374" s="3"/>
    </row>
    <row r="375" spans="1:21" ht="15.75" thickBot="1" x14ac:dyDescent="0.3">
      <c r="A375" s="226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118"/>
      <c r="M375" s="258"/>
      <c r="O375" s="3"/>
      <c r="P375" s="3"/>
      <c r="Q375" s="3"/>
      <c r="R375" s="3"/>
      <c r="S375" s="3"/>
      <c r="T375" s="3"/>
      <c r="U375" s="3"/>
    </row>
    <row r="376" spans="1:21" x14ac:dyDescent="0.25">
      <c r="A376" s="251"/>
      <c r="B376" s="3"/>
      <c r="C376" s="3"/>
      <c r="D376" s="3"/>
      <c r="E376" s="3"/>
      <c r="F376" s="3"/>
      <c r="G376" s="199"/>
      <c r="H376" s="199"/>
      <c r="I376" s="199"/>
      <c r="J376" s="199"/>
      <c r="K376" s="199"/>
      <c r="L376" s="106"/>
      <c r="M376" s="7"/>
      <c r="O376" s="3"/>
      <c r="P376" s="3"/>
      <c r="Q376" s="3"/>
      <c r="R376" s="3"/>
      <c r="S376" s="3"/>
      <c r="T376" s="3"/>
      <c r="U376" s="3"/>
    </row>
    <row r="377" spans="1:21" x14ac:dyDescent="0.25">
      <c r="A377" s="25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5"/>
      <c r="M377" s="7"/>
      <c r="O377" s="3"/>
      <c r="P377" s="3"/>
      <c r="Q377" s="3"/>
      <c r="R377" s="3"/>
      <c r="S377" s="3"/>
      <c r="T377" s="3"/>
      <c r="U377" s="3"/>
    </row>
    <row r="378" spans="1:21" x14ac:dyDescent="0.25">
      <c r="A378" s="25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5"/>
      <c r="M378" s="7"/>
      <c r="O378" s="3"/>
      <c r="P378" s="3"/>
      <c r="Q378" s="3"/>
      <c r="R378" s="3"/>
      <c r="S378" s="3"/>
      <c r="T378" s="3"/>
      <c r="U378" s="3"/>
    </row>
    <row r="379" spans="1:21" x14ac:dyDescent="0.25">
      <c r="A379" s="25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5"/>
      <c r="M379" s="7"/>
      <c r="O379" s="3"/>
      <c r="P379" s="3"/>
      <c r="Q379" s="3"/>
      <c r="R379" s="3"/>
      <c r="S379" s="3"/>
      <c r="T379" s="3"/>
      <c r="U379" s="3"/>
    </row>
    <row r="380" spans="1:21" x14ac:dyDescent="0.25">
      <c r="A380" s="25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5"/>
      <c r="M380" s="7"/>
      <c r="O380" s="3"/>
      <c r="P380" s="3" t="s">
        <v>739</v>
      </c>
      <c r="Q380" s="3" t="s">
        <v>740</v>
      </c>
      <c r="R380" s="3" t="s">
        <v>12</v>
      </c>
      <c r="S380" s="3" t="s">
        <v>741</v>
      </c>
      <c r="T380" s="3" t="s">
        <v>47</v>
      </c>
      <c r="U380" s="3"/>
    </row>
    <row r="381" spans="1:21" x14ac:dyDescent="0.25">
      <c r="A381" s="25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5"/>
      <c r="M381" s="7"/>
      <c r="O381" s="3"/>
      <c r="P381" s="3" t="s">
        <v>2170</v>
      </c>
      <c r="Q381" s="3" t="s">
        <v>2171</v>
      </c>
      <c r="R381" s="3" t="s">
        <v>12</v>
      </c>
      <c r="S381" s="3" t="s">
        <v>2172</v>
      </c>
      <c r="T381" s="3" t="s">
        <v>46</v>
      </c>
      <c r="U381" s="3"/>
    </row>
    <row r="382" spans="1:21" x14ac:dyDescent="0.25">
      <c r="A382" s="25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5"/>
      <c r="M382" s="7"/>
      <c r="O382" s="3"/>
      <c r="P382" s="3" t="s">
        <v>742</v>
      </c>
      <c r="Q382" s="3" t="s">
        <v>743</v>
      </c>
      <c r="R382" s="3" t="s">
        <v>12</v>
      </c>
      <c r="S382" s="3" t="s">
        <v>744</v>
      </c>
      <c r="T382" s="3" t="s">
        <v>311</v>
      </c>
      <c r="U382" s="3"/>
    </row>
    <row r="383" spans="1:21" x14ac:dyDescent="0.25">
      <c r="A383" s="251"/>
      <c r="B383" s="3"/>
      <c r="C383" s="3"/>
      <c r="D383" s="3"/>
      <c r="E383" s="3"/>
      <c r="F383" s="3"/>
      <c r="G383" s="199"/>
      <c r="H383" s="199"/>
      <c r="I383" s="199"/>
      <c r="J383" s="3"/>
      <c r="K383" s="3"/>
      <c r="L383" s="106"/>
      <c r="M383" s="7"/>
      <c r="O383" s="3"/>
      <c r="P383" s="3" t="s">
        <v>1745</v>
      </c>
      <c r="Q383" s="3" t="s">
        <v>1746</v>
      </c>
      <c r="R383" s="3" t="s">
        <v>12</v>
      </c>
      <c r="S383" s="3" t="s">
        <v>1747</v>
      </c>
      <c r="T383" s="3" t="s">
        <v>43</v>
      </c>
      <c r="U383" s="3"/>
    </row>
    <row r="384" spans="1:21" x14ac:dyDescent="0.25">
      <c r="A384" s="25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5"/>
      <c r="M384" s="7"/>
      <c r="O384" s="3"/>
      <c r="P384" s="3" t="s">
        <v>1748</v>
      </c>
      <c r="Q384" s="3" t="s">
        <v>1749</v>
      </c>
      <c r="R384" s="3" t="s">
        <v>12</v>
      </c>
      <c r="S384" s="3" t="s">
        <v>1747</v>
      </c>
      <c r="T384" s="3" t="s">
        <v>43</v>
      </c>
      <c r="U384" s="3"/>
    </row>
    <row r="385" spans="1:21" x14ac:dyDescent="0.25">
      <c r="A385" s="25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5"/>
      <c r="M385" s="7"/>
      <c r="O385" s="3"/>
      <c r="P385" s="3" t="s">
        <v>745</v>
      </c>
      <c r="Q385" s="3" t="s">
        <v>746</v>
      </c>
      <c r="R385" s="3" t="s">
        <v>12</v>
      </c>
      <c r="S385" s="3" t="s">
        <v>747</v>
      </c>
      <c r="T385" s="3" t="s">
        <v>327</v>
      </c>
      <c r="U385" s="3"/>
    </row>
    <row r="386" spans="1:21" x14ac:dyDescent="0.25">
      <c r="A386" s="25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5"/>
      <c r="M386" s="7"/>
      <c r="O386" s="3"/>
      <c r="P386" s="3" t="s">
        <v>748</v>
      </c>
      <c r="Q386" s="3" t="s">
        <v>749</v>
      </c>
      <c r="R386" s="3" t="s">
        <v>12</v>
      </c>
      <c r="S386" s="3" t="s">
        <v>747</v>
      </c>
      <c r="T386" s="3" t="s">
        <v>327</v>
      </c>
      <c r="U386" s="3"/>
    </row>
    <row r="387" spans="1:21" x14ac:dyDescent="0.25">
      <c r="A387" s="25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5"/>
      <c r="M387" s="7"/>
      <c r="O387" s="3"/>
      <c r="P387" s="3" t="s">
        <v>750</v>
      </c>
      <c r="Q387" s="3" t="s">
        <v>751</v>
      </c>
      <c r="R387" s="3" t="s">
        <v>12</v>
      </c>
      <c r="S387" s="3" t="s">
        <v>752</v>
      </c>
      <c r="T387" s="3" t="s">
        <v>49</v>
      </c>
      <c r="U387" s="3"/>
    </row>
    <row r="388" spans="1:21" ht="15.75" thickBot="1" x14ac:dyDescent="0.3">
      <c r="A388" s="226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118"/>
      <c r="M388" s="258"/>
      <c r="O388" s="3"/>
      <c r="P388" s="3" t="s">
        <v>725</v>
      </c>
      <c r="Q388" s="3" t="s">
        <v>726</v>
      </c>
      <c r="R388" s="3" t="s">
        <v>12</v>
      </c>
      <c r="S388" s="3" t="s">
        <v>2173</v>
      </c>
      <c r="T388" s="3" t="s">
        <v>49</v>
      </c>
      <c r="U388" s="3"/>
    </row>
    <row r="389" spans="1:21" x14ac:dyDescent="0.25">
      <c r="A389" s="251"/>
      <c r="B389" s="3"/>
      <c r="C389" s="3"/>
      <c r="D389" s="3"/>
      <c r="E389" s="3"/>
      <c r="F389" s="3"/>
      <c r="G389" s="199"/>
      <c r="H389" s="199"/>
      <c r="I389" s="199"/>
      <c r="J389" s="199"/>
      <c r="K389" s="199"/>
      <c r="L389" s="106"/>
      <c r="M389" s="7"/>
      <c r="O389" s="3"/>
      <c r="P389" s="3" t="s">
        <v>1750</v>
      </c>
      <c r="Q389" s="3" t="s">
        <v>1751</v>
      </c>
      <c r="R389" s="3" t="s">
        <v>12</v>
      </c>
      <c r="S389" s="3" t="s">
        <v>1391</v>
      </c>
      <c r="T389" s="3" t="s">
        <v>311</v>
      </c>
      <c r="U389" s="3"/>
    </row>
    <row r="390" spans="1:21" x14ac:dyDescent="0.25">
      <c r="A390" s="220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5"/>
      <c r="M390" s="7"/>
      <c r="O390" s="3"/>
      <c r="P390" s="3" t="s">
        <v>147</v>
      </c>
      <c r="Q390" s="3" t="s">
        <v>148</v>
      </c>
      <c r="R390" s="3" t="s">
        <v>12</v>
      </c>
      <c r="S390" s="3" t="s">
        <v>149</v>
      </c>
      <c r="T390" s="3" t="s">
        <v>150</v>
      </c>
      <c r="U390" s="3"/>
    </row>
    <row r="391" spans="1:21" x14ac:dyDescent="0.25">
      <c r="A391" s="220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5"/>
      <c r="M391" s="7"/>
      <c r="O391" s="3"/>
      <c r="P391" s="3" t="s">
        <v>1752</v>
      </c>
      <c r="Q391" s="3" t="s">
        <v>1753</v>
      </c>
      <c r="R391" s="3" t="s">
        <v>12</v>
      </c>
      <c r="S391" s="3" t="s">
        <v>1754</v>
      </c>
      <c r="T391" s="3" t="s">
        <v>47</v>
      </c>
      <c r="U391" s="3"/>
    </row>
    <row r="392" spans="1:21" x14ac:dyDescent="0.25">
      <c r="A392" s="220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5"/>
      <c r="M392" s="7"/>
      <c r="O392" s="3"/>
      <c r="P392" s="3" t="s">
        <v>2174</v>
      </c>
      <c r="Q392" s="3" t="s">
        <v>2175</v>
      </c>
      <c r="R392" s="3" t="s">
        <v>12</v>
      </c>
      <c r="S392" s="3" t="s">
        <v>2176</v>
      </c>
      <c r="T392" s="3" t="s">
        <v>340</v>
      </c>
      <c r="U392" s="3"/>
    </row>
    <row r="393" spans="1:21" x14ac:dyDescent="0.25">
      <c r="A393" s="220"/>
      <c r="B393" s="199"/>
      <c r="C393" s="199"/>
      <c r="D393" s="199"/>
      <c r="E393" s="199"/>
      <c r="F393" s="199"/>
      <c r="G393" s="3"/>
      <c r="H393" s="3"/>
      <c r="I393" s="3"/>
      <c r="J393" s="3"/>
      <c r="K393" s="3"/>
      <c r="L393" s="5"/>
      <c r="M393" s="7"/>
      <c r="O393" s="3"/>
      <c r="P393" s="3" t="s">
        <v>1755</v>
      </c>
      <c r="Q393" s="3" t="s">
        <v>1756</v>
      </c>
      <c r="R393" s="3" t="s">
        <v>12</v>
      </c>
      <c r="S393" s="3" t="s">
        <v>1757</v>
      </c>
      <c r="T393" s="3" t="s">
        <v>1758</v>
      </c>
      <c r="U393" s="3"/>
    </row>
    <row r="394" spans="1:21" x14ac:dyDescent="0.25">
      <c r="A394" s="220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5"/>
      <c r="M394" s="7"/>
      <c r="O394" s="3"/>
      <c r="P394" s="3" t="s">
        <v>753</v>
      </c>
      <c r="Q394" s="3" t="s">
        <v>754</v>
      </c>
      <c r="R394" s="3" t="s">
        <v>12</v>
      </c>
      <c r="S394" s="3" t="s">
        <v>755</v>
      </c>
      <c r="T394" s="3" t="s">
        <v>12</v>
      </c>
      <c r="U394" s="3"/>
    </row>
    <row r="395" spans="1:21" x14ac:dyDescent="0.25">
      <c r="A395" s="220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5"/>
      <c r="M395" s="7"/>
      <c r="N395" s="7"/>
      <c r="O395" s="3"/>
      <c r="P395" s="3" t="s">
        <v>756</v>
      </c>
      <c r="Q395" s="3" t="s">
        <v>757</v>
      </c>
      <c r="R395" s="3" t="s">
        <v>12</v>
      </c>
      <c r="S395" s="3" t="s">
        <v>758</v>
      </c>
      <c r="T395" s="3" t="s">
        <v>327</v>
      </c>
      <c r="U395" s="3"/>
    </row>
    <row r="396" spans="1:21" x14ac:dyDescent="0.25">
      <c r="A396" s="220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5"/>
      <c r="M396" s="7"/>
      <c r="O396" s="3"/>
      <c r="P396" s="3" t="s">
        <v>1759</v>
      </c>
      <c r="Q396" s="3" t="s">
        <v>1760</v>
      </c>
      <c r="R396" s="3" t="s">
        <v>12</v>
      </c>
      <c r="S396" s="3" t="s">
        <v>1761</v>
      </c>
      <c r="T396" s="3" t="s">
        <v>327</v>
      </c>
      <c r="U396" s="3"/>
    </row>
    <row r="397" spans="1:21" x14ac:dyDescent="0.25">
      <c r="A397" s="220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5"/>
      <c r="M397" s="7"/>
      <c r="O397" s="3"/>
      <c r="P397" s="3" t="s">
        <v>1762</v>
      </c>
      <c r="Q397" s="3" t="s">
        <v>1763</v>
      </c>
      <c r="R397" s="3" t="s">
        <v>12</v>
      </c>
      <c r="S397" s="3" t="s">
        <v>1764</v>
      </c>
      <c r="T397" s="3" t="s">
        <v>46</v>
      </c>
      <c r="U397" s="3"/>
    </row>
    <row r="398" spans="1:21" x14ac:dyDescent="0.25">
      <c r="A398" s="220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5"/>
      <c r="M398" s="7"/>
      <c r="O398" s="3"/>
      <c r="P398" s="3" t="s">
        <v>1765</v>
      </c>
      <c r="Q398" s="3" t="s">
        <v>1766</v>
      </c>
      <c r="R398" s="3" t="s">
        <v>12</v>
      </c>
      <c r="S398" s="3" t="s">
        <v>1767</v>
      </c>
      <c r="T398" s="3" t="s">
        <v>46</v>
      </c>
      <c r="U398" s="3"/>
    </row>
    <row r="399" spans="1:21" x14ac:dyDescent="0.25">
      <c r="A399" s="220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5"/>
      <c r="M399" s="7"/>
      <c r="O399" s="3"/>
      <c r="P399" s="3" t="s">
        <v>2177</v>
      </c>
      <c r="Q399" s="3" t="s">
        <v>2178</v>
      </c>
      <c r="R399" s="3" t="s">
        <v>12</v>
      </c>
      <c r="S399" s="3" t="s">
        <v>2179</v>
      </c>
      <c r="T399" s="3" t="s">
        <v>47</v>
      </c>
      <c r="U399" s="3"/>
    </row>
    <row r="400" spans="1:21" x14ac:dyDescent="0.25">
      <c r="A400" s="220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5"/>
      <c r="M400" s="7"/>
      <c r="O400" s="3"/>
      <c r="P400" s="3" t="s">
        <v>2180</v>
      </c>
      <c r="Q400" s="3" t="s">
        <v>2181</v>
      </c>
      <c r="R400" s="3" t="s">
        <v>12</v>
      </c>
      <c r="S400" s="3" t="s">
        <v>1445</v>
      </c>
      <c r="T400" s="3" t="s">
        <v>311</v>
      </c>
      <c r="U400" s="3"/>
    </row>
    <row r="401" spans="1:21" x14ac:dyDescent="0.25">
      <c r="A401" s="220"/>
      <c r="B401" s="236"/>
      <c r="C401" s="236"/>
      <c r="D401" s="236"/>
      <c r="E401" s="236"/>
      <c r="F401" s="236"/>
      <c r="G401" s="236"/>
      <c r="H401" s="236"/>
      <c r="I401" s="236"/>
      <c r="J401" s="236"/>
      <c r="K401" s="236"/>
      <c r="L401" s="260"/>
      <c r="M401" s="7"/>
      <c r="O401" s="3"/>
      <c r="P401" s="3" t="s">
        <v>759</v>
      </c>
      <c r="Q401" s="3" t="s">
        <v>760</v>
      </c>
      <c r="R401" s="3" t="s">
        <v>12</v>
      </c>
      <c r="S401" s="3" t="s">
        <v>761</v>
      </c>
      <c r="T401" s="3" t="s">
        <v>46</v>
      </c>
      <c r="U401" s="3"/>
    </row>
    <row r="402" spans="1:21" x14ac:dyDescent="0.25">
      <c r="A402" s="220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5"/>
      <c r="M402" s="7"/>
      <c r="O402" s="3"/>
      <c r="P402" s="3" t="s">
        <v>762</v>
      </c>
      <c r="Q402" s="3" t="s">
        <v>763</v>
      </c>
      <c r="R402" s="3" t="s">
        <v>12</v>
      </c>
      <c r="S402" s="3" t="s">
        <v>764</v>
      </c>
      <c r="T402" s="3" t="s">
        <v>44</v>
      </c>
      <c r="U402" s="3"/>
    </row>
    <row r="403" spans="1:21" x14ac:dyDescent="0.25">
      <c r="A403" s="220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5"/>
      <c r="M403" s="7"/>
      <c r="O403" s="3"/>
      <c r="P403" s="3" t="s">
        <v>2182</v>
      </c>
      <c r="Q403" s="3" t="s">
        <v>2183</v>
      </c>
      <c r="R403" s="3" t="s">
        <v>12</v>
      </c>
      <c r="S403" s="3" t="s">
        <v>2184</v>
      </c>
      <c r="T403" s="3" t="s">
        <v>47</v>
      </c>
      <c r="U403" s="3"/>
    </row>
    <row r="404" spans="1:21" x14ac:dyDescent="0.25">
      <c r="A404" s="220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5"/>
      <c r="M404" s="7"/>
      <c r="O404" s="3"/>
      <c r="P404" s="3" t="s">
        <v>765</v>
      </c>
      <c r="Q404" s="3" t="s">
        <v>766</v>
      </c>
      <c r="R404" s="3" t="s">
        <v>12</v>
      </c>
      <c r="S404" s="3" t="s">
        <v>767</v>
      </c>
      <c r="T404" s="3" t="s">
        <v>340</v>
      </c>
      <c r="U404" s="3"/>
    </row>
    <row r="405" spans="1:21" x14ac:dyDescent="0.25">
      <c r="A405" s="220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06"/>
      <c r="M405" s="7"/>
      <c r="O405" s="3"/>
      <c r="P405" s="3" t="s">
        <v>1768</v>
      </c>
      <c r="Q405" s="3" t="s">
        <v>1769</v>
      </c>
      <c r="R405" s="3" t="s">
        <v>12</v>
      </c>
      <c r="S405" s="3" t="s">
        <v>1770</v>
      </c>
      <c r="T405" s="3" t="s">
        <v>340</v>
      </c>
      <c r="U405" s="3"/>
    </row>
    <row r="406" spans="1:21" ht="15.75" thickBot="1" x14ac:dyDescent="0.3">
      <c r="A406" s="226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118"/>
      <c r="M406" s="258"/>
      <c r="O406" s="3"/>
      <c r="P406" s="3" t="s">
        <v>768</v>
      </c>
      <c r="Q406" s="3" t="s">
        <v>769</v>
      </c>
      <c r="R406" s="3" t="s">
        <v>12</v>
      </c>
      <c r="S406" s="3" t="s">
        <v>2408</v>
      </c>
      <c r="T406" s="3" t="s">
        <v>327</v>
      </c>
      <c r="U406" s="3"/>
    </row>
    <row r="407" spans="1:21" x14ac:dyDescent="0.25">
      <c r="A407" s="251"/>
      <c r="B407" s="3"/>
      <c r="C407" s="3"/>
      <c r="D407" s="3"/>
      <c r="E407" s="3"/>
      <c r="F407" s="3"/>
      <c r="G407" s="199"/>
      <c r="H407" s="199"/>
      <c r="I407" s="199"/>
      <c r="J407" s="199"/>
      <c r="K407" s="199"/>
      <c r="L407" s="106"/>
      <c r="M407" s="7"/>
      <c r="O407" s="3"/>
      <c r="P407" s="3" t="s">
        <v>2405</v>
      </c>
      <c r="Q407" s="3" t="s">
        <v>2406</v>
      </c>
      <c r="R407" s="3" t="s">
        <v>12</v>
      </c>
      <c r="S407" s="3" t="s">
        <v>2408</v>
      </c>
      <c r="T407" s="3" t="s">
        <v>1758</v>
      </c>
      <c r="U407" s="3"/>
    </row>
    <row r="408" spans="1:21" x14ac:dyDescent="0.25">
      <c r="A408" s="220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5"/>
      <c r="M408" s="7"/>
      <c r="O408" s="3"/>
      <c r="P408" s="3" t="s">
        <v>1771</v>
      </c>
      <c r="Q408" s="3" t="s">
        <v>1772</v>
      </c>
      <c r="R408" s="3" t="s">
        <v>12</v>
      </c>
      <c r="S408" s="3" t="s">
        <v>1773</v>
      </c>
      <c r="T408" s="3" t="s">
        <v>48</v>
      </c>
      <c r="U408" s="3"/>
    </row>
    <row r="409" spans="1:21" x14ac:dyDescent="0.25">
      <c r="A409" s="220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5"/>
      <c r="M409" s="7"/>
      <c r="O409" s="3"/>
      <c r="P409" s="3" t="s">
        <v>771</v>
      </c>
      <c r="Q409" s="3" t="s">
        <v>772</v>
      </c>
      <c r="R409" s="3" t="s">
        <v>12</v>
      </c>
      <c r="S409" s="3" t="s">
        <v>773</v>
      </c>
      <c r="T409" s="3" t="s">
        <v>129</v>
      </c>
      <c r="U409" s="3"/>
    </row>
    <row r="410" spans="1:21" x14ac:dyDescent="0.25">
      <c r="A410" s="220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5"/>
      <c r="M410" s="7"/>
      <c r="O410" s="3"/>
      <c r="P410" s="3" t="s">
        <v>1774</v>
      </c>
      <c r="Q410" s="3" t="s">
        <v>1775</v>
      </c>
      <c r="R410" s="3" t="s">
        <v>12</v>
      </c>
      <c r="S410" s="3" t="s">
        <v>1776</v>
      </c>
      <c r="T410" s="3" t="s">
        <v>1758</v>
      </c>
      <c r="U410" s="3"/>
    </row>
    <row r="411" spans="1:21" x14ac:dyDescent="0.25">
      <c r="A411" s="220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5"/>
      <c r="M411" s="7"/>
      <c r="O411" s="3"/>
      <c r="P411" s="3" t="s">
        <v>1777</v>
      </c>
      <c r="Q411" s="3" t="s">
        <v>1778</v>
      </c>
      <c r="R411" s="3" t="s">
        <v>12</v>
      </c>
      <c r="S411" s="3" t="s">
        <v>1779</v>
      </c>
      <c r="T411" s="3" t="s">
        <v>327</v>
      </c>
      <c r="U411" s="3"/>
    </row>
    <row r="412" spans="1:21" x14ac:dyDescent="0.25">
      <c r="A412" s="220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5"/>
      <c r="M412" s="7"/>
      <c r="O412" s="3"/>
      <c r="P412" s="3" t="s">
        <v>774</v>
      </c>
      <c r="Q412" s="3" t="s">
        <v>775</v>
      </c>
      <c r="R412" s="3" t="s">
        <v>12</v>
      </c>
      <c r="S412" s="3" t="s">
        <v>776</v>
      </c>
      <c r="T412" s="3" t="s">
        <v>43</v>
      </c>
      <c r="U412" s="3"/>
    </row>
    <row r="413" spans="1:21" x14ac:dyDescent="0.25">
      <c r="A413" s="220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5"/>
      <c r="M413" s="7"/>
      <c r="O413" s="3"/>
      <c r="P413" s="3" t="s">
        <v>777</v>
      </c>
      <c r="Q413" s="3" t="s">
        <v>778</v>
      </c>
      <c r="R413" s="3" t="s">
        <v>12</v>
      </c>
      <c r="S413" s="3" t="s">
        <v>779</v>
      </c>
      <c r="T413" s="3" t="s">
        <v>46</v>
      </c>
      <c r="U413" s="3"/>
    </row>
    <row r="414" spans="1:21" x14ac:dyDescent="0.25">
      <c r="A414" s="220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5"/>
      <c r="M414" s="7"/>
      <c r="O414" s="3"/>
      <c r="P414" s="3" t="s">
        <v>1780</v>
      </c>
      <c r="Q414" s="3" t="s">
        <v>1781</v>
      </c>
      <c r="R414" s="3" t="s">
        <v>12</v>
      </c>
      <c r="S414" s="3" t="s">
        <v>1782</v>
      </c>
      <c r="T414" s="3" t="s">
        <v>43</v>
      </c>
      <c r="U414" s="3"/>
    </row>
    <row r="415" spans="1:21" x14ac:dyDescent="0.25">
      <c r="A415" s="220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5"/>
      <c r="M415" s="7"/>
      <c r="N415" s="7"/>
      <c r="O415" s="3"/>
      <c r="P415" s="3" t="s">
        <v>780</v>
      </c>
      <c r="Q415" s="3" t="s">
        <v>781</v>
      </c>
      <c r="R415" s="3" t="s">
        <v>12</v>
      </c>
      <c r="S415" s="3" t="s">
        <v>782</v>
      </c>
      <c r="T415" s="3" t="s">
        <v>46</v>
      </c>
      <c r="U415" s="3"/>
    </row>
    <row r="416" spans="1:21" x14ac:dyDescent="0.25">
      <c r="A416" s="220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5"/>
      <c r="M416" s="7"/>
      <c r="N416" s="7"/>
      <c r="O416" s="3"/>
      <c r="P416" s="3" t="s">
        <v>1783</v>
      </c>
      <c r="Q416" s="3" t="s">
        <v>1784</v>
      </c>
      <c r="R416" s="3" t="s">
        <v>12</v>
      </c>
      <c r="S416" s="3" t="s">
        <v>1785</v>
      </c>
      <c r="T416" s="3" t="s">
        <v>45</v>
      </c>
      <c r="U416" s="3"/>
    </row>
    <row r="417" spans="1:21" x14ac:dyDescent="0.25">
      <c r="A417" s="220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5"/>
      <c r="M417" s="7"/>
      <c r="N417" s="7"/>
      <c r="O417" s="3"/>
      <c r="P417" s="3" t="s">
        <v>2185</v>
      </c>
      <c r="Q417" s="3" t="s">
        <v>2186</v>
      </c>
      <c r="R417" s="3" t="s">
        <v>12</v>
      </c>
      <c r="S417" s="3" t="s">
        <v>2187</v>
      </c>
      <c r="T417" s="3" t="s">
        <v>2188</v>
      </c>
      <c r="U417" s="3"/>
    </row>
    <row r="418" spans="1:21" x14ac:dyDescent="0.25">
      <c r="A418" s="220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5"/>
      <c r="M418" s="7"/>
      <c r="N418" s="7"/>
      <c r="O418" s="3"/>
      <c r="P418" s="3" t="s">
        <v>2189</v>
      </c>
      <c r="Q418" s="3" t="s">
        <v>2190</v>
      </c>
      <c r="R418" s="3" t="s">
        <v>12</v>
      </c>
      <c r="S418" s="3" t="s">
        <v>2191</v>
      </c>
      <c r="T418" s="3" t="s">
        <v>201</v>
      </c>
      <c r="U418" s="3"/>
    </row>
    <row r="419" spans="1:21" x14ac:dyDescent="0.25">
      <c r="A419" s="220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5"/>
      <c r="M419" s="7"/>
      <c r="N419" s="7"/>
      <c r="O419" s="3"/>
      <c r="P419" s="3" t="s">
        <v>1786</v>
      </c>
      <c r="Q419" s="3" t="s">
        <v>1787</v>
      </c>
      <c r="R419" s="3" t="s">
        <v>12</v>
      </c>
      <c r="S419" s="3" t="s">
        <v>1788</v>
      </c>
      <c r="T419" s="3" t="s">
        <v>311</v>
      </c>
      <c r="U419" s="3"/>
    </row>
    <row r="420" spans="1:21" x14ac:dyDescent="0.25">
      <c r="A420" s="220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5"/>
      <c r="M420" s="7"/>
      <c r="N420" s="7"/>
      <c r="O420" s="3"/>
      <c r="P420" s="3" t="s">
        <v>1789</v>
      </c>
      <c r="Q420" s="3" t="s">
        <v>1790</v>
      </c>
      <c r="R420" s="3" t="s">
        <v>12</v>
      </c>
      <c r="S420" s="3" t="s">
        <v>1791</v>
      </c>
      <c r="T420" s="3" t="s">
        <v>129</v>
      </c>
      <c r="U420" s="3"/>
    </row>
    <row r="421" spans="1:21" x14ac:dyDescent="0.25">
      <c r="A421" s="220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5"/>
      <c r="M421" s="7"/>
      <c r="N421" s="7"/>
      <c r="O421" s="3"/>
      <c r="P421" s="3" t="s">
        <v>1792</v>
      </c>
      <c r="Q421" s="3" t="s">
        <v>1793</v>
      </c>
      <c r="R421" s="3" t="s">
        <v>12</v>
      </c>
      <c r="S421" s="3" t="s">
        <v>1794</v>
      </c>
      <c r="T421" s="3" t="s">
        <v>47</v>
      </c>
      <c r="U421" s="3"/>
    </row>
    <row r="422" spans="1:21" x14ac:dyDescent="0.25">
      <c r="A422" s="220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5"/>
      <c r="M422" s="7"/>
      <c r="N422" s="7"/>
      <c r="O422" s="3"/>
      <c r="P422" s="3" t="s">
        <v>1795</v>
      </c>
      <c r="Q422" s="3" t="s">
        <v>1796</v>
      </c>
      <c r="R422" s="3" t="s">
        <v>12</v>
      </c>
      <c r="S422" s="3" t="s">
        <v>1797</v>
      </c>
      <c r="T422" s="3" t="s">
        <v>319</v>
      </c>
      <c r="U422" s="3"/>
    </row>
    <row r="423" spans="1:21" x14ac:dyDescent="0.25">
      <c r="A423" s="220"/>
      <c r="B423" s="3"/>
      <c r="C423" s="3"/>
      <c r="D423" s="3"/>
      <c r="E423" s="3"/>
      <c r="F423" s="3"/>
      <c r="G423" s="3"/>
      <c r="H423" s="199"/>
      <c r="I423" s="199"/>
      <c r="J423" s="3"/>
      <c r="K423" s="3"/>
      <c r="L423" s="106"/>
      <c r="M423" s="7"/>
      <c r="N423" s="7"/>
      <c r="O423" s="3"/>
      <c r="P423" s="3" t="s">
        <v>783</v>
      </c>
      <c r="Q423" s="3" t="s">
        <v>784</v>
      </c>
      <c r="R423" s="3" t="s">
        <v>12</v>
      </c>
      <c r="S423" s="3" t="s">
        <v>785</v>
      </c>
      <c r="T423" s="3" t="s">
        <v>44</v>
      </c>
      <c r="U423" s="3"/>
    </row>
    <row r="424" spans="1:21" x14ac:dyDescent="0.25">
      <c r="A424" s="220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5"/>
      <c r="M424" s="7"/>
      <c r="N424" s="7"/>
      <c r="O424" s="3"/>
      <c r="P424" s="3" t="s">
        <v>1392</v>
      </c>
      <c r="Q424" s="3" t="s">
        <v>1393</v>
      </c>
      <c r="R424" s="3" t="s">
        <v>12</v>
      </c>
      <c r="S424" s="3" t="s">
        <v>1394</v>
      </c>
      <c r="T424" s="3" t="s">
        <v>44</v>
      </c>
      <c r="U424" s="3"/>
    </row>
    <row r="425" spans="1:21" x14ac:dyDescent="0.25">
      <c r="A425" s="220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5"/>
      <c r="M425" s="7"/>
      <c r="N425" s="7"/>
      <c r="O425" s="3"/>
      <c r="P425" s="3" t="s">
        <v>2192</v>
      </c>
      <c r="Q425" s="3" t="s">
        <v>2193</v>
      </c>
      <c r="R425" s="3" t="s">
        <v>12</v>
      </c>
      <c r="S425" s="3" t="s">
        <v>2194</v>
      </c>
      <c r="T425" s="3" t="s">
        <v>327</v>
      </c>
      <c r="U425" s="3"/>
    </row>
    <row r="426" spans="1:21" x14ac:dyDescent="0.25">
      <c r="A426" s="220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5"/>
      <c r="M426" s="7"/>
      <c r="N426" s="7"/>
      <c r="O426" s="3"/>
      <c r="P426" s="3" t="s">
        <v>1798</v>
      </c>
      <c r="Q426" s="3" t="s">
        <v>1799</v>
      </c>
      <c r="R426" s="3" t="s">
        <v>12</v>
      </c>
      <c r="S426" s="3" t="s">
        <v>1448</v>
      </c>
      <c r="T426" s="3" t="s">
        <v>129</v>
      </c>
      <c r="U426" s="3"/>
    </row>
    <row r="427" spans="1:21" ht="15.75" thickBot="1" x14ac:dyDescent="0.3">
      <c r="A427" s="226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118"/>
      <c r="M427" s="258"/>
      <c r="N427" s="7"/>
      <c r="O427" s="3"/>
      <c r="P427" s="3" t="s">
        <v>1800</v>
      </c>
      <c r="Q427" s="3" t="s">
        <v>1801</v>
      </c>
      <c r="R427" s="3" t="s">
        <v>12</v>
      </c>
      <c r="S427" s="3" t="s">
        <v>1802</v>
      </c>
      <c r="T427" s="3" t="s">
        <v>43</v>
      </c>
      <c r="U427" s="3"/>
    </row>
    <row r="428" spans="1:21" x14ac:dyDescent="0.25">
      <c r="A428" s="251"/>
      <c r="B428" s="3"/>
      <c r="C428" s="3"/>
      <c r="D428" s="3"/>
      <c r="E428" s="3"/>
      <c r="F428" s="3"/>
      <c r="G428" s="199"/>
      <c r="H428" s="199"/>
      <c r="I428" s="199"/>
      <c r="J428" s="199"/>
      <c r="K428" s="199"/>
      <c r="L428" s="106"/>
      <c r="M428" s="7"/>
      <c r="N428" s="7"/>
      <c r="O428" s="3"/>
      <c r="P428" s="3" t="s">
        <v>1395</v>
      </c>
      <c r="Q428" s="3" t="s">
        <v>1396</v>
      </c>
      <c r="R428" s="3" t="s">
        <v>12</v>
      </c>
      <c r="S428" s="3" t="s">
        <v>1397</v>
      </c>
      <c r="T428" s="3" t="s">
        <v>43</v>
      </c>
      <c r="U428" s="3"/>
    </row>
    <row r="429" spans="1:21" x14ac:dyDescent="0.25">
      <c r="A429" s="220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5"/>
      <c r="M429" s="7"/>
      <c r="N429" s="7"/>
      <c r="O429" s="3"/>
      <c r="P429" s="3" t="s">
        <v>786</v>
      </c>
      <c r="Q429" s="3" t="s">
        <v>787</v>
      </c>
      <c r="R429" s="3" t="s">
        <v>12</v>
      </c>
      <c r="S429" s="3" t="s">
        <v>788</v>
      </c>
      <c r="T429" s="3" t="s">
        <v>46</v>
      </c>
      <c r="U429" s="3"/>
    </row>
    <row r="430" spans="1:21" x14ac:dyDescent="0.25">
      <c r="A430" s="220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5"/>
      <c r="M430" s="7"/>
      <c r="N430" s="7"/>
      <c r="O430" s="3"/>
      <c r="P430" s="3" t="s">
        <v>789</v>
      </c>
      <c r="Q430" s="3" t="s">
        <v>790</v>
      </c>
      <c r="R430" s="3" t="s">
        <v>12</v>
      </c>
      <c r="S430" s="3" t="s">
        <v>791</v>
      </c>
      <c r="T430" s="3" t="s">
        <v>327</v>
      </c>
      <c r="U430" s="3"/>
    </row>
    <row r="431" spans="1:21" x14ac:dyDescent="0.25">
      <c r="A431" s="220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5"/>
      <c r="M431" s="7"/>
      <c r="N431" s="7"/>
      <c r="O431" s="3"/>
      <c r="P431" s="3" t="s">
        <v>792</v>
      </c>
      <c r="Q431" s="3" t="s">
        <v>793</v>
      </c>
      <c r="R431" s="3" t="s">
        <v>12</v>
      </c>
      <c r="S431" s="3" t="s">
        <v>794</v>
      </c>
      <c r="T431" s="3" t="s">
        <v>43</v>
      </c>
      <c r="U431" s="3"/>
    </row>
    <row r="432" spans="1:21" x14ac:dyDescent="0.25">
      <c r="A432" s="220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5"/>
      <c r="M432" s="7"/>
      <c r="N432" s="7"/>
      <c r="O432" s="3"/>
      <c r="P432" s="3" t="s">
        <v>795</v>
      </c>
      <c r="Q432" s="3" t="s">
        <v>796</v>
      </c>
      <c r="R432" s="3" t="s">
        <v>12</v>
      </c>
      <c r="S432" s="3" t="s">
        <v>797</v>
      </c>
      <c r="T432" s="3" t="s">
        <v>49</v>
      </c>
      <c r="U432" s="3"/>
    </row>
    <row r="433" spans="1:21" x14ac:dyDescent="0.25">
      <c r="A433" s="220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5"/>
      <c r="M433" s="7"/>
      <c r="N433" s="7"/>
      <c r="O433" s="3"/>
      <c r="P433" s="3" t="s">
        <v>798</v>
      </c>
      <c r="Q433" s="3" t="s">
        <v>799</v>
      </c>
      <c r="R433" s="3" t="s">
        <v>14</v>
      </c>
      <c r="S433" s="3" t="s">
        <v>800</v>
      </c>
      <c r="T433" s="3" t="s">
        <v>32</v>
      </c>
      <c r="U433" s="3"/>
    </row>
    <row r="434" spans="1:21" x14ac:dyDescent="0.25">
      <c r="A434" s="220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5"/>
      <c r="M434" s="7"/>
      <c r="N434" s="7"/>
      <c r="O434" s="3"/>
      <c r="P434" s="3" t="s">
        <v>801</v>
      </c>
      <c r="Q434" s="3" t="s">
        <v>802</v>
      </c>
      <c r="R434" s="3" t="s">
        <v>14</v>
      </c>
      <c r="S434" s="3" t="s">
        <v>803</v>
      </c>
      <c r="T434" s="3" t="s">
        <v>32</v>
      </c>
      <c r="U434" s="3"/>
    </row>
    <row r="435" spans="1:21" x14ac:dyDescent="0.25">
      <c r="A435" s="220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5"/>
      <c r="M435" s="7"/>
      <c r="N435" s="7"/>
      <c r="O435" s="3"/>
      <c r="P435" s="3" t="s">
        <v>804</v>
      </c>
      <c r="Q435" s="3" t="s">
        <v>805</v>
      </c>
      <c r="R435" s="3" t="s">
        <v>14</v>
      </c>
      <c r="S435" s="3" t="s">
        <v>803</v>
      </c>
      <c r="T435" s="3" t="s">
        <v>32</v>
      </c>
      <c r="U435" s="3"/>
    </row>
    <row r="436" spans="1:21" ht="15.75" thickBot="1" x14ac:dyDescent="0.3">
      <c r="A436" s="226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118"/>
      <c r="M436" s="7"/>
      <c r="N436" s="7"/>
      <c r="O436" s="3"/>
      <c r="P436" s="3" t="s">
        <v>806</v>
      </c>
      <c r="Q436" s="3" t="s">
        <v>807</v>
      </c>
      <c r="R436" s="3" t="s">
        <v>14</v>
      </c>
      <c r="S436" s="3" t="s">
        <v>808</v>
      </c>
      <c r="T436" s="3" t="s">
        <v>32</v>
      </c>
      <c r="U436" s="3"/>
    </row>
    <row r="437" spans="1:21" x14ac:dyDescent="0.25">
      <c r="A437" s="253"/>
      <c r="B437" s="3"/>
      <c r="C437" s="3"/>
      <c r="D437" s="3"/>
      <c r="E437" s="3"/>
      <c r="F437" s="3"/>
      <c r="G437" s="3"/>
      <c r="H437" s="199"/>
      <c r="I437" s="199"/>
      <c r="J437" s="199"/>
      <c r="K437" s="199"/>
      <c r="L437" s="106"/>
      <c r="M437" s="7"/>
      <c r="N437" s="7"/>
      <c r="O437" s="3"/>
      <c r="P437" s="3" t="s">
        <v>1418</v>
      </c>
      <c r="Q437" s="3" t="s">
        <v>1419</v>
      </c>
      <c r="R437" s="3" t="s">
        <v>14</v>
      </c>
      <c r="S437" s="3" t="s">
        <v>2372</v>
      </c>
      <c r="T437" s="3" t="s">
        <v>32</v>
      </c>
      <c r="U437" s="3"/>
    </row>
    <row r="438" spans="1:21" x14ac:dyDescent="0.25">
      <c r="A438" s="25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5"/>
      <c r="M438" s="7"/>
      <c r="N438" s="7"/>
      <c r="O438" s="3"/>
      <c r="P438" s="3" t="s">
        <v>1803</v>
      </c>
      <c r="Q438" s="3" t="s">
        <v>1804</v>
      </c>
      <c r="R438" s="3" t="s">
        <v>14</v>
      </c>
      <c r="S438" s="3" t="s">
        <v>1805</v>
      </c>
      <c r="T438" s="3" t="s">
        <v>32</v>
      </c>
      <c r="U438" s="3"/>
    </row>
    <row r="439" spans="1:21" x14ac:dyDescent="0.25">
      <c r="A439" s="25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5"/>
      <c r="M439" s="7"/>
      <c r="N439" s="7"/>
      <c r="O439" s="3"/>
      <c r="P439" s="3" t="s">
        <v>1806</v>
      </c>
      <c r="Q439" s="3" t="s">
        <v>1807</v>
      </c>
      <c r="R439" s="3" t="s">
        <v>14</v>
      </c>
      <c r="S439" s="3" t="s">
        <v>1808</v>
      </c>
      <c r="T439" s="3" t="s">
        <v>32</v>
      </c>
      <c r="U439" s="3"/>
    </row>
    <row r="440" spans="1:21" x14ac:dyDescent="0.25">
      <c r="A440" s="25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5"/>
      <c r="M440" s="7"/>
      <c r="O440" s="3"/>
      <c r="U440" s="3"/>
    </row>
    <row r="441" spans="1:21" x14ac:dyDescent="0.25">
      <c r="A441" s="25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5"/>
      <c r="M441" s="7"/>
      <c r="O441" s="3"/>
      <c r="P441" s="3" t="s">
        <v>1813</v>
      </c>
      <c r="Q441" s="3" t="s">
        <v>1814</v>
      </c>
      <c r="R441" s="3" t="s">
        <v>14</v>
      </c>
      <c r="S441" s="3" t="s">
        <v>1815</v>
      </c>
      <c r="T441" s="3" t="s">
        <v>32</v>
      </c>
      <c r="U441" s="3"/>
    </row>
    <row r="442" spans="1:21" x14ac:dyDescent="0.25">
      <c r="A442" s="25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5"/>
      <c r="M442" s="7"/>
      <c r="O442" s="3"/>
      <c r="P442" s="3" t="s">
        <v>809</v>
      </c>
      <c r="Q442" s="3" t="s">
        <v>810</v>
      </c>
      <c r="R442" s="3" t="s">
        <v>14</v>
      </c>
      <c r="S442" s="3" t="s">
        <v>811</v>
      </c>
      <c r="T442" s="3" t="s">
        <v>32</v>
      </c>
      <c r="U442" s="3"/>
    </row>
    <row r="443" spans="1:21" x14ac:dyDescent="0.25">
      <c r="A443" s="25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5"/>
      <c r="M443" s="7"/>
      <c r="O443" s="3"/>
      <c r="P443" s="3" t="s">
        <v>812</v>
      </c>
      <c r="Q443" s="3" t="s">
        <v>813</v>
      </c>
      <c r="R443" s="3" t="s">
        <v>14</v>
      </c>
      <c r="S443" s="3" t="s">
        <v>814</v>
      </c>
      <c r="T443" s="3" t="s">
        <v>32</v>
      </c>
      <c r="U443" s="3"/>
    </row>
    <row r="444" spans="1:21" x14ac:dyDescent="0.25">
      <c r="A444" s="25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5"/>
      <c r="M444" s="7"/>
      <c r="O444" s="3"/>
      <c r="P444" s="3" t="s">
        <v>815</v>
      </c>
      <c r="Q444" s="3" t="s">
        <v>816</v>
      </c>
      <c r="R444" s="3" t="s">
        <v>14</v>
      </c>
      <c r="S444" s="3" t="s">
        <v>817</v>
      </c>
      <c r="T444" s="3" t="s">
        <v>32</v>
      </c>
      <c r="U444" s="3"/>
    </row>
    <row r="445" spans="1:21" x14ac:dyDescent="0.25">
      <c r="A445" s="25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5"/>
      <c r="M445" s="7"/>
      <c r="O445" s="3"/>
      <c r="P445" s="3" t="s">
        <v>818</v>
      </c>
      <c r="Q445" s="3" t="s">
        <v>819</v>
      </c>
      <c r="R445" s="3" t="s">
        <v>14</v>
      </c>
      <c r="S445" s="3" t="s">
        <v>820</v>
      </c>
      <c r="T445" s="3" t="s">
        <v>32</v>
      </c>
      <c r="U445" s="3"/>
    </row>
    <row r="446" spans="1:21" x14ac:dyDescent="0.25">
      <c r="A446" s="25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5"/>
      <c r="M446" s="7"/>
      <c r="O446" s="3"/>
      <c r="P446" s="3" t="s">
        <v>821</v>
      </c>
      <c r="Q446" s="3" t="s">
        <v>822</v>
      </c>
      <c r="R446" s="3" t="s">
        <v>14</v>
      </c>
      <c r="S446" s="3" t="s">
        <v>823</v>
      </c>
      <c r="T446" s="3" t="s">
        <v>32</v>
      </c>
      <c r="U446" s="3"/>
    </row>
    <row r="447" spans="1:21" x14ac:dyDescent="0.25">
      <c r="A447" s="25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5"/>
      <c r="M447" s="7"/>
      <c r="O447" s="3"/>
      <c r="P447" s="3" t="s">
        <v>824</v>
      </c>
      <c r="Q447" s="3" t="s">
        <v>825</v>
      </c>
      <c r="R447" s="3" t="s">
        <v>14</v>
      </c>
      <c r="S447" s="3" t="s">
        <v>826</v>
      </c>
      <c r="T447" s="3" t="s">
        <v>32</v>
      </c>
      <c r="U447" s="3"/>
    </row>
    <row r="448" spans="1:21" x14ac:dyDescent="0.25">
      <c r="A448" s="25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5"/>
      <c r="M448" s="7"/>
      <c r="O448" s="3"/>
      <c r="P448" s="3" t="s">
        <v>827</v>
      </c>
      <c r="Q448" s="3" t="s">
        <v>828</v>
      </c>
      <c r="R448" s="3" t="s">
        <v>14</v>
      </c>
      <c r="S448" s="3" t="s">
        <v>829</v>
      </c>
      <c r="T448" s="3" t="s">
        <v>32</v>
      </c>
      <c r="U448" s="3"/>
    </row>
    <row r="449" spans="1:21" x14ac:dyDescent="0.25">
      <c r="A449" s="25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5"/>
      <c r="M449" s="7"/>
      <c r="O449" s="3"/>
      <c r="P449" s="3" t="s">
        <v>830</v>
      </c>
      <c r="Q449" s="3" t="s">
        <v>831</v>
      </c>
      <c r="R449" s="3" t="s">
        <v>14</v>
      </c>
      <c r="S449" s="3" t="s">
        <v>832</v>
      </c>
      <c r="T449" s="3" t="s">
        <v>833</v>
      </c>
      <c r="U449" s="3"/>
    </row>
    <row r="450" spans="1:21" x14ac:dyDescent="0.25">
      <c r="A450" s="25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5"/>
      <c r="M450" s="7"/>
      <c r="O450" s="3"/>
      <c r="P450" s="3" t="s">
        <v>834</v>
      </c>
      <c r="Q450" s="3" t="s">
        <v>835</v>
      </c>
      <c r="R450" s="3" t="s">
        <v>14</v>
      </c>
      <c r="S450" s="3" t="s">
        <v>836</v>
      </c>
      <c r="T450" s="3" t="s">
        <v>32</v>
      </c>
      <c r="U450" s="3"/>
    </row>
    <row r="451" spans="1:21" x14ac:dyDescent="0.25">
      <c r="A451" s="25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5"/>
      <c r="M451" s="7"/>
      <c r="O451" s="3"/>
      <c r="P451" s="3" t="s">
        <v>837</v>
      </c>
      <c r="Q451" s="3" t="s">
        <v>838</v>
      </c>
      <c r="R451" s="3" t="s">
        <v>14</v>
      </c>
      <c r="S451" s="3" t="s">
        <v>839</v>
      </c>
      <c r="T451" s="3" t="s">
        <v>32</v>
      </c>
      <c r="U451" s="3"/>
    </row>
    <row r="452" spans="1:21" x14ac:dyDescent="0.25">
      <c r="A452" s="25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5"/>
      <c r="M452" s="7"/>
      <c r="O452" s="3"/>
      <c r="P452" s="3" t="s">
        <v>840</v>
      </c>
      <c r="Q452" s="3" t="s">
        <v>841</v>
      </c>
      <c r="R452" s="3" t="s">
        <v>14</v>
      </c>
      <c r="S452" s="3" t="s">
        <v>842</v>
      </c>
      <c r="T452" s="3" t="s">
        <v>32</v>
      </c>
      <c r="U452" s="3"/>
    </row>
    <row r="453" spans="1:21" x14ac:dyDescent="0.25">
      <c r="A453" s="25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5"/>
      <c r="M453" s="7"/>
      <c r="O453" s="3"/>
      <c r="P453" s="3" t="s">
        <v>843</v>
      </c>
      <c r="Q453" s="3" t="s">
        <v>844</v>
      </c>
      <c r="R453" s="3" t="s">
        <v>14</v>
      </c>
      <c r="S453" s="3" t="s">
        <v>845</v>
      </c>
      <c r="T453" s="3" t="s">
        <v>32</v>
      </c>
      <c r="U453" s="3"/>
    </row>
    <row r="454" spans="1:21" x14ac:dyDescent="0.25">
      <c r="A454" s="25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5"/>
      <c r="M454" s="7"/>
      <c r="O454" s="3"/>
      <c r="P454" s="3" t="s">
        <v>848</v>
      </c>
      <c r="Q454" s="3" t="s">
        <v>849</v>
      </c>
      <c r="R454" s="3" t="s">
        <v>14</v>
      </c>
      <c r="S454" s="3" t="s">
        <v>2409</v>
      </c>
      <c r="T454" s="3" t="s">
        <v>32</v>
      </c>
      <c r="U454" s="3"/>
    </row>
    <row r="455" spans="1:21" x14ac:dyDescent="0.25">
      <c r="A455" s="25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5"/>
      <c r="M455" s="7"/>
      <c r="O455" s="3"/>
      <c r="P455" s="3" t="s">
        <v>111</v>
      </c>
      <c r="Q455" s="3" t="s">
        <v>112</v>
      </c>
      <c r="R455" s="3" t="s">
        <v>14</v>
      </c>
      <c r="S455" s="3" t="s">
        <v>113</v>
      </c>
      <c r="T455" s="3" t="s">
        <v>32</v>
      </c>
      <c r="U455" s="3"/>
    </row>
    <row r="456" spans="1:21" x14ac:dyDescent="0.25">
      <c r="A456" s="25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5"/>
      <c r="M456" s="7"/>
      <c r="O456" s="3"/>
      <c r="P456" s="3" t="s">
        <v>846</v>
      </c>
      <c r="Q456" s="3" t="s">
        <v>847</v>
      </c>
      <c r="R456" s="3" t="s">
        <v>14</v>
      </c>
      <c r="S456" s="3" t="s">
        <v>568</v>
      </c>
      <c r="T456" s="3" t="s">
        <v>32</v>
      </c>
      <c r="U456" s="3"/>
    </row>
    <row r="457" spans="1:21" x14ac:dyDescent="0.25">
      <c r="A457" s="25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5"/>
      <c r="M457" s="7"/>
      <c r="N457" t="s">
        <v>2443</v>
      </c>
      <c r="O457" s="3"/>
      <c r="P457" s="3" t="s">
        <v>1816</v>
      </c>
      <c r="Q457" s="3" t="s">
        <v>1817</v>
      </c>
      <c r="R457" s="3" t="s">
        <v>14</v>
      </c>
      <c r="S457" s="3" t="s">
        <v>1818</v>
      </c>
      <c r="T457" s="3" t="s">
        <v>32</v>
      </c>
      <c r="U457" s="3"/>
    </row>
    <row r="458" spans="1:21" x14ac:dyDescent="0.25">
      <c r="A458" s="25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5"/>
      <c r="M458" s="7"/>
      <c r="O458" s="3"/>
      <c r="P458" s="3" t="s">
        <v>1422</v>
      </c>
      <c r="Q458" s="3" t="s">
        <v>1423</v>
      </c>
      <c r="R458" s="3" t="s">
        <v>14</v>
      </c>
      <c r="S458" s="3" t="s">
        <v>1424</v>
      </c>
      <c r="T458" s="3" t="s">
        <v>32</v>
      </c>
      <c r="U458" s="3"/>
    </row>
    <row r="459" spans="1:21" ht="15.75" thickBot="1" x14ac:dyDescent="0.3">
      <c r="A459" s="226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118"/>
      <c r="M459" s="5"/>
      <c r="O459" s="3"/>
      <c r="P459" s="3" t="s">
        <v>1819</v>
      </c>
      <c r="Q459" s="3" t="s">
        <v>1820</v>
      </c>
      <c r="R459" s="3" t="s">
        <v>14</v>
      </c>
      <c r="S459" s="3" t="s">
        <v>1821</v>
      </c>
      <c r="T459" s="3" t="s">
        <v>32</v>
      </c>
      <c r="U459" s="3"/>
    </row>
    <row r="460" spans="1:21" x14ac:dyDescent="0.25">
      <c r="A460" s="251"/>
      <c r="B460" s="3"/>
      <c r="C460" s="3"/>
      <c r="D460" s="3"/>
      <c r="E460" s="3"/>
      <c r="F460" s="3"/>
      <c r="G460" s="199"/>
      <c r="H460" s="199"/>
      <c r="I460" s="199"/>
      <c r="J460" s="199"/>
      <c r="K460" s="199"/>
      <c r="L460" s="106"/>
      <c r="M460" s="7"/>
      <c r="O460" s="3"/>
      <c r="P460" s="3" t="s">
        <v>1822</v>
      </c>
      <c r="Q460" s="3" t="s">
        <v>1823</v>
      </c>
      <c r="R460" s="3" t="s">
        <v>14</v>
      </c>
      <c r="S460" s="3" t="s">
        <v>1824</v>
      </c>
      <c r="T460" s="3" t="s">
        <v>14</v>
      </c>
      <c r="U460" s="3"/>
    </row>
    <row r="461" spans="1:21" x14ac:dyDescent="0.25">
      <c r="A461" s="25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5"/>
      <c r="M461" s="7"/>
      <c r="O461" s="3"/>
      <c r="P461" s="3" t="s">
        <v>851</v>
      </c>
      <c r="Q461" s="3" t="s">
        <v>852</v>
      </c>
      <c r="R461" s="3" t="s">
        <v>14</v>
      </c>
      <c r="S461" s="3" t="s">
        <v>853</v>
      </c>
      <c r="T461" s="3" t="s">
        <v>32</v>
      </c>
      <c r="U461" s="3"/>
    </row>
    <row r="462" spans="1:21" x14ac:dyDescent="0.25">
      <c r="A462" s="25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5"/>
      <c r="M462" s="7"/>
      <c r="O462" s="3"/>
      <c r="P462" s="3" t="s">
        <v>1825</v>
      </c>
      <c r="Q462" s="3" t="s">
        <v>1826</v>
      </c>
      <c r="R462" s="3" t="s">
        <v>14</v>
      </c>
      <c r="S462" s="3" t="s">
        <v>2429</v>
      </c>
      <c r="T462" s="3" t="s">
        <v>32</v>
      </c>
      <c r="U462" s="3"/>
    </row>
    <row r="463" spans="1:21" x14ac:dyDescent="0.25">
      <c r="A463" s="25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5"/>
      <c r="M463" s="7"/>
      <c r="O463" s="3"/>
      <c r="P463" s="3" t="s">
        <v>1827</v>
      </c>
      <c r="Q463" s="3" t="s">
        <v>1828</v>
      </c>
      <c r="R463" s="3" t="s">
        <v>14</v>
      </c>
      <c r="S463" s="3" t="s">
        <v>1829</v>
      </c>
      <c r="T463" s="3" t="s">
        <v>32</v>
      </c>
      <c r="U463" s="3"/>
    </row>
    <row r="464" spans="1:21" ht="15.75" customHeight="1" x14ac:dyDescent="0.25">
      <c r="A464" s="25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5"/>
      <c r="M464" s="7"/>
      <c r="O464" s="3"/>
      <c r="P464" s="3" t="s">
        <v>854</v>
      </c>
      <c r="Q464" s="3" t="s">
        <v>855</v>
      </c>
      <c r="R464" s="3" t="s">
        <v>14</v>
      </c>
      <c r="S464" s="3" t="s">
        <v>856</v>
      </c>
      <c r="T464" s="3" t="s">
        <v>32</v>
      </c>
      <c r="U464" s="3"/>
    </row>
    <row r="465" spans="1:21" x14ac:dyDescent="0.25">
      <c r="A465" s="25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5"/>
      <c r="M465" s="7"/>
      <c r="O465" s="3"/>
      <c r="P465" s="3" t="s">
        <v>2469</v>
      </c>
      <c r="Q465" s="3" t="s">
        <v>2470</v>
      </c>
      <c r="R465" s="3" t="s">
        <v>14</v>
      </c>
      <c r="S465" s="3" t="s">
        <v>2471</v>
      </c>
      <c r="T465" s="3" t="s">
        <v>32</v>
      </c>
      <c r="U465" s="3"/>
    </row>
    <row r="466" spans="1:21" x14ac:dyDescent="0.25">
      <c r="A466" s="25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5"/>
      <c r="M466" s="7"/>
      <c r="O466" s="3"/>
      <c r="P466" s="3" t="s">
        <v>2195</v>
      </c>
      <c r="Q466" s="3" t="s">
        <v>2196</v>
      </c>
      <c r="R466" s="3" t="s">
        <v>14</v>
      </c>
      <c r="S466" s="3" t="s">
        <v>2197</v>
      </c>
      <c r="T466" s="3" t="s">
        <v>1830</v>
      </c>
      <c r="U466" s="3"/>
    </row>
    <row r="467" spans="1:21" x14ac:dyDescent="0.25">
      <c r="A467" s="25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5"/>
      <c r="M467" s="7"/>
      <c r="O467" s="3"/>
      <c r="P467" s="3" t="s">
        <v>1831</v>
      </c>
      <c r="Q467" s="3" t="s">
        <v>1832</v>
      </c>
      <c r="R467" s="3" t="s">
        <v>14</v>
      </c>
      <c r="S467" s="3" t="s">
        <v>1833</v>
      </c>
      <c r="T467" s="3" t="s">
        <v>1830</v>
      </c>
      <c r="U467" s="3"/>
    </row>
    <row r="468" spans="1:21" x14ac:dyDescent="0.25">
      <c r="A468" s="25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5"/>
      <c r="M468" s="7"/>
      <c r="O468" s="3"/>
      <c r="P468" s="3" t="s">
        <v>857</v>
      </c>
      <c r="Q468" s="3" t="s">
        <v>858</v>
      </c>
      <c r="R468" s="3" t="s">
        <v>14</v>
      </c>
      <c r="S468" s="3" t="s">
        <v>859</v>
      </c>
      <c r="T468" s="3" t="s">
        <v>32</v>
      </c>
      <c r="U468" s="3"/>
    </row>
    <row r="469" spans="1:21" x14ac:dyDescent="0.25">
      <c r="A469" s="220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5"/>
      <c r="M469" s="7"/>
      <c r="O469" s="3"/>
      <c r="P469" s="3" t="s">
        <v>860</v>
      </c>
      <c r="Q469" s="3" t="s">
        <v>861</v>
      </c>
      <c r="R469" s="3" t="s">
        <v>14</v>
      </c>
      <c r="S469" s="3" t="s">
        <v>862</v>
      </c>
      <c r="T469" s="3" t="s">
        <v>32</v>
      </c>
      <c r="U469" s="3"/>
    </row>
    <row r="470" spans="1:21" x14ac:dyDescent="0.25">
      <c r="A470" s="25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5"/>
      <c r="M470" s="7"/>
      <c r="O470" s="3"/>
      <c r="P470" s="3" t="s">
        <v>1834</v>
      </c>
      <c r="Q470" s="3" t="s">
        <v>1835</v>
      </c>
      <c r="R470" s="3" t="s">
        <v>14</v>
      </c>
      <c r="S470" s="3" t="s">
        <v>1836</v>
      </c>
      <c r="T470" s="3" t="s">
        <v>32</v>
      </c>
      <c r="U470" s="3"/>
    </row>
    <row r="471" spans="1:21" x14ac:dyDescent="0.25">
      <c r="A471" s="25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5"/>
      <c r="M471" s="7"/>
      <c r="O471" s="3"/>
      <c r="P471" s="3" t="s">
        <v>863</v>
      </c>
      <c r="Q471" s="3" t="s">
        <v>864</v>
      </c>
      <c r="R471" s="3" t="s">
        <v>14</v>
      </c>
      <c r="S471" s="3" t="s">
        <v>865</v>
      </c>
      <c r="T471" s="3" t="s">
        <v>32</v>
      </c>
      <c r="U471" s="3"/>
    </row>
    <row r="472" spans="1:21" x14ac:dyDescent="0.25">
      <c r="A472" s="25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5"/>
      <c r="M472" s="7"/>
      <c r="O472" s="3"/>
      <c r="P472" s="3" t="s">
        <v>866</v>
      </c>
      <c r="Q472" s="3" t="s">
        <v>867</v>
      </c>
      <c r="R472" s="3" t="s">
        <v>0</v>
      </c>
      <c r="S472" s="3" t="s">
        <v>868</v>
      </c>
      <c r="T472" s="3" t="s">
        <v>39</v>
      </c>
      <c r="U472" s="3"/>
    </row>
    <row r="473" spans="1:21" x14ac:dyDescent="0.25">
      <c r="A473" s="25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5"/>
      <c r="M473" s="7"/>
      <c r="O473" s="3"/>
      <c r="P473" s="3" t="s">
        <v>869</v>
      </c>
      <c r="Q473" s="3" t="s">
        <v>870</v>
      </c>
      <c r="R473" s="3" t="s">
        <v>0</v>
      </c>
      <c r="S473" s="3" t="s">
        <v>871</v>
      </c>
      <c r="T473" s="3" t="s">
        <v>872</v>
      </c>
      <c r="U473" s="3"/>
    </row>
    <row r="474" spans="1:21" x14ac:dyDescent="0.25">
      <c r="A474" s="25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5"/>
      <c r="M474" s="7"/>
      <c r="O474" s="3"/>
      <c r="P474" s="3" t="s">
        <v>873</v>
      </c>
      <c r="Q474" s="3" t="s">
        <v>874</v>
      </c>
      <c r="R474" s="3" t="s">
        <v>0</v>
      </c>
      <c r="S474" s="3" t="s">
        <v>875</v>
      </c>
      <c r="T474" s="3" t="s">
        <v>876</v>
      </c>
      <c r="U474" s="3"/>
    </row>
    <row r="475" spans="1:21" ht="15.75" thickBot="1" x14ac:dyDescent="0.3">
      <c r="A475" s="252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118"/>
      <c r="M475" s="7"/>
      <c r="O475" s="3"/>
      <c r="P475" s="3" t="s">
        <v>2472</v>
      </c>
      <c r="Q475" s="3" t="s">
        <v>2473</v>
      </c>
      <c r="R475" s="3" t="s">
        <v>0</v>
      </c>
      <c r="S475" s="3" t="s">
        <v>2486</v>
      </c>
      <c r="T475" s="3" t="s">
        <v>2487</v>
      </c>
      <c r="U475" s="3"/>
    </row>
    <row r="476" spans="1:21" x14ac:dyDescent="0.25">
      <c r="A476" s="220"/>
      <c r="B476" s="3"/>
      <c r="C476" s="3"/>
      <c r="D476" s="3"/>
      <c r="E476" s="3"/>
      <c r="F476" s="3"/>
      <c r="G476" s="3"/>
      <c r="H476" s="199"/>
      <c r="I476" s="199"/>
      <c r="J476" s="199"/>
      <c r="K476" s="199"/>
      <c r="L476" s="106"/>
      <c r="M476" s="7"/>
      <c r="O476" s="3"/>
      <c r="P476" s="3" t="s">
        <v>877</v>
      </c>
      <c r="Q476" s="3" t="s">
        <v>878</v>
      </c>
      <c r="R476" s="3" t="s">
        <v>0</v>
      </c>
      <c r="S476" s="3" t="s">
        <v>879</v>
      </c>
      <c r="T476" s="3" t="s">
        <v>880</v>
      </c>
      <c r="U476" s="3"/>
    </row>
    <row r="477" spans="1:21" x14ac:dyDescent="0.25">
      <c r="A477" s="220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5"/>
      <c r="M477" s="7"/>
      <c r="O477" s="3"/>
      <c r="P477" s="3" t="s">
        <v>2198</v>
      </c>
      <c r="Q477" s="3" t="s">
        <v>2199</v>
      </c>
      <c r="R477" s="3" t="s">
        <v>0</v>
      </c>
      <c r="S477" s="3" t="s">
        <v>2200</v>
      </c>
      <c r="T477" s="3" t="s">
        <v>0</v>
      </c>
      <c r="U477" s="3"/>
    </row>
    <row r="478" spans="1:21" x14ac:dyDescent="0.25">
      <c r="A478" s="220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5"/>
      <c r="M478" s="7"/>
      <c r="O478" s="3"/>
      <c r="P478" s="3" t="s">
        <v>1837</v>
      </c>
      <c r="Q478" s="3" t="s">
        <v>1838</v>
      </c>
      <c r="R478" s="3" t="s">
        <v>0</v>
      </c>
      <c r="S478" s="3" t="s">
        <v>1839</v>
      </c>
      <c r="T478" s="3" t="s">
        <v>33</v>
      </c>
      <c r="U478" s="3"/>
    </row>
    <row r="479" spans="1:21" x14ac:dyDescent="0.25">
      <c r="A479" s="220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5"/>
      <c r="M479" s="7"/>
      <c r="O479" s="3"/>
      <c r="P479" s="3" t="s">
        <v>1840</v>
      </c>
      <c r="Q479" s="3" t="s">
        <v>1841</v>
      </c>
      <c r="R479" s="3" t="s">
        <v>0</v>
      </c>
      <c r="S479" s="3" t="s">
        <v>1842</v>
      </c>
      <c r="T479" s="3" t="s">
        <v>34</v>
      </c>
      <c r="U479" s="3"/>
    </row>
    <row r="480" spans="1:21" x14ac:dyDescent="0.25">
      <c r="A480" s="220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5"/>
      <c r="M480" s="7"/>
      <c r="O480" s="3"/>
      <c r="P480" s="3" t="s">
        <v>885</v>
      </c>
      <c r="Q480" s="3" t="s">
        <v>886</v>
      </c>
      <c r="R480" s="3" t="s">
        <v>0</v>
      </c>
      <c r="S480" s="3" t="s">
        <v>887</v>
      </c>
      <c r="T480" s="3" t="s">
        <v>33</v>
      </c>
      <c r="U480" s="3"/>
    </row>
    <row r="481" spans="1:21" x14ac:dyDescent="0.25">
      <c r="A481" s="220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5"/>
      <c r="M481" s="7"/>
      <c r="O481" s="3"/>
      <c r="P481" s="3" t="s">
        <v>1843</v>
      </c>
      <c r="Q481" s="3" t="s">
        <v>1844</v>
      </c>
      <c r="R481" s="3" t="s">
        <v>0</v>
      </c>
      <c r="S481" s="3" t="s">
        <v>1845</v>
      </c>
      <c r="T481" s="3" t="s">
        <v>39</v>
      </c>
      <c r="U481" s="3"/>
    </row>
    <row r="482" spans="1:21" x14ac:dyDescent="0.25">
      <c r="A482" s="220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5"/>
      <c r="M482" s="7"/>
      <c r="O482" s="3"/>
      <c r="P482" s="3" t="s">
        <v>2201</v>
      </c>
      <c r="Q482" s="3" t="s">
        <v>2202</v>
      </c>
      <c r="R482" s="3" t="s">
        <v>0</v>
      </c>
      <c r="S482" s="3" t="s">
        <v>2203</v>
      </c>
      <c r="T482" s="3" t="s">
        <v>888</v>
      </c>
      <c r="U482" s="3"/>
    </row>
    <row r="483" spans="1:21" x14ac:dyDescent="0.25">
      <c r="A483" s="220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5"/>
      <c r="M483" s="7"/>
      <c r="O483" s="3"/>
      <c r="P483" s="3" t="s">
        <v>2430</v>
      </c>
      <c r="Q483" s="3" t="s">
        <v>2431</v>
      </c>
      <c r="R483" s="3" t="s">
        <v>0</v>
      </c>
      <c r="S483" s="3" t="s">
        <v>2438</v>
      </c>
      <c r="T483" s="3" t="s">
        <v>2421</v>
      </c>
      <c r="U483" s="3"/>
    </row>
    <row r="484" spans="1:21" x14ac:dyDescent="0.25">
      <c r="A484" s="220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5"/>
      <c r="M484" s="7"/>
      <c r="O484" s="3"/>
      <c r="P484" s="3" t="s">
        <v>1846</v>
      </c>
      <c r="Q484" s="3" t="s">
        <v>1847</v>
      </c>
      <c r="R484" s="3" t="s">
        <v>0</v>
      </c>
      <c r="S484" s="3" t="s">
        <v>1848</v>
      </c>
      <c r="T484" s="3" t="s">
        <v>39</v>
      </c>
      <c r="U484" s="3"/>
    </row>
    <row r="485" spans="1:21" x14ac:dyDescent="0.25">
      <c r="A485" s="220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5"/>
      <c r="M485" s="7"/>
      <c r="O485" s="3"/>
      <c r="P485" s="3" t="s">
        <v>1849</v>
      </c>
      <c r="Q485" s="3" t="s">
        <v>1850</v>
      </c>
      <c r="R485" s="3" t="s">
        <v>0</v>
      </c>
      <c r="S485" s="3" t="s">
        <v>1851</v>
      </c>
      <c r="T485" s="3" t="s">
        <v>34</v>
      </c>
      <c r="U485" s="3"/>
    </row>
    <row r="486" spans="1:21" x14ac:dyDescent="0.25">
      <c r="A486" s="220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5"/>
      <c r="M486" s="7"/>
      <c r="O486" s="3"/>
      <c r="P486" s="3" t="s">
        <v>889</v>
      </c>
      <c r="Q486" s="3" t="s">
        <v>890</v>
      </c>
      <c r="R486" s="3" t="s">
        <v>0</v>
      </c>
      <c r="S486" s="3" t="s">
        <v>891</v>
      </c>
      <c r="T486" s="3" t="s">
        <v>892</v>
      </c>
      <c r="U486" s="3"/>
    </row>
    <row r="487" spans="1:21" x14ac:dyDescent="0.25">
      <c r="A487" s="220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5"/>
      <c r="M487" s="7"/>
      <c r="O487" s="3"/>
      <c r="P487" s="3" t="s">
        <v>1852</v>
      </c>
      <c r="Q487" s="3" t="s">
        <v>1853</v>
      </c>
      <c r="R487" s="3" t="s">
        <v>0</v>
      </c>
      <c r="S487" s="3" t="s">
        <v>1854</v>
      </c>
      <c r="T487" s="3" t="s">
        <v>884</v>
      </c>
      <c r="U487" s="3"/>
    </row>
    <row r="488" spans="1:21" x14ac:dyDescent="0.25">
      <c r="A488" s="220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5"/>
      <c r="M488" s="7"/>
      <c r="O488" s="3"/>
      <c r="P488" s="3" t="s">
        <v>893</v>
      </c>
      <c r="Q488" s="3" t="s">
        <v>894</v>
      </c>
      <c r="R488" s="3" t="s">
        <v>0</v>
      </c>
      <c r="S488" s="3" t="s">
        <v>895</v>
      </c>
      <c r="T488" s="3" t="s">
        <v>896</v>
      </c>
      <c r="U488" s="3"/>
    </row>
    <row r="489" spans="1:21" x14ac:dyDescent="0.25">
      <c r="A489" s="220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5"/>
      <c r="M489" s="7"/>
      <c r="O489" s="3"/>
      <c r="P489" s="3" t="s">
        <v>897</v>
      </c>
      <c r="Q489" s="3" t="s">
        <v>898</v>
      </c>
      <c r="R489" s="3" t="s">
        <v>0</v>
      </c>
      <c r="S489" s="3" t="s">
        <v>899</v>
      </c>
      <c r="T489" s="3" t="s">
        <v>900</v>
      </c>
      <c r="U489" s="3"/>
    </row>
    <row r="490" spans="1:21" x14ac:dyDescent="0.25">
      <c r="A490" s="220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5"/>
      <c r="M490" s="7"/>
      <c r="O490" s="3"/>
      <c r="P490" s="3" t="s">
        <v>901</v>
      </c>
      <c r="Q490" s="3" t="s">
        <v>902</v>
      </c>
      <c r="R490" s="3" t="s">
        <v>0</v>
      </c>
      <c r="S490" s="3" t="s">
        <v>903</v>
      </c>
      <c r="T490" s="3" t="s">
        <v>904</v>
      </c>
      <c r="U490" s="3"/>
    </row>
    <row r="491" spans="1:21" x14ac:dyDescent="0.25">
      <c r="A491" s="220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5"/>
      <c r="M491" s="7"/>
      <c r="O491" s="3"/>
      <c r="P491" s="3" t="s">
        <v>2204</v>
      </c>
      <c r="Q491" s="3" t="s">
        <v>2205</v>
      </c>
      <c r="R491" s="3" t="s">
        <v>0</v>
      </c>
      <c r="S491" s="3" t="s">
        <v>2206</v>
      </c>
      <c r="T491" s="3" t="s">
        <v>33</v>
      </c>
      <c r="U491" s="3"/>
    </row>
    <row r="492" spans="1:21" x14ac:dyDescent="0.25">
      <c r="A492" s="220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5"/>
      <c r="M492" s="7"/>
      <c r="O492" s="3"/>
      <c r="P492" s="3" t="s">
        <v>905</v>
      </c>
      <c r="Q492" s="3" t="s">
        <v>906</v>
      </c>
      <c r="R492" s="3" t="s">
        <v>0</v>
      </c>
      <c r="S492" s="3" t="s">
        <v>907</v>
      </c>
      <c r="T492" s="3" t="s">
        <v>33</v>
      </c>
      <c r="U492" s="3"/>
    </row>
    <row r="493" spans="1:21" x14ac:dyDescent="0.25">
      <c r="A493" s="220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5"/>
      <c r="M493" s="7"/>
      <c r="O493" s="3"/>
      <c r="P493" s="3" t="s">
        <v>1855</v>
      </c>
      <c r="Q493" s="3" t="s">
        <v>2508</v>
      </c>
      <c r="R493" s="3" t="s">
        <v>0</v>
      </c>
      <c r="S493" s="3" t="s">
        <v>1856</v>
      </c>
      <c r="T493" s="3" t="s">
        <v>39</v>
      </c>
      <c r="U493" s="3"/>
    </row>
    <row r="494" spans="1:21" x14ac:dyDescent="0.25">
      <c r="A494" s="220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5"/>
      <c r="M494" s="7"/>
      <c r="O494" s="3"/>
      <c r="P494" s="3" t="s">
        <v>908</v>
      </c>
      <c r="Q494" s="3" t="s">
        <v>909</v>
      </c>
      <c r="R494" s="3" t="s">
        <v>0</v>
      </c>
      <c r="S494" s="3" t="s">
        <v>910</v>
      </c>
      <c r="T494" s="3" t="s">
        <v>39</v>
      </c>
      <c r="U494" s="3"/>
    </row>
    <row r="495" spans="1:21" x14ac:dyDescent="0.25">
      <c r="A495" s="220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5"/>
      <c r="M495" s="7"/>
      <c r="O495" s="3"/>
      <c r="P495" s="3" t="s">
        <v>2207</v>
      </c>
      <c r="Q495" s="3" t="s">
        <v>2208</v>
      </c>
      <c r="R495" s="3" t="s">
        <v>0</v>
      </c>
      <c r="S495" s="3" t="s">
        <v>2209</v>
      </c>
      <c r="T495" s="3" t="s">
        <v>911</v>
      </c>
      <c r="U495" s="3"/>
    </row>
    <row r="496" spans="1:21" x14ac:dyDescent="0.25">
      <c r="A496" s="220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5"/>
      <c r="M496" s="7"/>
      <c r="O496" s="3"/>
      <c r="P496" s="3" t="s">
        <v>912</v>
      </c>
      <c r="Q496" s="3" t="s">
        <v>913</v>
      </c>
      <c r="R496" s="3" t="s">
        <v>0</v>
      </c>
      <c r="S496" s="3" t="s">
        <v>914</v>
      </c>
      <c r="T496" s="3" t="s">
        <v>915</v>
      </c>
      <c r="U496" s="3"/>
    </row>
    <row r="497" spans="1:21" x14ac:dyDescent="0.25">
      <c r="A497" s="220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5"/>
      <c r="M497" s="7"/>
      <c r="O497" s="3"/>
      <c r="P497" s="3" t="s">
        <v>2474</v>
      </c>
      <c r="Q497" s="3" t="s">
        <v>2475</v>
      </c>
      <c r="R497" s="3" t="s">
        <v>0</v>
      </c>
      <c r="S497" s="3" t="s">
        <v>914</v>
      </c>
      <c r="T497" s="3" t="s">
        <v>2488</v>
      </c>
      <c r="U497" s="3"/>
    </row>
    <row r="498" spans="1:21" x14ac:dyDescent="0.25">
      <c r="A498" s="220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5"/>
      <c r="M498" s="7"/>
      <c r="O498" s="3"/>
      <c r="P498" s="3" t="s">
        <v>916</v>
      </c>
      <c r="Q498" s="3" t="s">
        <v>917</v>
      </c>
      <c r="R498" s="3" t="s">
        <v>0</v>
      </c>
      <c r="S498" s="3" t="s">
        <v>918</v>
      </c>
      <c r="T498" s="3" t="s">
        <v>896</v>
      </c>
      <c r="U498" s="3"/>
    </row>
    <row r="499" spans="1:21" x14ac:dyDescent="0.25">
      <c r="A499" s="220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5"/>
      <c r="M499" s="7"/>
      <c r="O499" s="3"/>
      <c r="P499" s="3" t="s">
        <v>1857</v>
      </c>
      <c r="Q499" s="3" t="s">
        <v>1858</v>
      </c>
      <c r="R499" s="3" t="s">
        <v>0</v>
      </c>
      <c r="S499" s="3" t="s">
        <v>1859</v>
      </c>
      <c r="T499" s="3" t="s">
        <v>1860</v>
      </c>
      <c r="U499" s="3"/>
    </row>
    <row r="500" spans="1:21" x14ac:dyDescent="0.25">
      <c r="A500" s="220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5"/>
      <c r="M500" s="7"/>
      <c r="O500" s="3"/>
      <c r="P500" s="3" t="s">
        <v>919</v>
      </c>
      <c r="Q500" s="3" t="s">
        <v>920</v>
      </c>
      <c r="R500" s="3" t="s">
        <v>0</v>
      </c>
      <c r="S500" s="3" t="s">
        <v>921</v>
      </c>
      <c r="T500" s="3" t="s">
        <v>39</v>
      </c>
      <c r="U500" s="3"/>
    </row>
    <row r="501" spans="1:21" x14ac:dyDescent="0.25">
      <c r="A501" s="220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5"/>
      <c r="M501" s="7"/>
      <c r="O501" s="3"/>
      <c r="P501" s="3" t="s">
        <v>2210</v>
      </c>
      <c r="Q501" s="3" t="s">
        <v>2211</v>
      </c>
      <c r="R501" s="3" t="s">
        <v>0</v>
      </c>
      <c r="S501" s="3" t="s">
        <v>2212</v>
      </c>
      <c r="T501" s="3" t="s">
        <v>33</v>
      </c>
      <c r="U501" s="3"/>
    </row>
    <row r="502" spans="1:21" x14ac:dyDescent="0.25">
      <c r="A502" s="220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5"/>
      <c r="M502" s="7"/>
      <c r="O502" s="3"/>
      <c r="P502" s="3" t="s">
        <v>922</v>
      </c>
      <c r="Q502" s="3" t="s">
        <v>923</v>
      </c>
      <c r="R502" s="3" t="s">
        <v>0</v>
      </c>
      <c r="S502" s="3" t="s">
        <v>924</v>
      </c>
      <c r="T502" s="3" t="s">
        <v>925</v>
      </c>
      <c r="U502" s="3"/>
    </row>
    <row r="503" spans="1:21" x14ac:dyDescent="0.25">
      <c r="A503" s="220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5"/>
      <c r="M503" s="7"/>
      <c r="O503" s="3"/>
      <c r="P503" s="3" t="s">
        <v>926</v>
      </c>
      <c r="Q503" s="3" t="s">
        <v>927</v>
      </c>
      <c r="R503" s="3" t="s">
        <v>0</v>
      </c>
      <c r="S503" s="3" t="s">
        <v>387</v>
      </c>
      <c r="T503" s="3" t="s">
        <v>39</v>
      </c>
      <c r="U503" s="3"/>
    </row>
    <row r="504" spans="1:21" x14ac:dyDescent="0.25">
      <c r="A504" s="220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5"/>
      <c r="M504" s="7"/>
      <c r="O504" s="3"/>
      <c r="P504" s="3" t="s">
        <v>2213</v>
      </c>
      <c r="Q504" s="3" t="s">
        <v>2214</v>
      </c>
      <c r="R504" s="3" t="s">
        <v>0</v>
      </c>
      <c r="S504" s="3" t="s">
        <v>2215</v>
      </c>
      <c r="T504" s="3" t="s">
        <v>86</v>
      </c>
      <c r="U504" s="3"/>
    </row>
    <row r="505" spans="1:21" x14ac:dyDescent="0.25">
      <c r="A505" s="220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5"/>
      <c r="M505" s="7"/>
      <c r="O505" s="3"/>
      <c r="P505" s="3" t="s">
        <v>1861</v>
      </c>
      <c r="Q505" s="3" t="s">
        <v>1862</v>
      </c>
      <c r="R505" s="3" t="s">
        <v>0</v>
      </c>
      <c r="S505" s="3" t="s">
        <v>1863</v>
      </c>
      <c r="T505" s="3" t="s">
        <v>86</v>
      </c>
      <c r="U505" s="3"/>
    </row>
    <row r="506" spans="1:21" x14ac:dyDescent="0.25">
      <c r="A506" s="220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5"/>
      <c r="M506" s="7"/>
      <c r="O506" s="3"/>
      <c r="P506" s="3" t="s">
        <v>928</v>
      </c>
      <c r="Q506" s="3" t="s">
        <v>929</v>
      </c>
      <c r="R506" s="3" t="s">
        <v>0</v>
      </c>
      <c r="S506" s="3" t="s">
        <v>930</v>
      </c>
      <c r="T506" s="3" t="s">
        <v>86</v>
      </c>
      <c r="U506" s="3"/>
    </row>
    <row r="507" spans="1:21" x14ac:dyDescent="0.25">
      <c r="A507" s="220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5"/>
      <c r="M507" s="7"/>
      <c r="O507" s="3"/>
      <c r="P507" s="3" t="s">
        <v>931</v>
      </c>
      <c r="Q507" s="3" t="s">
        <v>932</v>
      </c>
      <c r="R507" s="3" t="s">
        <v>0</v>
      </c>
      <c r="S507" s="3" t="s">
        <v>933</v>
      </c>
      <c r="T507" s="3" t="s">
        <v>86</v>
      </c>
      <c r="U507" s="3"/>
    </row>
    <row r="508" spans="1:21" x14ac:dyDescent="0.25">
      <c r="A508" s="220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5"/>
      <c r="M508" s="7"/>
      <c r="O508" s="3"/>
      <c r="P508" s="3" t="s">
        <v>1398</v>
      </c>
      <c r="Q508" s="3" t="s">
        <v>1399</v>
      </c>
      <c r="R508" s="3" t="s">
        <v>0</v>
      </c>
      <c r="S508" s="3" t="s">
        <v>1400</v>
      </c>
      <c r="T508" s="3" t="s">
        <v>1864</v>
      </c>
      <c r="U508" s="3"/>
    </row>
    <row r="509" spans="1:21" x14ac:dyDescent="0.25">
      <c r="A509" s="220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5"/>
      <c r="M509" s="7"/>
      <c r="O509" s="3"/>
      <c r="P509" s="3" t="s">
        <v>1865</v>
      </c>
      <c r="Q509" s="3" t="s">
        <v>1866</v>
      </c>
      <c r="R509" s="3" t="s">
        <v>0</v>
      </c>
      <c r="S509" s="3" t="s">
        <v>1867</v>
      </c>
      <c r="T509" s="3" t="s">
        <v>1868</v>
      </c>
      <c r="U509" s="3"/>
    </row>
    <row r="510" spans="1:21" x14ac:dyDescent="0.25">
      <c r="A510" s="220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5"/>
      <c r="M510" s="7"/>
      <c r="O510" s="3"/>
      <c r="P510" s="3" t="s">
        <v>934</v>
      </c>
      <c r="Q510" s="3" t="s">
        <v>935</v>
      </c>
      <c r="R510" s="3" t="s">
        <v>0</v>
      </c>
      <c r="S510" s="3" t="s">
        <v>936</v>
      </c>
      <c r="T510" s="3" t="s">
        <v>937</v>
      </c>
      <c r="U510" s="3"/>
    </row>
    <row r="511" spans="1:21" x14ac:dyDescent="0.25">
      <c r="A511" s="220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5"/>
      <c r="M511" s="7"/>
      <c r="O511" s="3"/>
      <c r="P511" s="3" t="s">
        <v>938</v>
      </c>
      <c r="Q511" s="3" t="s">
        <v>939</v>
      </c>
      <c r="R511" s="3" t="s">
        <v>0</v>
      </c>
      <c r="S511" s="3" t="s">
        <v>940</v>
      </c>
      <c r="T511" s="3" t="s">
        <v>941</v>
      </c>
      <c r="U511" s="3"/>
    </row>
    <row r="512" spans="1:21" x14ac:dyDescent="0.25">
      <c r="A512" s="220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5"/>
      <c r="M512" s="7"/>
      <c r="O512" s="3"/>
      <c r="P512" s="3" t="s">
        <v>1869</v>
      </c>
      <c r="Q512" s="3" t="s">
        <v>1870</v>
      </c>
      <c r="R512" s="3" t="s">
        <v>0</v>
      </c>
      <c r="S512" s="3" t="s">
        <v>1871</v>
      </c>
      <c r="T512" s="3" t="s">
        <v>34</v>
      </c>
      <c r="U512" s="3"/>
    </row>
    <row r="513" spans="1:21" x14ac:dyDescent="0.25">
      <c r="A513" s="220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5"/>
      <c r="M513" s="7"/>
      <c r="O513" s="3"/>
      <c r="P513" s="3" t="s">
        <v>942</v>
      </c>
      <c r="Q513" s="3" t="s">
        <v>943</v>
      </c>
      <c r="R513" s="3" t="s">
        <v>0</v>
      </c>
      <c r="S513" s="3" t="s">
        <v>944</v>
      </c>
      <c r="T513" s="3" t="s">
        <v>39</v>
      </c>
      <c r="U513" s="3"/>
    </row>
    <row r="514" spans="1:21" x14ac:dyDescent="0.25">
      <c r="A514" s="220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5"/>
      <c r="M514" s="7"/>
      <c r="O514" s="3"/>
      <c r="P514" s="3" t="s">
        <v>945</v>
      </c>
      <c r="Q514" s="3" t="s">
        <v>946</v>
      </c>
      <c r="R514" s="3" t="s">
        <v>0</v>
      </c>
      <c r="S514" s="3" t="s">
        <v>947</v>
      </c>
      <c r="T514" s="3" t="s">
        <v>948</v>
      </c>
      <c r="U514" s="3"/>
    </row>
    <row r="515" spans="1:21" x14ac:dyDescent="0.25">
      <c r="A515" s="220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5"/>
      <c r="M515" s="7"/>
      <c r="O515" s="3"/>
      <c r="P515" s="3" t="s">
        <v>949</v>
      </c>
      <c r="Q515" s="3" t="s">
        <v>950</v>
      </c>
      <c r="R515" s="3" t="s">
        <v>0</v>
      </c>
      <c r="S515" s="3" t="s">
        <v>951</v>
      </c>
      <c r="T515" s="3" t="s">
        <v>948</v>
      </c>
      <c r="U515" s="3"/>
    </row>
    <row r="516" spans="1:21" x14ac:dyDescent="0.25">
      <c r="A516" s="220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5"/>
      <c r="M516" s="7"/>
      <c r="O516" s="3"/>
      <c r="P516" s="3" t="s">
        <v>952</v>
      </c>
      <c r="Q516" s="3" t="s">
        <v>953</v>
      </c>
      <c r="R516" s="3" t="s">
        <v>0</v>
      </c>
      <c r="S516" s="3" t="s">
        <v>954</v>
      </c>
      <c r="T516" s="3" t="s">
        <v>955</v>
      </c>
      <c r="U516" s="3"/>
    </row>
    <row r="517" spans="1:21" x14ac:dyDescent="0.25">
      <c r="A517" s="220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5"/>
      <c r="M517" s="7"/>
      <c r="O517" s="3"/>
      <c r="P517" s="3" t="s">
        <v>2410</v>
      </c>
      <c r="Q517" s="3" t="s">
        <v>2411</v>
      </c>
      <c r="R517" s="3" t="s">
        <v>0</v>
      </c>
      <c r="S517" s="3" t="s">
        <v>2418</v>
      </c>
      <c r="T517" s="3" t="s">
        <v>994</v>
      </c>
      <c r="U517" s="3"/>
    </row>
    <row r="518" spans="1:21" x14ac:dyDescent="0.25">
      <c r="A518" s="220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5"/>
      <c r="M518" s="7"/>
      <c r="O518" s="3"/>
      <c r="P518" s="3" t="s">
        <v>1872</v>
      </c>
      <c r="Q518" s="3" t="s">
        <v>1873</v>
      </c>
      <c r="R518" s="3" t="s">
        <v>0</v>
      </c>
      <c r="S518" s="3" t="s">
        <v>1874</v>
      </c>
      <c r="T518" s="3" t="s">
        <v>948</v>
      </c>
      <c r="U518" s="3"/>
    </row>
    <row r="519" spans="1:21" x14ac:dyDescent="0.25">
      <c r="A519" s="220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5"/>
      <c r="M519" s="7"/>
      <c r="O519" s="3"/>
      <c r="P519" s="3" t="s">
        <v>956</v>
      </c>
      <c r="Q519" s="3" t="s">
        <v>957</v>
      </c>
      <c r="R519" s="3" t="s">
        <v>0</v>
      </c>
      <c r="S519" s="3" t="s">
        <v>958</v>
      </c>
      <c r="T519" s="3" t="s">
        <v>86</v>
      </c>
      <c r="U519" s="3"/>
    </row>
    <row r="520" spans="1:21" x14ac:dyDescent="0.25">
      <c r="A520" s="220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5"/>
      <c r="M520" s="7"/>
      <c r="O520" s="3"/>
      <c r="P520" s="3" t="s">
        <v>959</v>
      </c>
      <c r="Q520" s="3" t="s">
        <v>960</v>
      </c>
      <c r="R520" s="3" t="s">
        <v>0</v>
      </c>
      <c r="S520" s="3" t="s">
        <v>961</v>
      </c>
      <c r="T520" s="3" t="s">
        <v>39</v>
      </c>
      <c r="U520" s="3"/>
    </row>
    <row r="521" spans="1:21" x14ac:dyDescent="0.25">
      <c r="A521" s="220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5"/>
      <c r="M521" s="7"/>
      <c r="O521" s="3"/>
      <c r="P521" s="3" t="s">
        <v>2216</v>
      </c>
      <c r="Q521" s="3" t="s">
        <v>2217</v>
      </c>
      <c r="R521" s="3" t="s">
        <v>0</v>
      </c>
      <c r="S521" s="3" t="s">
        <v>2218</v>
      </c>
      <c r="T521" s="3" t="s">
        <v>34</v>
      </c>
      <c r="U521" s="3"/>
    </row>
    <row r="522" spans="1:21" x14ac:dyDescent="0.25">
      <c r="A522" s="220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5"/>
      <c r="M522" s="7"/>
      <c r="O522" s="3"/>
      <c r="P522" s="3" t="s">
        <v>1875</v>
      </c>
      <c r="Q522" s="3" t="s">
        <v>1876</v>
      </c>
      <c r="R522" s="3" t="s">
        <v>0</v>
      </c>
      <c r="S522" s="3" t="s">
        <v>1877</v>
      </c>
      <c r="T522" s="3" t="s">
        <v>1878</v>
      </c>
      <c r="U522" s="3"/>
    </row>
    <row r="523" spans="1:21" x14ac:dyDescent="0.25">
      <c r="A523" s="220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5"/>
      <c r="M523" s="7"/>
      <c r="O523" s="3"/>
      <c r="P523" s="3" t="s">
        <v>2219</v>
      </c>
      <c r="Q523" s="3" t="s">
        <v>2220</v>
      </c>
      <c r="R523" s="3" t="s">
        <v>0</v>
      </c>
      <c r="S523" s="3" t="s">
        <v>2221</v>
      </c>
      <c r="T523" s="3" t="s">
        <v>86</v>
      </c>
      <c r="U523" s="3"/>
    </row>
    <row r="524" spans="1:21" x14ac:dyDescent="0.25">
      <c r="A524" s="220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5"/>
      <c r="M524" s="7"/>
      <c r="O524" s="3"/>
      <c r="P524" s="3" t="s">
        <v>962</v>
      </c>
      <c r="Q524" s="3" t="s">
        <v>963</v>
      </c>
      <c r="R524" s="3" t="s">
        <v>0</v>
      </c>
      <c r="S524" s="3" t="s">
        <v>964</v>
      </c>
      <c r="T524" s="3" t="s">
        <v>34</v>
      </c>
      <c r="U524" s="3"/>
    </row>
    <row r="525" spans="1:21" x14ac:dyDescent="0.25">
      <c r="A525" s="220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5"/>
      <c r="M525" s="7"/>
      <c r="O525" s="3"/>
      <c r="P525" s="3" t="s">
        <v>2222</v>
      </c>
      <c r="Q525" s="3" t="s">
        <v>2223</v>
      </c>
      <c r="R525" s="3" t="s">
        <v>0</v>
      </c>
      <c r="S525" s="3" t="s">
        <v>2224</v>
      </c>
      <c r="T525" s="3" t="s">
        <v>0</v>
      </c>
      <c r="U525" s="3"/>
    </row>
    <row r="526" spans="1:21" x14ac:dyDescent="0.25">
      <c r="A526" s="220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5"/>
      <c r="M526" s="7"/>
      <c r="O526" s="3"/>
      <c r="P526" s="3" t="s">
        <v>2225</v>
      </c>
      <c r="Q526" s="3" t="s">
        <v>2226</v>
      </c>
      <c r="R526" s="3" t="s">
        <v>0</v>
      </c>
      <c r="S526" s="3" t="s">
        <v>2227</v>
      </c>
      <c r="T526" s="3" t="s">
        <v>38</v>
      </c>
      <c r="U526" s="3"/>
    </row>
    <row r="527" spans="1:21" x14ac:dyDescent="0.25">
      <c r="A527" s="220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5"/>
      <c r="M527" s="7"/>
      <c r="O527" s="3"/>
      <c r="P527" s="3" t="s">
        <v>2228</v>
      </c>
      <c r="Q527" s="3" t="s">
        <v>2229</v>
      </c>
      <c r="R527" s="3" t="s">
        <v>0</v>
      </c>
      <c r="S527" s="3" t="s">
        <v>2230</v>
      </c>
      <c r="T527" s="3" t="s">
        <v>38</v>
      </c>
      <c r="U527" s="3"/>
    </row>
    <row r="528" spans="1:21" x14ac:dyDescent="0.25">
      <c r="A528" s="220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5"/>
      <c r="M528" s="7"/>
      <c r="O528" s="3"/>
      <c r="P528" s="3" t="s">
        <v>965</v>
      </c>
      <c r="Q528" s="3" t="s">
        <v>966</v>
      </c>
      <c r="R528" s="3" t="s">
        <v>0</v>
      </c>
      <c r="S528" s="3" t="s">
        <v>967</v>
      </c>
      <c r="T528" s="3" t="s">
        <v>968</v>
      </c>
      <c r="U528" s="3"/>
    </row>
    <row r="529" spans="1:21" x14ac:dyDescent="0.25">
      <c r="A529" s="220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5"/>
      <c r="M529" s="7"/>
      <c r="O529" s="3"/>
      <c r="P529" s="3" t="s">
        <v>969</v>
      </c>
      <c r="Q529" s="3" t="s">
        <v>970</v>
      </c>
      <c r="R529" s="3" t="s">
        <v>0</v>
      </c>
      <c r="S529" s="3" t="s">
        <v>971</v>
      </c>
      <c r="T529" s="3" t="s">
        <v>39</v>
      </c>
      <c r="U529" s="3"/>
    </row>
    <row r="530" spans="1:21" x14ac:dyDescent="0.25">
      <c r="A530" s="220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5"/>
      <c r="M530" s="7"/>
      <c r="O530" s="3"/>
      <c r="P530" s="3" t="s">
        <v>972</v>
      </c>
      <c r="Q530" s="3" t="s">
        <v>973</v>
      </c>
      <c r="R530" s="3" t="s">
        <v>0</v>
      </c>
      <c r="S530" s="3" t="s">
        <v>974</v>
      </c>
      <c r="T530" s="3" t="s">
        <v>86</v>
      </c>
      <c r="U530" s="3"/>
    </row>
    <row r="531" spans="1:21" x14ac:dyDescent="0.25">
      <c r="A531" s="220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5"/>
      <c r="M531" s="7"/>
      <c r="O531" s="3"/>
      <c r="P531" s="3" t="s">
        <v>975</v>
      </c>
      <c r="Q531" s="3" t="s">
        <v>976</v>
      </c>
      <c r="R531" s="3" t="s">
        <v>0</v>
      </c>
      <c r="S531" s="3" t="s">
        <v>977</v>
      </c>
      <c r="T531" s="3" t="s">
        <v>978</v>
      </c>
      <c r="U531" s="3"/>
    </row>
    <row r="532" spans="1:21" x14ac:dyDescent="0.25">
      <c r="A532" s="220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5"/>
      <c r="M532" s="7"/>
      <c r="O532" s="3"/>
      <c r="P532" s="3" t="s">
        <v>979</v>
      </c>
      <c r="Q532" s="3" t="s">
        <v>980</v>
      </c>
      <c r="R532" s="3" t="s">
        <v>0</v>
      </c>
      <c r="S532" s="3" t="s">
        <v>981</v>
      </c>
      <c r="T532" s="3" t="s">
        <v>86</v>
      </c>
      <c r="U532" s="3"/>
    </row>
    <row r="533" spans="1:21" x14ac:dyDescent="0.25">
      <c r="A533" s="220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5"/>
      <c r="M533" s="7"/>
      <c r="O533" s="3"/>
      <c r="P533" s="3" t="s">
        <v>1879</v>
      </c>
      <c r="Q533" s="3" t="s">
        <v>1880</v>
      </c>
      <c r="R533" s="3" t="s">
        <v>0</v>
      </c>
      <c r="S533" s="3" t="s">
        <v>1881</v>
      </c>
      <c r="T533" s="3" t="s">
        <v>896</v>
      </c>
      <c r="U533" s="3"/>
    </row>
    <row r="534" spans="1:21" x14ac:dyDescent="0.25">
      <c r="A534" s="220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5"/>
      <c r="M534" s="7"/>
      <c r="N534" t="s">
        <v>51</v>
      </c>
      <c r="O534" s="3"/>
      <c r="P534" s="3" t="s">
        <v>982</v>
      </c>
      <c r="Q534" s="3" t="s">
        <v>983</v>
      </c>
      <c r="R534" s="3" t="s">
        <v>0</v>
      </c>
      <c r="S534" s="3" t="s">
        <v>984</v>
      </c>
      <c r="T534" s="3" t="s">
        <v>86</v>
      </c>
      <c r="U534" s="3"/>
    </row>
    <row r="535" spans="1:21" x14ac:dyDescent="0.25">
      <c r="A535" s="220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5"/>
      <c r="M535" s="7"/>
      <c r="O535" s="3"/>
      <c r="P535" s="3" t="s">
        <v>2476</v>
      </c>
      <c r="Q535" s="3" t="s">
        <v>2477</v>
      </c>
      <c r="R535" s="3" t="s">
        <v>0</v>
      </c>
      <c r="S535" s="3" t="s">
        <v>2489</v>
      </c>
      <c r="T535" s="3" t="s">
        <v>2490</v>
      </c>
      <c r="U535" s="3"/>
    </row>
    <row r="536" spans="1:21" x14ac:dyDescent="0.25">
      <c r="A536" s="220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5"/>
      <c r="M536" s="7"/>
      <c r="O536" s="3"/>
      <c r="P536" s="3" t="s">
        <v>2231</v>
      </c>
      <c r="Q536" s="3" t="s">
        <v>2232</v>
      </c>
      <c r="R536" s="3" t="s">
        <v>0</v>
      </c>
      <c r="S536" s="3" t="s">
        <v>2233</v>
      </c>
      <c r="T536" s="3" t="s">
        <v>86</v>
      </c>
      <c r="U536" s="3"/>
    </row>
    <row r="537" spans="1:21" x14ac:dyDescent="0.25">
      <c r="A537" s="220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5"/>
      <c r="M537" s="7"/>
      <c r="O537" s="3"/>
      <c r="P537" s="3" t="s">
        <v>985</v>
      </c>
      <c r="Q537" s="3" t="s">
        <v>986</v>
      </c>
      <c r="R537" s="3" t="s">
        <v>0</v>
      </c>
      <c r="S537" s="3" t="s">
        <v>987</v>
      </c>
      <c r="T537" s="3" t="s">
        <v>86</v>
      </c>
      <c r="U537" s="3"/>
    </row>
    <row r="538" spans="1:21" x14ac:dyDescent="0.25">
      <c r="A538" s="220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5"/>
      <c r="M538" s="7"/>
      <c r="O538" s="3"/>
      <c r="P538" s="3" t="s">
        <v>1882</v>
      </c>
      <c r="Q538" s="3" t="s">
        <v>1883</v>
      </c>
      <c r="R538" s="3" t="s">
        <v>0</v>
      </c>
      <c r="S538" s="3" t="s">
        <v>1884</v>
      </c>
      <c r="T538" s="3" t="s">
        <v>1885</v>
      </c>
      <c r="U538" s="3"/>
    </row>
    <row r="539" spans="1:21" x14ac:dyDescent="0.25">
      <c r="A539" s="220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5"/>
      <c r="M539" s="7"/>
      <c r="O539" s="3"/>
      <c r="P539" s="3" t="s">
        <v>2234</v>
      </c>
      <c r="Q539" s="3" t="s">
        <v>2235</v>
      </c>
      <c r="R539" s="3" t="s">
        <v>0</v>
      </c>
      <c r="S539" s="3" t="s">
        <v>2236</v>
      </c>
      <c r="T539" s="3" t="s">
        <v>2237</v>
      </c>
      <c r="U539" s="3"/>
    </row>
    <row r="540" spans="1:21" x14ac:dyDescent="0.25">
      <c r="A540" s="220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5"/>
      <c r="M540" s="7"/>
      <c r="O540" s="3"/>
      <c r="P540" s="3" t="s">
        <v>988</v>
      </c>
      <c r="Q540" s="3" t="s">
        <v>989</v>
      </c>
      <c r="R540" s="3" t="s">
        <v>0</v>
      </c>
      <c r="S540" s="3" t="s">
        <v>990</v>
      </c>
      <c r="T540" s="3" t="s">
        <v>33</v>
      </c>
      <c r="U540" s="3"/>
    </row>
    <row r="541" spans="1:21" x14ac:dyDescent="0.25">
      <c r="A541" s="220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5"/>
      <c r="M541" s="7"/>
      <c r="O541" s="3"/>
      <c r="P541" s="3" t="s">
        <v>991</v>
      </c>
      <c r="Q541" s="3" t="s">
        <v>992</v>
      </c>
      <c r="R541" s="3" t="s">
        <v>0</v>
      </c>
      <c r="S541" s="3" t="s">
        <v>993</v>
      </c>
      <c r="T541" s="3" t="s">
        <v>994</v>
      </c>
      <c r="U541" s="3"/>
    </row>
    <row r="542" spans="1:21" x14ac:dyDescent="0.25">
      <c r="A542" s="220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5"/>
      <c r="M542" s="7"/>
      <c r="O542" s="3"/>
      <c r="P542" s="3" t="s">
        <v>995</v>
      </c>
      <c r="Q542" s="3" t="s">
        <v>996</v>
      </c>
      <c r="R542" s="3" t="s">
        <v>0</v>
      </c>
      <c r="S542" s="3" t="s">
        <v>997</v>
      </c>
      <c r="T542" s="3" t="s">
        <v>33</v>
      </c>
      <c r="U542" s="3"/>
    </row>
    <row r="543" spans="1:21" x14ac:dyDescent="0.25">
      <c r="A543" s="220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5"/>
      <c r="M543" s="7"/>
      <c r="O543" s="3"/>
      <c r="P543" s="3" t="s">
        <v>998</v>
      </c>
      <c r="Q543" s="3" t="s">
        <v>999</v>
      </c>
      <c r="R543" s="3" t="s">
        <v>0</v>
      </c>
      <c r="S543" s="3" t="s">
        <v>458</v>
      </c>
      <c r="T543" s="3" t="s">
        <v>39</v>
      </c>
      <c r="U543" s="3"/>
    </row>
    <row r="544" spans="1:21" x14ac:dyDescent="0.25">
      <c r="A544" s="220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5"/>
      <c r="M544" s="7"/>
      <c r="O544" s="3"/>
      <c r="P544" s="3" t="s">
        <v>1886</v>
      </c>
      <c r="Q544" s="3" t="s">
        <v>1887</v>
      </c>
      <c r="R544" s="3" t="s">
        <v>0</v>
      </c>
      <c r="S544" s="3" t="s">
        <v>1888</v>
      </c>
      <c r="T544" s="3" t="s">
        <v>39</v>
      </c>
      <c r="U544" s="3"/>
    </row>
    <row r="545" spans="1:21" x14ac:dyDescent="0.25">
      <c r="A545" s="220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5"/>
      <c r="M545" s="7"/>
      <c r="O545" s="3"/>
      <c r="P545" s="3" t="s">
        <v>1889</v>
      </c>
      <c r="Q545" s="3" t="s">
        <v>1890</v>
      </c>
      <c r="R545" s="3" t="s">
        <v>0</v>
      </c>
      <c r="S545" s="3" t="s">
        <v>1891</v>
      </c>
      <c r="T545" s="3" t="s">
        <v>994</v>
      </c>
      <c r="U545" s="3"/>
    </row>
    <row r="546" spans="1:21" x14ac:dyDescent="0.25">
      <c r="A546" s="220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5"/>
      <c r="M546" s="7"/>
      <c r="O546" s="3"/>
      <c r="P546" s="3" t="s">
        <v>1000</v>
      </c>
      <c r="Q546" s="3" t="s">
        <v>1001</v>
      </c>
      <c r="R546" s="3" t="s">
        <v>0</v>
      </c>
      <c r="S546" s="3" t="s">
        <v>1002</v>
      </c>
      <c r="T546" s="3" t="s">
        <v>38</v>
      </c>
      <c r="U546" s="3"/>
    </row>
    <row r="547" spans="1:21" x14ac:dyDescent="0.25">
      <c r="A547" s="220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5"/>
      <c r="M547" s="7"/>
      <c r="O547" s="3"/>
      <c r="P547" s="3" t="s">
        <v>2238</v>
      </c>
      <c r="Q547" s="3" t="s">
        <v>2239</v>
      </c>
      <c r="R547" s="3" t="s">
        <v>0</v>
      </c>
      <c r="S547" s="3" t="s">
        <v>2240</v>
      </c>
      <c r="T547" s="3" t="s">
        <v>86</v>
      </c>
      <c r="U547" s="3"/>
    </row>
    <row r="548" spans="1:21" x14ac:dyDescent="0.25">
      <c r="A548" s="220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5"/>
      <c r="M548" s="7"/>
      <c r="O548" s="3"/>
      <c r="P548" s="3" t="s">
        <v>1003</v>
      </c>
      <c r="Q548" s="3" t="s">
        <v>1004</v>
      </c>
      <c r="R548" s="3" t="s">
        <v>0</v>
      </c>
      <c r="S548" s="3" t="s">
        <v>1005</v>
      </c>
      <c r="T548" s="3" t="s">
        <v>86</v>
      </c>
      <c r="U548" s="3"/>
    </row>
    <row r="549" spans="1:21" x14ac:dyDescent="0.25">
      <c r="A549" s="220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5"/>
      <c r="M549" s="7"/>
      <c r="O549" s="3"/>
      <c r="P549" s="3" t="s">
        <v>1892</v>
      </c>
      <c r="Q549" s="3" t="s">
        <v>1893</v>
      </c>
      <c r="R549" s="3" t="s">
        <v>0</v>
      </c>
      <c r="S549" s="3" t="s">
        <v>1894</v>
      </c>
      <c r="T549" s="3" t="s">
        <v>34</v>
      </c>
      <c r="U549" s="3"/>
    </row>
    <row r="550" spans="1:21" x14ac:dyDescent="0.25">
      <c r="A550" s="220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5"/>
      <c r="M550" s="7"/>
      <c r="O550" s="3"/>
      <c r="P550" s="3" t="s">
        <v>1006</v>
      </c>
      <c r="Q550" s="3" t="s">
        <v>1007</v>
      </c>
      <c r="R550" s="3" t="s">
        <v>0</v>
      </c>
      <c r="S550" s="3" t="s">
        <v>1008</v>
      </c>
      <c r="T550" s="3" t="s">
        <v>86</v>
      </c>
      <c r="U550" s="3"/>
    </row>
    <row r="551" spans="1:21" x14ac:dyDescent="0.25">
      <c r="A551" s="220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5"/>
      <c r="M551" s="7"/>
      <c r="O551" s="3"/>
      <c r="P551" s="3" t="s">
        <v>1895</v>
      </c>
      <c r="Q551" s="3" t="s">
        <v>1896</v>
      </c>
      <c r="R551" s="3" t="s">
        <v>0</v>
      </c>
      <c r="S551" s="3" t="s">
        <v>1897</v>
      </c>
      <c r="T551" s="3" t="s">
        <v>911</v>
      </c>
      <c r="U551" s="3"/>
    </row>
    <row r="552" spans="1:21" x14ac:dyDescent="0.25">
      <c r="A552" s="220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5"/>
      <c r="M552" s="7"/>
      <c r="O552" s="3"/>
      <c r="P552" s="3" t="s">
        <v>1898</v>
      </c>
      <c r="Q552" s="3" t="s">
        <v>1899</v>
      </c>
      <c r="R552" s="3" t="s">
        <v>0</v>
      </c>
      <c r="S552" s="3" t="s">
        <v>1900</v>
      </c>
      <c r="T552" s="3" t="s">
        <v>0</v>
      </c>
      <c r="U552" s="3"/>
    </row>
    <row r="553" spans="1:21" x14ac:dyDescent="0.25">
      <c r="A553" s="220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5"/>
      <c r="M553" s="7"/>
      <c r="O553" s="3"/>
      <c r="P553" s="3" t="s">
        <v>1009</v>
      </c>
      <c r="Q553" s="3" t="s">
        <v>1010</v>
      </c>
      <c r="R553" s="3" t="s">
        <v>0</v>
      </c>
      <c r="S553" s="3" t="s">
        <v>1011</v>
      </c>
      <c r="T553" s="3" t="s">
        <v>1012</v>
      </c>
      <c r="U553" s="3"/>
    </row>
    <row r="554" spans="1:21" x14ac:dyDescent="0.25">
      <c r="A554" s="220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5"/>
      <c r="M554" s="7"/>
      <c r="O554" s="3"/>
      <c r="P554" s="3" t="s">
        <v>1013</v>
      </c>
      <c r="Q554" s="3" t="s">
        <v>1014</v>
      </c>
      <c r="R554" s="3" t="s">
        <v>0</v>
      </c>
      <c r="S554" s="3" t="s">
        <v>1015</v>
      </c>
      <c r="T554" s="3" t="s">
        <v>39</v>
      </c>
      <c r="U554" s="3"/>
    </row>
    <row r="555" spans="1:21" x14ac:dyDescent="0.25">
      <c r="A555" s="220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5"/>
      <c r="M555" s="7"/>
      <c r="O555" s="3"/>
      <c r="P555" s="3" t="s">
        <v>42</v>
      </c>
      <c r="Q555" s="3" t="s">
        <v>41</v>
      </c>
      <c r="R555" s="3" t="s">
        <v>0</v>
      </c>
      <c r="S555" s="3" t="s">
        <v>40</v>
      </c>
      <c r="T555" s="3" t="s">
        <v>1016</v>
      </c>
      <c r="U555" s="3"/>
    </row>
    <row r="556" spans="1:21" x14ac:dyDescent="0.25">
      <c r="A556" s="220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5"/>
      <c r="M556" s="7"/>
      <c r="O556" s="3"/>
      <c r="P556" s="3" t="s">
        <v>2241</v>
      </c>
      <c r="Q556" s="3" t="s">
        <v>2242</v>
      </c>
      <c r="R556" s="3" t="s">
        <v>0</v>
      </c>
      <c r="S556" s="3" t="s">
        <v>467</v>
      </c>
      <c r="T556" s="3" t="s">
        <v>994</v>
      </c>
      <c r="U556" s="3"/>
    </row>
    <row r="557" spans="1:21" x14ac:dyDescent="0.25">
      <c r="A557" s="220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5"/>
      <c r="M557" s="7"/>
      <c r="O557" s="3"/>
      <c r="P557" s="3" t="s">
        <v>2432</v>
      </c>
      <c r="Q557" s="3" t="s">
        <v>2433</v>
      </c>
      <c r="R557" s="3" t="s">
        <v>0</v>
      </c>
      <c r="S557" s="3" t="s">
        <v>467</v>
      </c>
      <c r="T557" s="3" t="s">
        <v>2421</v>
      </c>
      <c r="U557" s="3"/>
    </row>
    <row r="558" spans="1:21" x14ac:dyDescent="0.25">
      <c r="A558" s="220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5"/>
      <c r="M558" s="7"/>
      <c r="O558" s="3"/>
      <c r="P558" s="3" t="s">
        <v>1901</v>
      </c>
      <c r="Q558" s="3" t="s">
        <v>1902</v>
      </c>
      <c r="R558" s="3" t="s">
        <v>0</v>
      </c>
      <c r="S558" s="3" t="s">
        <v>1903</v>
      </c>
      <c r="T558" s="3" t="s">
        <v>1017</v>
      </c>
      <c r="U558" s="3"/>
    </row>
    <row r="559" spans="1:21" x14ac:dyDescent="0.25">
      <c r="A559" s="220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5"/>
      <c r="M559" s="7"/>
      <c r="O559" s="3"/>
      <c r="P559" s="3" t="s">
        <v>1904</v>
      </c>
      <c r="Q559" s="3" t="s">
        <v>1905</v>
      </c>
      <c r="R559" s="3" t="s">
        <v>0</v>
      </c>
      <c r="S559" s="3" t="s">
        <v>1906</v>
      </c>
      <c r="T559" s="3" t="s">
        <v>900</v>
      </c>
      <c r="U559" s="3"/>
    </row>
    <row r="560" spans="1:21" x14ac:dyDescent="0.25">
      <c r="A560" s="220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5"/>
      <c r="M560" s="7"/>
      <c r="O560" s="3"/>
      <c r="P560" s="3" t="s">
        <v>1018</v>
      </c>
      <c r="Q560" s="3" t="s">
        <v>1019</v>
      </c>
      <c r="R560" s="3" t="s">
        <v>0</v>
      </c>
      <c r="S560" s="3" t="s">
        <v>1020</v>
      </c>
      <c r="T560" s="3" t="s">
        <v>33</v>
      </c>
      <c r="U560" s="3"/>
    </row>
    <row r="561" spans="1:21" x14ac:dyDescent="0.25">
      <c r="A561" s="220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5"/>
      <c r="M561" s="7"/>
      <c r="O561" s="3"/>
      <c r="P561" s="3" t="s">
        <v>1305</v>
      </c>
      <c r="Q561" s="3" t="s">
        <v>1306</v>
      </c>
      <c r="R561" s="3" t="s">
        <v>0</v>
      </c>
      <c r="S561" s="3" t="s">
        <v>2373</v>
      </c>
      <c r="T561" s="3" t="s">
        <v>1307</v>
      </c>
      <c r="U561" s="3"/>
    </row>
    <row r="562" spans="1:21" x14ac:dyDescent="0.25">
      <c r="A562" s="220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5"/>
      <c r="M562" s="7"/>
      <c r="O562" s="3"/>
      <c r="P562" s="3" t="s">
        <v>1021</v>
      </c>
      <c r="Q562" s="3" t="s">
        <v>1022</v>
      </c>
      <c r="R562" s="3" t="s">
        <v>0</v>
      </c>
      <c r="S562" s="3" t="s">
        <v>1023</v>
      </c>
      <c r="T562" s="3" t="s">
        <v>90</v>
      </c>
      <c r="U562" s="3"/>
    </row>
    <row r="563" spans="1:21" x14ac:dyDescent="0.25">
      <c r="A563" s="220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5"/>
      <c r="M563" s="7"/>
      <c r="O563" s="3"/>
      <c r="P563" s="3" t="s">
        <v>1907</v>
      </c>
      <c r="Q563" s="3" t="s">
        <v>1908</v>
      </c>
      <c r="R563" s="3" t="s">
        <v>0</v>
      </c>
      <c r="S563" s="3" t="s">
        <v>1909</v>
      </c>
      <c r="T563" s="3" t="s">
        <v>39</v>
      </c>
      <c r="U563" s="3"/>
    </row>
    <row r="564" spans="1:21" x14ac:dyDescent="0.25">
      <c r="A564" s="220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5"/>
      <c r="M564" s="7"/>
      <c r="O564" s="3"/>
      <c r="P564" s="3" t="s">
        <v>1401</v>
      </c>
      <c r="Q564" s="3" t="s">
        <v>1402</v>
      </c>
      <c r="R564" s="3" t="s">
        <v>0</v>
      </c>
      <c r="S564" s="3" t="s">
        <v>1403</v>
      </c>
      <c r="T564" s="3" t="s">
        <v>1404</v>
      </c>
      <c r="U564" s="3"/>
    </row>
    <row r="565" spans="1:21" x14ac:dyDescent="0.25">
      <c r="A565" s="220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5"/>
      <c r="M565" s="7"/>
      <c r="O565" s="3"/>
      <c r="P565" s="3" t="s">
        <v>2243</v>
      </c>
      <c r="Q565" s="3" t="s">
        <v>2244</v>
      </c>
      <c r="R565" s="3" t="s">
        <v>0</v>
      </c>
      <c r="S565" s="3" t="s">
        <v>2245</v>
      </c>
      <c r="T565" s="3" t="s">
        <v>1016</v>
      </c>
      <c r="U565" s="3"/>
    </row>
    <row r="566" spans="1:21" x14ac:dyDescent="0.25">
      <c r="A566" s="220"/>
      <c r="B566" s="3"/>
      <c r="C566" s="3"/>
      <c r="D566" s="3"/>
      <c r="E566" s="3"/>
      <c r="F566" s="3"/>
      <c r="G566" s="3"/>
      <c r="H566" s="199"/>
      <c r="I566" s="199"/>
      <c r="J566" s="199"/>
      <c r="K566" s="199"/>
      <c r="L566" s="106"/>
      <c r="M566" s="7"/>
      <c r="O566" s="3"/>
      <c r="P566" s="3" t="s">
        <v>1910</v>
      </c>
      <c r="Q566" s="3" t="s">
        <v>1911</v>
      </c>
      <c r="R566" s="3" t="s">
        <v>0</v>
      </c>
      <c r="S566" s="3" t="s">
        <v>487</v>
      </c>
      <c r="T566" s="3" t="s">
        <v>38</v>
      </c>
      <c r="U566" s="3"/>
    </row>
    <row r="567" spans="1:21" x14ac:dyDescent="0.25">
      <c r="A567" s="220"/>
      <c r="B567" s="3"/>
      <c r="C567" s="3"/>
      <c r="D567" s="3"/>
      <c r="E567" s="3"/>
      <c r="F567" s="3"/>
      <c r="G567" s="3"/>
      <c r="H567" s="199"/>
      <c r="I567" s="199"/>
      <c r="J567" s="199"/>
      <c r="K567" s="199"/>
      <c r="L567" s="106"/>
      <c r="M567" s="7"/>
      <c r="O567" s="3"/>
      <c r="P567" s="3" t="s">
        <v>1024</v>
      </c>
      <c r="Q567" s="3" t="s">
        <v>1025</v>
      </c>
      <c r="R567" s="3" t="s">
        <v>0</v>
      </c>
      <c r="S567" s="3" t="s">
        <v>1026</v>
      </c>
      <c r="T567" s="3" t="s">
        <v>1027</v>
      </c>
      <c r="U567" s="3"/>
    </row>
    <row r="568" spans="1:21" x14ac:dyDescent="0.25">
      <c r="A568" s="220"/>
      <c r="B568" s="3"/>
      <c r="C568" s="3"/>
      <c r="D568" s="3"/>
      <c r="E568" s="3"/>
      <c r="F568" s="3"/>
      <c r="G568" s="3"/>
      <c r="H568" s="199"/>
      <c r="I568" s="199"/>
      <c r="J568" s="199"/>
      <c r="K568" s="199"/>
      <c r="L568" s="106"/>
      <c r="M568" s="7"/>
      <c r="O568" s="3"/>
      <c r="P568" s="3" t="s">
        <v>1912</v>
      </c>
      <c r="Q568" s="3" t="s">
        <v>1913</v>
      </c>
      <c r="R568" s="3" t="s">
        <v>0</v>
      </c>
      <c r="S568" s="3" t="s">
        <v>1914</v>
      </c>
      <c r="T568" s="3" t="s">
        <v>937</v>
      </c>
      <c r="U568" s="3"/>
    </row>
    <row r="569" spans="1:21" x14ac:dyDescent="0.25">
      <c r="A569" s="220"/>
      <c r="B569" s="3"/>
      <c r="C569" s="3"/>
      <c r="D569" s="3"/>
      <c r="E569" s="3"/>
      <c r="F569" s="3"/>
      <c r="G569" s="3"/>
      <c r="H569" s="199"/>
      <c r="I569" s="199"/>
      <c r="J569" s="199"/>
      <c r="K569" s="199"/>
      <c r="L569" s="106"/>
      <c r="M569" s="7"/>
      <c r="O569" s="3"/>
      <c r="P569" s="3" t="s">
        <v>1028</v>
      </c>
      <c r="Q569" s="3" t="s">
        <v>1029</v>
      </c>
      <c r="R569" s="3" t="s">
        <v>0</v>
      </c>
      <c r="S569" s="3" t="s">
        <v>1030</v>
      </c>
      <c r="T569" s="3" t="s">
        <v>0</v>
      </c>
      <c r="U569" s="3"/>
    </row>
    <row r="570" spans="1:21" x14ac:dyDescent="0.25">
      <c r="A570" s="220"/>
      <c r="B570" s="3"/>
      <c r="C570" s="3"/>
      <c r="D570" s="3"/>
      <c r="E570" s="3"/>
      <c r="F570" s="3"/>
      <c r="G570" s="3"/>
      <c r="H570" s="199"/>
      <c r="I570" s="199"/>
      <c r="J570" s="199"/>
      <c r="K570" s="199"/>
      <c r="L570" s="106"/>
      <c r="M570" s="7"/>
      <c r="O570" s="3"/>
      <c r="P570" s="3" t="s">
        <v>1031</v>
      </c>
      <c r="Q570" s="3" t="s">
        <v>1032</v>
      </c>
      <c r="R570" s="3" t="s">
        <v>0</v>
      </c>
      <c r="S570" s="3" t="s">
        <v>1033</v>
      </c>
      <c r="T570" s="3" t="s">
        <v>1034</v>
      </c>
      <c r="U570" s="3"/>
    </row>
    <row r="571" spans="1:21" x14ac:dyDescent="0.25">
      <c r="A571" s="220"/>
      <c r="B571" s="3"/>
      <c r="C571" s="3"/>
      <c r="D571" s="3"/>
      <c r="E571" s="3"/>
      <c r="F571" s="3"/>
      <c r="G571" s="3"/>
      <c r="H571" s="199"/>
      <c r="I571" s="199"/>
      <c r="J571" s="199"/>
      <c r="K571" s="199"/>
      <c r="L571" s="106"/>
      <c r="M571" s="7"/>
      <c r="O571" s="3"/>
      <c r="P571" s="3" t="s">
        <v>1915</v>
      </c>
      <c r="Q571" s="3" t="s">
        <v>1916</v>
      </c>
      <c r="R571" s="3" t="s">
        <v>0</v>
      </c>
      <c r="S571" s="3" t="s">
        <v>1917</v>
      </c>
      <c r="T571" s="3" t="s">
        <v>896</v>
      </c>
      <c r="U571" s="3"/>
    </row>
    <row r="572" spans="1:21" x14ac:dyDescent="0.25">
      <c r="A572" s="220"/>
      <c r="B572" s="3"/>
      <c r="C572" s="3"/>
      <c r="D572" s="3"/>
      <c r="E572" s="3"/>
      <c r="F572" s="3"/>
      <c r="G572" s="3"/>
      <c r="H572" s="199"/>
      <c r="I572" s="199"/>
      <c r="J572" s="199"/>
      <c r="K572" s="199"/>
      <c r="L572" s="106"/>
      <c r="M572" s="7"/>
      <c r="O572" s="3"/>
      <c r="P572" s="3" t="s">
        <v>2246</v>
      </c>
      <c r="Q572" s="3" t="s">
        <v>2247</v>
      </c>
      <c r="R572" s="3" t="s">
        <v>0</v>
      </c>
      <c r="S572" s="3" t="s">
        <v>1918</v>
      </c>
      <c r="T572" s="3" t="s">
        <v>994</v>
      </c>
      <c r="U572" s="3"/>
    </row>
    <row r="573" spans="1:21" x14ac:dyDescent="0.25">
      <c r="A573" s="220"/>
      <c r="B573" s="3"/>
      <c r="C573" s="3"/>
      <c r="D573" s="3"/>
      <c r="E573" s="3"/>
      <c r="F573" s="3"/>
      <c r="G573" s="3"/>
      <c r="H573" s="199"/>
      <c r="I573" s="199"/>
      <c r="J573" s="199"/>
      <c r="K573" s="199"/>
      <c r="L573" s="106"/>
      <c r="M573" s="7"/>
      <c r="O573" s="3"/>
      <c r="P573" s="3" t="s">
        <v>1919</v>
      </c>
      <c r="Q573" s="3" t="s">
        <v>1920</v>
      </c>
      <c r="R573" s="3" t="s">
        <v>0</v>
      </c>
      <c r="S573" s="3" t="s">
        <v>1918</v>
      </c>
      <c r="T573" s="3" t="s">
        <v>39</v>
      </c>
      <c r="U573" s="3"/>
    </row>
    <row r="574" spans="1:21" x14ac:dyDescent="0.25">
      <c r="A574" s="220"/>
      <c r="B574" s="3"/>
      <c r="C574" s="3"/>
      <c r="D574" s="3"/>
      <c r="E574" s="3"/>
      <c r="F574" s="3"/>
      <c r="G574" s="3"/>
      <c r="H574" s="199"/>
      <c r="I574" s="199"/>
      <c r="J574" s="199"/>
      <c r="K574" s="199"/>
      <c r="L574" s="106"/>
      <c r="M574" s="7"/>
      <c r="O574" s="3"/>
      <c r="P574" s="3" t="s">
        <v>1921</v>
      </c>
      <c r="Q574" s="3" t="s">
        <v>1922</v>
      </c>
      <c r="R574" s="3" t="s">
        <v>0</v>
      </c>
      <c r="S574" s="3" t="s">
        <v>1923</v>
      </c>
      <c r="T574" s="3" t="s">
        <v>1924</v>
      </c>
      <c r="U574" s="3"/>
    </row>
    <row r="575" spans="1:21" x14ac:dyDescent="0.25">
      <c r="A575" s="220"/>
      <c r="B575" s="3"/>
      <c r="C575" s="3"/>
      <c r="D575" s="3"/>
      <c r="E575" s="3"/>
      <c r="F575" s="3"/>
      <c r="G575" s="3"/>
      <c r="H575" s="199"/>
      <c r="I575" s="199"/>
      <c r="J575" s="199"/>
      <c r="K575" s="199"/>
      <c r="L575" s="106"/>
      <c r="M575" s="7"/>
      <c r="O575" s="3"/>
      <c r="P575" s="3" t="s">
        <v>2434</v>
      </c>
      <c r="Q575" s="3" t="s">
        <v>2435</v>
      </c>
      <c r="R575" s="3" t="s">
        <v>0</v>
      </c>
      <c r="S575" s="3" t="s">
        <v>2439</v>
      </c>
      <c r="T575" s="3" t="s">
        <v>1307</v>
      </c>
      <c r="U575" s="3"/>
    </row>
    <row r="576" spans="1:21" x14ac:dyDescent="0.25">
      <c r="A576" s="220"/>
      <c r="B576" s="3"/>
      <c r="C576" s="3"/>
      <c r="D576" s="3"/>
      <c r="E576" s="3"/>
      <c r="F576" s="3"/>
      <c r="G576" s="3"/>
      <c r="H576" s="199"/>
      <c r="I576" s="199"/>
      <c r="J576" s="199"/>
      <c r="K576" s="199"/>
      <c r="L576" s="106"/>
      <c r="M576" s="7"/>
      <c r="O576" s="3"/>
      <c r="P576" s="3" t="s">
        <v>2412</v>
      </c>
      <c r="Q576" s="3" t="s">
        <v>2413</v>
      </c>
      <c r="R576" s="3" t="s">
        <v>0</v>
      </c>
      <c r="S576" s="3" t="s">
        <v>2419</v>
      </c>
      <c r="T576" s="3" t="s">
        <v>1113</v>
      </c>
      <c r="U576" s="3"/>
    </row>
    <row r="577" spans="1:21" x14ac:dyDescent="0.25">
      <c r="A577" s="220"/>
      <c r="B577" s="3"/>
      <c r="C577" s="3"/>
      <c r="D577" s="3"/>
      <c r="E577" s="3"/>
      <c r="F577" s="3"/>
      <c r="G577" s="3"/>
      <c r="H577" s="199"/>
      <c r="I577" s="199"/>
      <c r="J577" s="199"/>
      <c r="K577" s="199"/>
      <c r="L577" s="106"/>
      <c r="M577" s="7"/>
      <c r="O577" s="3"/>
      <c r="P577" s="3" t="s">
        <v>2248</v>
      </c>
      <c r="Q577" s="3" t="s">
        <v>2249</v>
      </c>
      <c r="R577" s="3" t="s">
        <v>0</v>
      </c>
      <c r="S577" s="3" t="s">
        <v>2250</v>
      </c>
      <c r="T577" s="3" t="s">
        <v>34</v>
      </c>
      <c r="U577" s="3"/>
    </row>
    <row r="578" spans="1:21" x14ac:dyDescent="0.25">
      <c r="A578" s="220"/>
      <c r="B578" s="3"/>
      <c r="C578" s="3"/>
      <c r="D578" s="3"/>
      <c r="E578" s="3"/>
      <c r="F578" s="3"/>
      <c r="G578" s="3"/>
      <c r="H578" s="199"/>
      <c r="I578" s="199"/>
      <c r="J578" s="199"/>
      <c r="K578" s="199"/>
      <c r="L578" s="106"/>
      <c r="M578" s="7"/>
      <c r="O578" s="3"/>
      <c r="P578" s="3" t="s">
        <v>2251</v>
      </c>
      <c r="Q578" s="3" t="s">
        <v>2252</v>
      </c>
      <c r="R578" s="3" t="s">
        <v>0</v>
      </c>
      <c r="S578" s="3" t="s">
        <v>2250</v>
      </c>
      <c r="T578" s="3" t="s">
        <v>896</v>
      </c>
      <c r="U578" s="3"/>
    </row>
    <row r="579" spans="1:21" x14ac:dyDescent="0.25">
      <c r="A579" s="220"/>
      <c r="B579" s="3"/>
      <c r="C579" s="3"/>
      <c r="D579" s="3"/>
      <c r="E579" s="3"/>
      <c r="F579" s="3"/>
      <c r="G579" s="3"/>
      <c r="H579" s="199"/>
      <c r="I579" s="199"/>
      <c r="J579" s="199"/>
      <c r="K579" s="199"/>
      <c r="L579" s="106"/>
      <c r="M579" s="7"/>
      <c r="O579" s="3"/>
      <c r="P579" s="3" t="s">
        <v>1035</v>
      </c>
      <c r="Q579" s="3" t="s">
        <v>1036</v>
      </c>
      <c r="R579" s="3" t="s">
        <v>0</v>
      </c>
      <c r="S579" s="3" t="s">
        <v>1037</v>
      </c>
      <c r="T579" s="3" t="s">
        <v>994</v>
      </c>
      <c r="U579" s="3"/>
    </row>
    <row r="580" spans="1:21" x14ac:dyDescent="0.25">
      <c r="A580" s="220"/>
      <c r="B580" s="3"/>
      <c r="C580" s="3"/>
      <c r="D580" s="3"/>
      <c r="E580" s="3"/>
      <c r="F580" s="3"/>
      <c r="G580" s="3"/>
      <c r="H580" s="199"/>
      <c r="I580" s="199"/>
      <c r="J580" s="199"/>
      <c r="K580" s="199"/>
      <c r="L580" s="106"/>
      <c r="M580" s="7"/>
      <c r="O580" s="3"/>
      <c r="P580" s="3" t="s">
        <v>1038</v>
      </c>
      <c r="Q580" s="3" t="s">
        <v>1039</v>
      </c>
      <c r="R580" s="3" t="s">
        <v>0</v>
      </c>
      <c r="S580" s="3" t="s">
        <v>1040</v>
      </c>
      <c r="T580" s="3" t="s">
        <v>38</v>
      </c>
      <c r="U580" s="3"/>
    </row>
    <row r="581" spans="1:21" x14ac:dyDescent="0.25">
      <c r="A581" s="220"/>
      <c r="B581" s="3"/>
      <c r="C581" s="3"/>
      <c r="D581" s="3"/>
      <c r="E581" s="3"/>
      <c r="F581" s="3"/>
      <c r="G581" s="3"/>
      <c r="H581" s="199"/>
      <c r="I581" s="199"/>
      <c r="J581" s="199"/>
      <c r="K581" s="199"/>
      <c r="L581" s="106"/>
      <c r="M581" s="7"/>
      <c r="O581" s="3"/>
      <c r="P581" s="3" t="s">
        <v>1041</v>
      </c>
      <c r="Q581" s="3" t="s">
        <v>1042</v>
      </c>
      <c r="R581" s="3" t="s">
        <v>0</v>
      </c>
      <c r="S581" s="3" t="s">
        <v>1043</v>
      </c>
      <c r="T581" s="3" t="s">
        <v>39</v>
      </c>
      <c r="U581" s="3"/>
    </row>
    <row r="582" spans="1:21" x14ac:dyDescent="0.25">
      <c r="A582" s="220"/>
      <c r="B582" s="3"/>
      <c r="C582" s="3"/>
      <c r="D582" s="3"/>
      <c r="E582" s="3"/>
      <c r="F582" s="3"/>
      <c r="G582" s="3"/>
      <c r="H582" s="199"/>
      <c r="I582" s="199"/>
      <c r="J582" s="199"/>
      <c r="K582" s="199"/>
      <c r="L582" s="106"/>
      <c r="M582" s="7"/>
      <c r="O582" s="3"/>
      <c r="P582" s="3" t="s">
        <v>1925</v>
      </c>
      <c r="Q582" s="3" t="s">
        <v>1926</v>
      </c>
      <c r="R582" s="3" t="s">
        <v>0</v>
      </c>
      <c r="S582" s="3" t="s">
        <v>1927</v>
      </c>
      <c r="T582" s="3" t="s">
        <v>911</v>
      </c>
      <c r="U582" s="3"/>
    </row>
    <row r="583" spans="1:21" x14ac:dyDescent="0.25">
      <c r="A583" s="220"/>
      <c r="B583" s="3"/>
      <c r="C583" s="3"/>
      <c r="D583" s="3"/>
      <c r="E583" s="3"/>
      <c r="F583" s="3"/>
      <c r="G583" s="3"/>
      <c r="H583" s="199"/>
      <c r="I583" s="199"/>
      <c r="J583" s="199"/>
      <c r="K583" s="199"/>
      <c r="L583" s="106"/>
      <c r="M583" s="7"/>
      <c r="O583" s="3"/>
      <c r="P583" s="3" t="s">
        <v>2253</v>
      </c>
      <c r="Q583" s="3" t="s">
        <v>2254</v>
      </c>
      <c r="R583" s="3" t="s">
        <v>0</v>
      </c>
      <c r="S583" s="3" t="s">
        <v>2255</v>
      </c>
      <c r="T583" s="3" t="s">
        <v>86</v>
      </c>
      <c r="U583" s="3"/>
    </row>
    <row r="584" spans="1:21" x14ac:dyDescent="0.25">
      <c r="A584" s="220"/>
      <c r="B584" s="3"/>
      <c r="C584" s="3"/>
      <c r="D584" s="3"/>
      <c r="E584" s="3"/>
      <c r="F584" s="3"/>
      <c r="G584" s="3"/>
      <c r="H584" s="199"/>
      <c r="I584" s="199"/>
      <c r="J584" s="199"/>
      <c r="K584" s="199"/>
      <c r="L584" s="106"/>
      <c r="M584" s="7"/>
      <c r="O584" s="3"/>
      <c r="P584" s="3" t="s">
        <v>1928</v>
      </c>
      <c r="Q584" s="3" t="s">
        <v>2363</v>
      </c>
      <c r="R584" s="3" t="s">
        <v>0</v>
      </c>
      <c r="S584" s="3" t="s">
        <v>1605</v>
      </c>
      <c r="T584" s="3" t="s">
        <v>33</v>
      </c>
      <c r="U584" s="3"/>
    </row>
    <row r="585" spans="1:21" x14ac:dyDescent="0.25">
      <c r="A585" s="220"/>
      <c r="B585" s="3"/>
      <c r="C585" s="3"/>
      <c r="D585" s="3"/>
      <c r="E585" s="3"/>
      <c r="F585" s="3"/>
      <c r="G585" s="3"/>
      <c r="H585" s="199"/>
      <c r="I585" s="199"/>
      <c r="J585" s="199"/>
      <c r="K585" s="199"/>
      <c r="L585" s="106"/>
      <c r="M585" s="7"/>
      <c r="O585" s="3"/>
      <c r="P585" s="3" t="s">
        <v>151</v>
      </c>
      <c r="Q585" s="3" t="s">
        <v>152</v>
      </c>
      <c r="R585" s="3" t="s">
        <v>0</v>
      </c>
      <c r="S585" s="3" t="s">
        <v>153</v>
      </c>
      <c r="T585" s="3" t="s">
        <v>33</v>
      </c>
      <c r="U585" s="3"/>
    </row>
    <row r="586" spans="1:21" x14ac:dyDescent="0.25">
      <c r="A586" s="220"/>
      <c r="B586" s="3"/>
      <c r="C586" s="3"/>
      <c r="D586" s="3"/>
      <c r="E586" s="3"/>
      <c r="F586" s="3"/>
      <c r="G586" s="3"/>
      <c r="H586" s="199"/>
      <c r="I586" s="199"/>
      <c r="J586" s="199"/>
      <c r="K586" s="199"/>
      <c r="L586" s="106"/>
      <c r="M586" s="7"/>
      <c r="O586" s="3"/>
      <c r="P586" s="3" t="s">
        <v>1044</v>
      </c>
      <c r="Q586" s="3" t="s">
        <v>1045</v>
      </c>
      <c r="R586" s="3" t="s">
        <v>0</v>
      </c>
      <c r="S586" s="3" t="s">
        <v>1046</v>
      </c>
      <c r="T586" s="3" t="s">
        <v>1047</v>
      </c>
      <c r="U586" s="3"/>
    </row>
    <row r="587" spans="1:21" x14ac:dyDescent="0.25">
      <c r="A587" s="220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5"/>
      <c r="M587" s="7"/>
      <c r="O587" s="3"/>
      <c r="P587" s="3" t="s">
        <v>1048</v>
      </c>
      <c r="Q587" s="3" t="s">
        <v>1049</v>
      </c>
      <c r="R587" s="3" t="s">
        <v>0</v>
      </c>
      <c r="S587" s="3" t="s">
        <v>1050</v>
      </c>
      <c r="T587" s="3" t="s">
        <v>33</v>
      </c>
      <c r="U587" s="3"/>
    </row>
    <row r="588" spans="1:21" x14ac:dyDescent="0.25">
      <c r="A588" s="220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5"/>
      <c r="M588" s="7"/>
      <c r="O588" s="3"/>
      <c r="P588" s="3" t="s">
        <v>2256</v>
      </c>
      <c r="Q588" s="3" t="s">
        <v>2257</v>
      </c>
      <c r="R588" s="3" t="s">
        <v>0</v>
      </c>
      <c r="S588" s="3" t="s">
        <v>2258</v>
      </c>
      <c r="T588" s="3" t="s">
        <v>39</v>
      </c>
      <c r="U588" s="3"/>
    </row>
    <row r="589" spans="1:21" x14ac:dyDescent="0.25">
      <c r="A589" s="220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5"/>
      <c r="M589" s="7"/>
      <c r="O589" s="3"/>
      <c r="P589" s="3" t="s">
        <v>1051</v>
      </c>
      <c r="Q589" s="3" t="s">
        <v>1052</v>
      </c>
      <c r="R589" s="3" t="s">
        <v>0</v>
      </c>
      <c r="S589" s="3" t="s">
        <v>553</v>
      </c>
      <c r="T589" s="3" t="s">
        <v>1053</v>
      </c>
      <c r="U589" s="3"/>
    </row>
    <row r="590" spans="1:21" x14ac:dyDescent="0.25">
      <c r="A590" s="220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5"/>
      <c r="M590" s="7"/>
      <c r="O590" s="3"/>
      <c r="P590" s="3" t="s">
        <v>1054</v>
      </c>
      <c r="Q590" s="3" t="s">
        <v>1055</v>
      </c>
      <c r="R590" s="3" t="s">
        <v>0</v>
      </c>
      <c r="S590" s="3" t="s">
        <v>1056</v>
      </c>
      <c r="T590" s="3" t="s">
        <v>39</v>
      </c>
      <c r="U590" s="3"/>
    </row>
    <row r="591" spans="1:21" x14ac:dyDescent="0.25">
      <c r="A591" s="220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5"/>
      <c r="M591" s="7"/>
      <c r="O591" s="3"/>
      <c r="P591" s="3" t="s">
        <v>1929</v>
      </c>
      <c r="Q591" s="3" t="s">
        <v>1930</v>
      </c>
      <c r="R591" s="3" t="s">
        <v>0</v>
      </c>
      <c r="S591" s="3" t="s">
        <v>1931</v>
      </c>
      <c r="T591" s="3" t="s">
        <v>33</v>
      </c>
      <c r="U591" s="3"/>
    </row>
    <row r="592" spans="1:21" x14ac:dyDescent="0.25">
      <c r="A592" s="220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5"/>
      <c r="M592" s="7"/>
      <c r="O592" s="3"/>
      <c r="P592" s="3" t="s">
        <v>1057</v>
      </c>
      <c r="Q592" s="3" t="s">
        <v>2374</v>
      </c>
      <c r="R592" s="3" t="s">
        <v>0</v>
      </c>
      <c r="S592" s="3" t="s">
        <v>1059</v>
      </c>
      <c r="T592" s="3" t="s">
        <v>90</v>
      </c>
      <c r="U592" s="3"/>
    </row>
    <row r="593" spans="1:21" x14ac:dyDescent="0.25">
      <c r="A593" s="220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5"/>
      <c r="M593" s="7"/>
      <c r="O593" s="3"/>
      <c r="P593" s="3" t="s">
        <v>2259</v>
      </c>
      <c r="Q593" s="3" t="s">
        <v>2260</v>
      </c>
      <c r="R593" s="3" t="s">
        <v>0</v>
      </c>
      <c r="S593" s="3" t="s">
        <v>2261</v>
      </c>
      <c r="T593" s="3" t="s">
        <v>1864</v>
      </c>
      <c r="U593" s="3"/>
    </row>
    <row r="594" spans="1:21" x14ac:dyDescent="0.25">
      <c r="A594" s="220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5"/>
      <c r="M594" s="7"/>
      <c r="O594" s="3"/>
      <c r="P594" s="3" t="s">
        <v>2262</v>
      </c>
      <c r="Q594" s="3" t="s">
        <v>2263</v>
      </c>
      <c r="R594" s="3" t="s">
        <v>0</v>
      </c>
      <c r="S594" s="3" t="s">
        <v>2264</v>
      </c>
      <c r="T594" s="3" t="s">
        <v>1932</v>
      </c>
      <c r="U594" s="3"/>
    </row>
    <row r="595" spans="1:21" x14ac:dyDescent="0.25">
      <c r="A595" s="220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5"/>
      <c r="M595" s="7"/>
      <c r="O595" s="3"/>
      <c r="P595" s="3" t="s">
        <v>1933</v>
      </c>
      <c r="Q595" s="3" t="s">
        <v>1934</v>
      </c>
      <c r="R595" s="3" t="s">
        <v>0</v>
      </c>
      <c r="S595" s="3" t="s">
        <v>1935</v>
      </c>
      <c r="T595" s="3" t="s">
        <v>39</v>
      </c>
      <c r="U595" s="3"/>
    </row>
    <row r="596" spans="1:21" x14ac:dyDescent="0.25">
      <c r="A596" s="220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5"/>
      <c r="M596" s="7"/>
      <c r="O596" s="3"/>
      <c r="P596" s="3" t="s">
        <v>1936</v>
      </c>
      <c r="Q596" s="3" t="s">
        <v>1937</v>
      </c>
      <c r="R596" s="3" t="s">
        <v>0</v>
      </c>
      <c r="S596" s="3" t="s">
        <v>1938</v>
      </c>
      <c r="T596" s="3" t="s">
        <v>39</v>
      </c>
      <c r="U596" s="3"/>
    </row>
    <row r="597" spans="1:21" x14ac:dyDescent="0.25">
      <c r="A597" s="220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5"/>
      <c r="M597" s="7"/>
      <c r="O597" s="3"/>
      <c r="P597" s="3" t="s">
        <v>104</v>
      </c>
      <c r="Q597" s="3" t="s">
        <v>105</v>
      </c>
      <c r="R597" s="3" t="s">
        <v>0</v>
      </c>
      <c r="S597" s="3" t="s">
        <v>106</v>
      </c>
      <c r="T597" s="3" t="s">
        <v>39</v>
      </c>
      <c r="U597" s="3"/>
    </row>
    <row r="598" spans="1:21" x14ac:dyDescent="0.25">
      <c r="A598" s="220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5"/>
      <c r="M598" s="7"/>
      <c r="O598" s="3"/>
      <c r="P598" s="3" t="s">
        <v>2265</v>
      </c>
      <c r="Q598" s="3" t="s">
        <v>2266</v>
      </c>
      <c r="R598" s="3" t="s">
        <v>0</v>
      </c>
      <c r="S598" s="3" t="s">
        <v>2267</v>
      </c>
      <c r="T598" s="3" t="s">
        <v>1864</v>
      </c>
      <c r="U598" s="3"/>
    </row>
    <row r="599" spans="1:21" x14ac:dyDescent="0.25">
      <c r="A599" s="220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5"/>
      <c r="M599" s="7"/>
      <c r="O599" s="3"/>
      <c r="P599" s="3" t="s">
        <v>1939</v>
      </c>
      <c r="Q599" s="3" t="s">
        <v>1940</v>
      </c>
      <c r="R599" s="3" t="s">
        <v>0</v>
      </c>
      <c r="S599" s="3" t="s">
        <v>1941</v>
      </c>
      <c r="T599" s="3" t="s">
        <v>34</v>
      </c>
      <c r="U599" s="3"/>
    </row>
    <row r="600" spans="1:21" x14ac:dyDescent="0.25">
      <c r="A600" s="220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5"/>
      <c r="M600" s="7"/>
      <c r="O600" s="3"/>
      <c r="P600" s="3" t="s">
        <v>1942</v>
      </c>
      <c r="Q600" s="3" t="s">
        <v>1943</v>
      </c>
      <c r="R600" s="3" t="s">
        <v>0</v>
      </c>
      <c r="S600" s="3" t="s">
        <v>1941</v>
      </c>
      <c r="T600" s="3" t="s">
        <v>34</v>
      </c>
      <c r="U600" s="3"/>
    </row>
    <row r="601" spans="1:21" x14ac:dyDescent="0.25">
      <c r="A601" s="220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5"/>
      <c r="M601" s="7"/>
      <c r="O601" s="3"/>
      <c r="P601" s="3" t="s">
        <v>1060</v>
      </c>
      <c r="Q601" s="3" t="s">
        <v>1061</v>
      </c>
      <c r="R601" s="3" t="s">
        <v>0</v>
      </c>
      <c r="S601" s="3" t="s">
        <v>1062</v>
      </c>
      <c r="T601" s="3" t="s">
        <v>33</v>
      </c>
      <c r="U601" s="3"/>
    </row>
    <row r="602" spans="1:21" x14ac:dyDescent="0.25">
      <c r="A602" s="220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5"/>
      <c r="M602" s="7"/>
      <c r="O602" s="3"/>
      <c r="P602" s="3" t="s">
        <v>1944</v>
      </c>
      <c r="Q602" s="3" t="s">
        <v>1945</v>
      </c>
      <c r="R602" s="3" t="s">
        <v>0</v>
      </c>
      <c r="S602" s="3" t="s">
        <v>1946</v>
      </c>
      <c r="T602" s="3" t="s">
        <v>900</v>
      </c>
      <c r="U602" s="3"/>
    </row>
    <row r="603" spans="1:21" x14ac:dyDescent="0.25">
      <c r="A603" s="220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5"/>
      <c r="M603" s="7"/>
      <c r="O603" s="3"/>
      <c r="P603" s="3" t="s">
        <v>1947</v>
      </c>
      <c r="Q603" s="3" t="s">
        <v>1948</v>
      </c>
      <c r="R603" s="3" t="s">
        <v>0</v>
      </c>
      <c r="S603" s="3" t="s">
        <v>1949</v>
      </c>
      <c r="T603" s="3" t="s">
        <v>1950</v>
      </c>
      <c r="U603" s="3"/>
    </row>
    <row r="604" spans="1:21" x14ac:dyDescent="0.25">
      <c r="A604" s="220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5"/>
      <c r="M604" s="7"/>
      <c r="O604" s="3"/>
      <c r="P604" s="3" t="s">
        <v>1063</v>
      </c>
      <c r="Q604" s="3" t="s">
        <v>1064</v>
      </c>
      <c r="R604" s="3" t="s">
        <v>0</v>
      </c>
      <c r="S604" s="3" t="s">
        <v>1065</v>
      </c>
      <c r="T604" s="3" t="s">
        <v>1066</v>
      </c>
      <c r="U604" s="3"/>
    </row>
    <row r="605" spans="1:21" x14ac:dyDescent="0.25">
      <c r="A605" s="220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5"/>
      <c r="M605" s="7"/>
      <c r="O605" s="3"/>
      <c r="P605" s="3" t="s">
        <v>1067</v>
      </c>
      <c r="Q605" s="3" t="s">
        <v>1068</v>
      </c>
      <c r="R605" s="3" t="s">
        <v>0</v>
      </c>
      <c r="S605" s="3" t="s">
        <v>1069</v>
      </c>
      <c r="T605" s="3" t="s">
        <v>994</v>
      </c>
      <c r="U605" s="3"/>
    </row>
    <row r="606" spans="1:21" x14ac:dyDescent="0.25">
      <c r="A606" s="220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5"/>
      <c r="M606" s="7"/>
      <c r="O606" s="3"/>
      <c r="P606" s="3" t="s">
        <v>1951</v>
      </c>
      <c r="Q606" s="3" t="s">
        <v>1952</v>
      </c>
      <c r="R606" s="3" t="s">
        <v>0</v>
      </c>
      <c r="S606" s="3" t="s">
        <v>1953</v>
      </c>
      <c r="T606" s="3" t="s">
        <v>1954</v>
      </c>
      <c r="U606" s="3"/>
    </row>
    <row r="607" spans="1:21" x14ac:dyDescent="0.25">
      <c r="A607" s="220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5"/>
      <c r="M607" s="7"/>
      <c r="O607" s="3"/>
      <c r="P607" s="3" t="s">
        <v>1070</v>
      </c>
      <c r="Q607" s="3" t="s">
        <v>1071</v>
      </c>
      <c r="R607" s="3" t="s">
        <v>0</v>
      </c>
      <c r="S607" s="3" t="s">
        <v>1072</v>
      </c>
      <c r="T607" s="3" t="s">
        <v>1073</v>
      </c>
      <c r="U607" s="3"/>
    </row>
    <row r="608" spans="1:21" x14ac:dyDescent="0.25">
      <c r="A608" s="220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5"/>
      <c r="M608" s="7"/>
      <c r="O608" s="3"/>
      <c r="P608" s="3" t="s">
        <v>1074</v>
      </c>
      <c r="Q608" s="3" t="s">
        <v>1075</v>
      </c>
      <c r="R608" s="3" t="s">
        <v>0</v>
      </c>
      <c r="S608" s="3" t="s">
        <v>1076</v>
      </c>
      <c r="T608" s="3" t="s">
        <v>39</v>
      </c>
      <c r="U608" s="3"/>
    </row>
    <row r="609" spans="1:21" x14ac:dyDescent="0.25">
      <c r="A609" s="220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5"/>
      <c r="M609" s="7"/>
      <c r="O609" s="3"/>
      <c r="P609" s="3" t="s">
        <v>2268</v>
      </c>
      <c r="Q609" s="3" t="s">
        <v>2269</v>
      </c>
      <c r="R609" s="3" t="s">
        <v>0</v>
      </c>
      <c r="S609" s="3" t="s">
        <v>2270</v>
      </c>
      <c r="T609" s="3" t="s">
        <v>86</v>
      </c>
      <c r="U609" s="3"/>
    </row>
    <row r="610" spans="1:21" x14ac:dyDescent="0.25">
      <c r="A610" s="220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5"/>
      <c r="M610" s="7"/>
      <c r="O610" s="3"/>
      <c r="P610" s="3" t="s">
        <v>2271</v>
      </c>
      <c r="Q610" s="3" t="s">
        <v>2272</v>
      </c>
      <c r="R610" s="3" t="s">
        <v>0</v>
      </c>
      <c r="S610" s="3" t="s">
        <v>2270</v>
      </c>
      <c r="T610" s="3" t="s">
        <v>2273</v>
      </c>
      <c r="U610" s="3"/>
    </row>
    <row r="611" spans="1:21" x14ac:dyDescent="0.25">
      <c r="A611" s="220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5"/>
      <c r="M611" s="7"/>
      <c r="O611" s="3"/>
      <c r="P611" s="3" t="s">
        <v>1955</v>
      </c>
      <c r="Q611" s="3" t="s">
        <v>1956</v>
      </c>
      <c r="R611" s="3" t="s">
        <v>0</v>
      </c>
      <c r="S611" s="3" t="s">
        <v>1957</v>
      </c>
      <c r="T611" s="3" t="s">
        <v>0</v>
      </c>
      <c r="U611" s="3"/>
    </row>
    <row r="612" spans="1:21" x14ac:dyDescent="0.25">
      <c r="A612" s="220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5"/>
      <c r="M612" s="7"/>
      <c r="O612" s="3"/>
      <c r="P612" s="3" t="s">
        <v>1077</v>
      </c>
      <c r="Q612" s="3" t="s">
        <v>1078</v>
      </c>
      <c r="R612" s="3" t="s">
        <v>0</v>
      </c>
      <c r="S612" s="3" t="s">
        <v>1079</v>
      </c>
      <c r="T612" s="3" t="s">
        <v>33</v>
      </c>
      <c r="U612" s="3"/>
    </row>
    <row r="613" spans="1:21" x14ac:dyDescent="0.25">
      <c r="A613" s="220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5"/>
      <c r="M613" s="7"/>
      <c r="O613" s="3"/>
      <c r="P613" s="3" t="s">
        <v>1080</v>
      </c>
      <c r="Q613" s="3" t="s">
        <v>1081</v>
      </c>
      <c r="R613" s="3" t="s">
        <v>0</v>
      </c>
      <c r="S613" s="3" t="s">
        <v>1082</v>
      </c>
      <c r="T613" s="3" t="s">
        <v>900</v>
      </c>
      <c r="U613" s="3"/>
    </row>
    <row r="614" spans="1:21" x14ac:dyDescent="0.25">
      <c r="A614" s="220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5"/>
      <c r="M614" s="7"/>
      <c r="O614" s="3"/>
      <c r="P614" s="3" t="s">
        <v>1083</v>
      </c>
      <c r="Q614" s="3" t="s">
        <v>1084</v>
      </c>
      <c r="R614" s="3" t="s">
        <v>0</v>
      </c>
      <c r="S614" s="3" t="s">
        <v>1085</v>
      </c>
      <c r="T614" s="3" t="s">
        <v>888</v>
      </c>
      <c r="U614" s="3"/>
    </row>
    <row r="615" spans="1:21" x14ac:dyDescent="0.25">
      <c r="A615" s="220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5"/>
      <c r="M615" s="7"/>
      <c r="O615" s="3"/>
      <c r="P615" s="3" t="s">
        <v>1086</v>
      </c>
      <c r="Q615" s="3" t="s">
        <v>1087</v>
      </c>
      <c r="R615" s="3" t="s">
        <v>0</v>
      </c>
      <c r="S615" s="3" t="s">
        <v>1088</v>
      </c>
      <c r="T615" s="3" t="s">
        <v>39</v>
      </c>
      <c r="U615" s="3"/>
    </row>
    <row r="616" spans="1:21" x14ac:dyDescent="0.25">
      <c r="A616" s="220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5"/>
      <c r="M616" s="7"/>
      <c r="O616" s="3"/>
      <c r="P616" s="3" t="s">
        <v>1089</v>
      </c>
      <c r="Q616" s="3" t="s">
        <v>1090</v>
      </c>
      <c r="R616" s="3" t="s">
        <v>0</v>
      </c>
      <c r="S616" s="3" t="s">
        <v>1091</v>
      </c>
      <c r="T616" s="3" t="s">
        <v>900</v>
      </c>
      <c r="U616" s="3"/>
    </row>
    <row r="617" spans="1:21" x14ac:dyDescent="0.25">
      <c r="A617" s="220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5"/>
      <c r="M617" s="7"/>
      <c r="O617" s="3"/>
      <c r="P617" s="3" t="s">
        <v>1092</v>
      </c>
      <c r="Q617" s="3" t="s">
        <v>1093</v>
      </c>
      <c r="R617" s="3" t="s">
        <v>0</v>
      </c>
      <c r="S617" s="3" t="s">
        <v>1094</v>
      </c>
      <c r="T617" s="3" t="s">
        <v>994</v>
      </c>
      <c r="U617" s="3"/>
    </row>
    <row r="618" spans="1:21" x14ac:dyDescent="0.25">
      <c r="A618" s="220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5"/>
      <c r="M618" s="7"/>
      <c r="O618" s="3"/>
      <c r="P618" s="3" t="s">
        <v>1095</v>
      </c>
      <c r="Q618" s="3" t="s">
        <v>1096</v>
      </c>
      <c r="R618" s="3" t="s">
        <v>0</v>
      </c>
      <c r="S618" s="3" t="s">
        <v>1097</v>
      </c>
      <c r="T618" s="3" t="s">
        <v>39</v>
      </c>
      <c r="U618" s="3"/>
    </row>
    <row r="619" spans="1:21" x14ac:dyDescent="0.25">
      <c r="A619" s="220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5"/>
      <c r="M619" s="7"/>
      <c r="O619" s="3"/>
      <c r="P619" s="3" t="s">
        <v>1958</v>
      </c>
      <c r="Q619" s="3" t="s">
        <v>1959</v>
      </c>
      <c r="R619" s="3" t="s">
        <v>0</v>
      </c>
      <c r="S619" s="3" t="s">
        <v>1960</v>
      </c>
      <c r="T619" s="3" t="s">
        <v>892</v>
      </c>
      <c r="U619" s="3"/>
    </row>
    <row r="620" spans="1:21" x14ac:dyDescent="0.25">
      <c r="A620" s="220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5"/>
      <c r="M620" s="7"/>
      <c r="O620" s="3"/>
      <c r="P620" s="3" t="s">
        <v>2274</v>
      </c>
      <c r="Q620" s="3" t="s">
        <v>2275</v>
      </c>
      <c r="R620" s="3" t="s">
        <v>0</v>
      </c>
      <c r="S620" s="3" t="s">
        <v>2276</v>
      </c>
      <c r="T620" s="3" t="s">
        <v>86</v>
      </c>
      <c r="U620" s="3"/>
    </row>
    <row r="621" spans="1:21" x14ac:dyDescent="0.25">
      <c r="A621" s="220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5"/>
      <c r="M621" s="7"/>
      <c r="O621" s="3"/>
      <c r="P621" s="3" t="s">
        <v>2509</v>
      </c>
      <c r="Q621" s="3" t="s">
        <v>2510</v>
      </c>
      <c r="R621" s="3" t="s">
        <v>0</v>
      </c>
      <c r="S621" s="3" t="s">
        <v>2513</v>
      </c>
      <c r="T621" s="3" t="s">
        <v>2487</v>
      </c>
      <c r="U621" s="3"/>
    </row>
    <row r="622" spans="1:21" x14ac:dyDescent="0.25">
      <c r="A622" s="220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5"/>
      <c r="M622" s="7"/>
      <c r="O622" s="3"/>
      <c r="P622" s="3" t="s">
        <v>2364</v>
      </c>
      <c r="Q622" s="3" t="s">
        <v>2365</v>
      </c>
      <c r="R622" s="3" t="s">
        <v>0</v>
      </c>
      <c r="S622" s="3" t="s">
        <v>2366</v>
      </c>
      <c r="T622" s="3" t="s">
        <v>2367</v>
      </c>
      <c r="U622" s="3"/>
    </row>
    <row r="623" spans="1:21" x14ac:dyDescent="0.25">
      <c r="A623" s="220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5"/>
      <c r="M623" s="7"/>
      <c r="O623" s="3"/>
      <c r="P623" s="3" t="s">
        <v>1961</v>
      </c>
      <c r="Q623" s="3" t="s">
        <v>1962</v>
      </c>
      <c r="R623" s="3" t="s">
        <v>0</v>
      </c>
      <c r="S623" s="3" t="s">
        <v>1963</v>
      </c>
      <c r="T623" s="3" t="s">
        <v>1016</v>
      </c>
      <c r="U623" s="3"/>
    </row>
    <row r="624" spans="1:21" x14ac:dyDescent="0.25">
      <c r="A624" s="220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5"/>
      <c r="M624" s="7"/>
      <c r="O624" s="3"/>
      <c r="P624" s="3" t="s">
        <v>1098</v>
      </c>
      <c r="Q624" s="3" t="s">
        <v>2277</v>
      </c>
      <c r="R624" s="3" t="s">
        <v>0</v>
      </c>
      <c r="S624" s="3" t="s">
        <v>1100</v>
      </c>
      <c r="T624" s="3" t="s">
        <v>904</v>
      </c>
      <c r="U624" s="3"/>
    </row>
    <row r="625" spans="1:21" x14ac:dyDescent="0.25">
      <c r="A625" s="220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5"/>
      <c r="M625" s="7"/>
      <c r="O625" s="3"/>
      <c r="P625" s="3" t="s">
        <v>2436</v>
      </c>
      <c r="Q625" s="3" t="s">
        <v>2437</v>
      </c>
      <c r="R625" s="3" t="s">
        <v>0</v>
      </c>
      <c r="S625" s="3" t="s">
        <v>2440</v>
      </c>
      <c r="T625" s="3" t="s">
        <v>900</v>
      </c>
      <c r="U625" s="3"/>
    </row>
    <row r="626" spans="1:21" x14ac:dyDescent="0.25">
      <c r="A626" s="220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5"/>
      <c r="M626" s="7"/>
      <c r="O626" s="3"/>
      <c r="P626" s="3" t="s">
        <v>1101</v>
      </c>
      <c r="Q626" s="3" t="s">
        <v>1102</v>
      </c>
      <c r="R626" s="3" t="s">
        <v>0</v>
      </c>
      <c r="S626" s="3" t="s">
        <v>1103</v>
      </c>
      <c r="T626" s="3" t="s">
        <v>0</v>
      </c>
      <c r="U626" s="3"/>
    </row>
    <row r="627" spans="1:21" x14ac:dyDescent="0.25">
      <c r="A627" s="220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5"/>
      <c r="M627" s="7"/>
      <c r="O627" s="3"/>
      <c r="P627" s="3" t="s">
        <v>1964</v>
      </c>
      <c r="Q627" s="3" t="s">
        <v>1965</v>
      </c>
      <c r="R627" s="3" t="s">
        <v>0</v>
      </c>
      <c r="S627" s="3" t="s">
        <v>1966</v>
      </c>
      <c r="T627" s="3" t="s">
        <v>33</v>
      </c>
      <c r="U627" s="3"/>
    </row>
    <row r="628" spans="1:21" x14ac:dyDescent="0.25">
      <c r="A628" s="220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5"/>
      <c r="M628" s="7"/>
      <c r="O628" s="3"/>
      <c r="P628" s="3" t="s">
        <v>1104</v>
      </c>
      <c r="Q628" s="3" t="s">
        <v>1105</v>
      </c>
      <c r="R628" s="3" t="s">
        <v>0</v>
      </c>
      <c r="S628" s="3" t="s">
        <v>1106</v>
      </c>
      <c r="T628" s="3" t="s">
        <v>86</v>
      </c>
      <c r="U628" s="3"/>
    </row>
    <row r="629" spans="1:21" x14ac:dyDescent="0.25">
      <c r="A629" s="220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5"/>
      <c r="M629" s="7"/>
      <c r="O629" s="3"/>
      <c r="P629" s="3" t="s">
        <v>1107</v>
      </c>
      <c r="Q629" s="3" t="s">
        <v>1108</v>
      </c>
      <c r="R629" s="3" t="s">
        <v>0</v>
      </c>
      <c r="S629" s="3" t="s">
        <v>1109</v>
      </c>
      <c r="T629" s="3" t="s">
        <v>892</v>
      </c>
      <c r="U629" s="3"/>
    </row>
    <row r="630" spans="1:21" x14ac:dyDescent="0.25">
      <c r="A630" s="220"/>
      <c r="B630" s="3"/>
      <c r="C630" s="3"/>
      <c r="D630" s="3"/>
      <c r="E630" s="3"/>
      <c r="F630" s="3" t="s">
        <v>2443</v>
      </c>
      <c r="G630" s="3"/>
      <c r="H630" s="3"/>
      <c r="I630" s="3"/>
      <c r="J630" s="3"/>
      <c r="K630" s="3"/>
      <c r="L630" s="5"/>
      <c r="M630" s="7"/>
      <c r="O630" s="3"/>
      <c r="P630" s="3" t="s">
        <v>1110</v>
      </c>
      <c r="Q630" s="3" t="s">
        <v>1111</v>
      </c>
      <c r="R630" s="3" t="s">
        <v>0</v>
      </c>
      <c r="S630" s="3" t="s">
        <v>1112</v>
      </c>
      <c r="T630" s="3" t="s">
        <v>1113</v>
      </c>
      <c r="U630" s="3"/>
    </row>
    <row r="631" spans="1:21" x14ac:dyDescent="0.25">
      <c r="A631" s="220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5"/>
      <c r="M631" s="7"/>
      <c r="O631" s="3"/>
      <c r="P631" s="3" t="s">
        <v>1114</v>
      </c>
      <c r="Q631" s="3" t="s">
        <v>1115</v>
      </c>
      <c r="R631" s="3" t="s">
        <v>0</v>
      </c>
      <c r="S631" s="3" t="s">
        <v>1116</v>
      </c>
      <c r="T631" s="3" t="s">
        <v>39</v>
      </c>
      <c r="U631" s="3"/>
    </row>
    <row r="632" spans="1:21" x14ac:dyDescent="0.25">
      <c r="A632" s="220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5"/>
      <c r="M632" s="7"/>
      <c r="O632" s="3"/>
      <c r="P632" s="3" t="s">
        <v>1117</v>
      </c>
      <c r="Q632" s="3" t="s">
        <v>1118</v>
      </c>
      <c r="R632" s="3" t="s">
        <v>0</v>
      </c>
      <c r="S632" s="3" t="s">
        <v>1119</v>
      </c>
      <c r="T632" s="3" t="s">
        <v>0</v>
      </c>
      <c r="U632" s="3"/>
    </row>
    <row r="633" spans="1:21" x14ac:dyDescent="0.25">
      <c r="A633" s="220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5"/>
      <c r="M633" s="7"/>
      <c r="O633" s="3"/>
      <c r="P633" s="3" t="s">
        <v>1120</v>
      </c>
      <c r="Q633" s="3" t="s">
        <v>1121</v>
      </c>
      <c r="R633" s="3" t="s">
        <v>0</v>
      </c>
      <c r="S633" s="3" t="s">
        <v>1122</v>
      </c>
      <c r="T633" s="3" t="s">
        <v>38</v>
      </c>
      <c r="U633" s="3"/>
    </row>
    <row r="634" spans="1:21" x14ac:dyDescent="0.25">
      <c r="A634" s="220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5"/>
      <c r="M634" s="7"/>
      <c r="O634" s="3"/>
      <c r="P634" s="3" t="s">
        <v>1123</v>
      </c>
      <c r="Q634" s="3" t="s">
        <v>1124</v>
      </c>
      <c r="R634" s="3" t="s">
        <v>0</v>
      </c>
      <c r="S634" s="3" t="s">
        <v>138</v>
      </c>
      <c r="T634" s="3" t="s">
        <v>1125</v>
      </c>
      <c r="U634" s="3"/>
    </row>
    <row r="635" spans="1:21" x14ac:dyDescent="0.25">
      <c r="A635" s="220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5"/>
      <c r="M635" s="7"/>
      <c r="O635" s="3"/>
      <c r="P635" s="3" t="s">
        <v>136</v>
      </c>
      <c r="Q635" s="3" t="s">
        <v>137</v>
      </c>
      <c r="R635" s="3" t="s">
        <v>0</v>
      </c>
      <c r="S635" s="3" t="s">
        <v>138</v>
      </c>
      <c r="T635" s="3" t="s">
        <v>39</v>
      </c>
      <c r="U635" s="3"/>
    </row>
    <row r="636" spans="1:21" x14ac:dyDescent="0.25">
      <c r="A636" s="220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5"/>
      <c r="M636" s="7"/>
      <c r="O636" s="3"/>
      <c r="P636" s="3" t="s">
        <v>1967</v>
      </c>
      <c r="Q636" s="3" t="s">
        <v>1968</v>
      </c>
      <c r="R636" s="3" t="s">
        <v>0</v>
      </c>
      <c r="S636" s="3" t="s">
        <v>1969</v>
      </c>
      <c r="T636" s="3" t="s">
        <v>86</v>
      </c>
      <c r="U636" s="3"/>
    </row>
    <row r="637" spans="1:21" x14ac:dyDescent="0.25">
      <c r="A637" s="220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5"/>
      <c r="M637" s="7"/>
      <c r="O637" s="3"/>
      <c r="P637" s="3" t="s">
        <v>1126</v>
      </c>
      <c r="Q637" s="3" t="s">
        <v>1127</v>
      </c>
      <c r="R637" s="3" t="s">
        <v>0</v>
      </c>
      <c r="S637" s="3" t="s">
        <v>2278</v>
      </c>
      <c r="T637" s="3" t="s">
        <v>35</v>
      </c>
      <c r="U637" s="3"/>
    </row>
    <row r="638" spans="1:21" x14ac:dyDescent="0.25">
      <c r="A638" s="220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5"/>
      <c r="M638" s="7"/>
      <c r="O638" s="3"/>
      <c r="P638" s="3" t="s">
        <v>1970</v>
      </c>
      <c r="Q638" s="3" t="s">
        <v>1971</v>
      </c>
      <c r="R638" s="3" t="s">
        <v>0</v>
      </c>
      <c r="S638" s="3" t="s">
        <v>1972</v>
      </c>
      <c r="T638" s="3" t="s">
        <v>39</v>
      </c>
      <c r="U638" s="3"/>
    </row>
    <row r="639" spans="1:21" x14ac:dyDescent="0.25">
      <c r="A639" s="220"/>
      <c r="B639" s="3"/>
      <c r="C639" s="3"/>
      <c r="D639" s="3"/>
      <c r="E639" s="3"/>
      <c r="F639" s="3" t="s">
        <v>51</v>
      </c>
      <c r="G639" s="3"/>
      <c r="H639" s="3"/>
      <c r="I639" s="3"/>
      <c r="J639" s="3"/>
      <c r="K639" s="3"/>
      <c r="L639" s="5"/>
      <c r="M639" s="7"/>
      <c r="O639" s="3"/>
      <c r="P639" s="3" t="s">
        <v>1129</v>
      </c>
      <c r="Q639" s="3" t="s">
        <v>1130</v>
      </c>
      <c r="R639" s="3" t="s">
        <v>0</v>
      </c>
      <c r="S639" s="3" t="s">
        <v>1131</v>
      </c>
      <c r="T639" s="3" t="s">
        <v>900</v>
      </c>
      <c r="U639" s="3"/>
    </row>
    <row r="640" spans="1:21" x14ac:dyDescent="0.25">
      <c r="A640" s="220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5"/>
      <c r="M640" s="7"/>
      <c r="O640" s="3"/>
      <c r="P640" s="3" t="s">
        <v>1973</v>
      </c>
      <c r="Q640" s="3" t="s">
        <v>1974</v>
      </c>
      <c r="R640" s="3" t="s">
        <v>0</v>
      </c>
      <c r="S640" s="3" t="s">
        <v>1975</v>
      </c>
      <c r="T640" s="3" t="s">
        <v>39</v>
      </c>
      <c r="U640" s="3"/>
    </row>
    <row r="641" spans="1:21" x14ac:dyDescent="0.25">
      <c r="A641" s="220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5"/>
      <c r="M641" s="7"/>
      <c r="O641" s="3"/>
      <c r="P641" s="3" t="s">
        <v>1132</v>
      </c>
      <c r="Q641" s="3" t="s">
        <v>1133</v>
      </c>
      <c r="R641" s="3" t="s">
        <v>0</v>
      </c>
      <c r="S641" s="3" t="s">
        <v>1134</v>
      </c>
      <c r="T641" s="3" t="s">
        <v>39</v>
      </c>
      <c r="U641" s="3"/>
    </row>
    <row r="642" spans="1:21" x14ac:dyDescent="0.25">
      <c r="A642" s="220"/>
      <c r="B642" s="3"/>
      <c r="C642" s="3"/>
      <c r="D642" s="3"/>
      <c r="E642" s="3"/>
      <c r="F642" s="3"/>
      <c r="G642" s="3"/>
      <c r="H642" s="3"/>
      <c r="I642" s="3"/>
      <c r="J642" s="3" t="s">
        <v>2443</v>
      </c>
      <c r="K642" s="3"/>
      <c r="L642" s="5"/>
      <c r="M642" s="7"/>
      <c r="O642" s="3"/>
      <c r="P642" s="3" t="s">
        <v>1135</v>
      </c>
      <c r="Q642" s="3" t="s">
        <v>1136</v>
      </c>
      <c r="R642" s="3" t="s">
        <v>0</v>
      </c>
      <c r="S642" s="3" t="s">
        <v>1137</v>
      </c>
      <c r="T642" s="3" t="s">
        <v>904</v>
      </c>
      <c r="U642" s="3"/>
    </row>
    <row r="643" spans="1:21" x14ac:dyDescent="0.25">
      <c r="A643" s="220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5"/>
      <c r="M643" s="7"/>
      <c r="O643" s="3"/>
      <c r="P643" s="3" t="s">
        <v>130</v>
      </c>
      <c r="Q643" s="3" t="s">
        <v>131</v>
      </c>
      <c r="R643" s="3" t="s">
        <v>0</v>
      </c>
      <c r="S643" s="3" t="s">
        <v>132</v>
      </c>
      <c r="T643" s="3" t="s">
        <v>33</v>
      </c>
      <c r="U643" s="3"/>
    </row>
    <row r="644" spans="1:21" x14ac:dyDescent="0.25">
      <c r="A644" s="220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5"/>
      <c r="M644" s="7"/>
      <c r="O644" s="3"/>
      <c r="P644" s="3" t="s">
        <v>2279</v>
      </c>
      <c r="Q644" s="3" t="s">
        <v>2280</v>
      </c>
      <c r="R644" s="3" t="s">
        <v>0</v>
      </c>
      <c r="S644" s="3" t="s">
        <v>2281</v>
      </c>
      <c r="T644" s="3" t="s">
        <v>39</v>
      </c>
      <c r="U644" s="3"/>
    </row>
    <row r="645" spans="1:21" x14ac:dyDescent="0.25">
      <c r="A645" s="220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5"/>
      <c r="M645" s="7"/>
      <c r="O645" s="3"/>
      <c r="P645" s="3" t="s">
        <v>2282</v>
      </c>
      <c r="Q645" s="3" t="s">
        <v>2283</v>
      </c>
      <c r="R645" s="3" t="s">
        <v>0</v>
      </c>
      <c r="S645" s="3" t="s">
        <v>2284</v>
      </c>
      <c r="T645" s="3" t="s">
        <v>39</v>
      </c>
      <c r="U645" s="3"/>
    </row>
    <row r="646" spans="1:21" x14ac:dyDescent="0.25">
      <c r="A646" s="220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5"/>
      <c r="M646" s="7"/>
      <c r="O646" s="3"/>
      <c r="P646" s="3" t="s">
        <v>133</v>
      </c>
      <c r="Q646" s="3" t="s">
        <v>134</v>
      </c>
      <c r="R646" s="3" t="s">
        <v>0</v>
      </c>
      <c r="S646" s="3" t="s">
        <v>135</v>
      </c>
      <c r="T646" s="3" t="s">
        <v>33</v>
      </c>
      <c r="U646" s="3"/>
    </row>
    <row r="647" spans="1:21" x14ac:dyDescent="0.25">
      <c r="A647" s="220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5"/>
      <c r="M647" s="7"/>
      <c r="O647" s="3"/>
      <c r="P647" s="3" t="s">
        <v>1976</v>
      </c>
      <c r="Q647" s="3" t="s">
        <v>1977</v>
      </c>
      <c r="R647" s="3" t="s">
        <v>0</v>
      </c>
      <c r="S647" s="3" t="s">
        <v>1978</v>
      </c>
      <c r="T647" s="3" t="s">
        <v>39</v>
      </c>
      <c r="U647" s="3"/>
    </row>
    <row r="648" spans="1:21" x14ac:dyDescent="0.25">
      <c r="A648" s="220"/>
      <c r="B648" s="3"/>
      <c r="C648" s="3"/>
      <c r="D648" s="3"/>
      <c r="E648" s="3" t="s">
        <v>2519</v>
      </c>
      <c r="F648" s="3"/>
      <c r="G648" s="3"/>
      <c r="H648" s="3"/>
      <c r="I648" s="3"/>
      <c r="J648" s="3"/>
      <c r="K648" s="3"/>
      <c r="L648" s="5"/>
      <c r="M648" s="7"/>
      <c r="O648" s="3"/>
      <c r="P648" s="3" t="s">
        <v>1138</v>
      </c>
      <c r="Q648" s="3" t="s">
        <v>1139</v>
      </c>
      <c r="R648" s="3" t="s">
        <v>0</v>
      </c>
      <c r="S648" s="3" t="s">
        <v>1140</v>
      </c>
      <c r="T648" s="3" t="s">
        <v>33</v>
      </c>
      <c r="U648" s="3"/>
    </row>
    <row r="649" spans="1:21" x14ac:dyDescent="0.25">
      <c r="A649" s="220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5"/>
      <c r="M649" s="7"/>
      <c r="O649" s="3"/>
      <c r="P649" s="3" t="s">
        <v>2285</v>
      </c>
      <c r="Q649" s="3" t="s">
        <v>2286</v>
      </c>
      <c r="R649" s="3" t="s">
        <v>0</v>
      </c>
      <c r="S649" s="3" t="s">
        <v>2287</v>
      </c>
      <c r="T649" s="3" t="s">
        <v>86</v>
      </c>
      <c r="U649" s="3"/>
    </row>
    <row r="650" spans="1:21" x14ac:dyDescent="0.25">
      <c r="A650" s="220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5"/>
      <c r="M650" s="7"/>
      <c r="O650" s="3"/>
      <c r="P650" s="3" t="s">
        <v>1141</v>
      </c>
      <c r="Q650" s="3" t="s">
        <v>1142</v>
      </c>
      <c r="R650" s="3" t="s">
        <v>0</v>
      </c>
      <c r="S650" s="3" t="s">
        <v>1143</v>
      </c>
      <c r="T650" s="3" t="s">
        <v>33</v>
      </c>
      <c r="U650" s="3"/>
    </row>
    <row r="651" spans="1:21" x14ac:dyDescent="0.25">
      <c r="A651" s="220"/>
      <c r="B651" s="3"/>
      <c r="C651" s="3"/>
      <c r="D651" s="3"/>
      <c r="E651" s="3" t="s">
        <v>51</v>
      </c>
      <c r="F651" s="3"/>
      <c r="G651" s="3"/>
      <c r="H651" s="3"/>
      <c r="I651" s="3"/>
      <c r="J651" s="3"/>
      <c r="K651" s="3"/>
      <c r="L651" s="5"/>
      <c r="M651" s="7"/>
      <c r="O651" s="3"/>
      <c r="P651" s="3" t="s">
        <v>1144</v>
      </c>
      <c r="Q651" s="3" t="s">
        <v>1145</v>
      </c>
      <c r="R651" s="3" t="s">
        <v>0</v>
      </c>
      <c r="S651" s="3" t="s">
        <v>1146</v>
      </c>
      <c r="T651" s="3" t="s">
        <v>34</v>
      </c>
      <c r="U651" s="3"/>
    </row>
    <row r="652" spans="1:21" x14ac:dyDescent="0.25">
      <c r="A652" s="220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5"/>
      <c r="M652" s="7"/>
      <c r="O652" s="3"/>
      <c r="P652" s="3" t="s">
        <v>107</v>
      </c>
      <c r="Q652" s="3" t="s">
        <v>108</v>
      </c>
      <c r="R652" s="3" t="s">
        <v>0</v>
      </c>
      <c r="S652" s="3" t="s">
        <v>109</v>
      </c>
      <c r="T652" s="3" t="s">
        <v>110</v>
      </c>
      <c r="U652" s="3"/>
    </row>
    <row r="653" spans="1:21" x14ac:dyDescent="0.25">
      <c r="A653" s="220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5"/>
      <c r="M653" s="7"/>
      <c r="O653" s="3"/>
      <c r="P653" s="3" t="s">
        <v>2414</v>
      </c>
      <c r="Q653" s="3" t="s">
        <v>2415</v>
      </c>
      <c r="R653" s="3" t="s">
        <v>0</v>
      </c>
      <c r="S653" s="3" t="s">
        <v>2420</v>
      </c>
      <c r="T653" s="3" t="s">
        <v>1307</v>
      </c>
      <c r="U653" s="3"/>
    </row>
    <row r="654" spans="1:21" x14ac:dyDescent="0.25">
      <c r="A654" s="220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5"/>
      <c r="M654" s="7"/>
      <c r="O654" s="3"/>
      <c r="P654" s="3" t="s">
        <v>1147</v>
      </c>
      <c r="Q654" s="3" t="s">
        <v>1148</v>
      </c>
      <c r="R654" s="3" t="s">
        <v>0</v>
      </c>
      <c r="S654" s="3" t="s">
        <v>1149</v>
      </c>
      <c r="T654" s="3" t="s">
        <v>86</v>
      </c>
      <c r="U654" s="3"/>
    </row>
    <row r="655" spans="1:21" x14ac:dyDescent="0.25">
      <c r="A655" s="220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5"/>
      <c r="M655" s="7"/>
      <c r="O655" s="3"/>
      <c r="P655" s="3" t="s">
        <v>139</v>
      </c>
      <c r="Q655" s="3" t="s">
        <v>140</v>
      </c>
      <c r="R655" s="3" t="s">
        <v>0</v>
      </c>
      <c r="S655" s="3" t="s">
        <v>141</v>
      </c>
      <c r="T655" s="3" t="s">
        <v>33</v>
      </c>
      <c r="U655" s="3"/>
    </row>
    <row r="656" spans="1:21" x14ac:dyDescent="0.25">
      <c r="A656" s="220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5"/>
      <c r="M656" s="7"/>
      <c r="O656" s="3"/>
      <c r="P656" s="3" t="s">
        <v>1979</v>
      </c>
      <c r="Q656" s="3" t="s">
        <v>1980</v>
      </c>
      <c r="R656" s="3" t="s">
        <v>0</v>
      </c>
      <c r="S656" s="3" t="s">
        <v>1981</v>
      </c>
      <c r="T656" s="3" t="s">
        <v>39</v>
      </c>
      <c r="U656" s="3"/>
    </row>
    <row r="657" spans="1:21" x14ac:dyDescent="0.25">
      <c r="A657" s="220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5"/>
      <c r="M657" s="7"/>
      <c r="N657" t="s">
        <v>2746</v>
      </c>
      <c r="O657" s="3"/>
      <c r="P657" s="3" t="s">
        <v>2446</v>
      </c>
      <c r="Q657" s="3" t="s">
        <v>2447</v>
      </c>
      <c r="R657" s="3" t="s">
        <v>0</v>
      </c>
      <c r="S657" s="3" t="s">
        <v>2450</v>
      </c>
      <c r="T657" s="3" t="s">
        <v>2451</v>
      </c>
      <c r="U657" s="3"/>
    </row>
    <row r="658" spans="1:21" x14ac:dyDescent="0.25">
      <c r="A658" s="220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5"/>
      <c r="M658" s="7"/>
      <c r="O658" s="3"/>
      <c r="P658" s="3" t="s">
        <v>1150</v>
      </c>
      <c r="Q658" s="3" t="s">
        <v>1151</v>
      </c>
      <c r="R658" s="3" t="s">
        <v>0</v>
      </c>
      <c r="S658" s="3" t="s">
        <v>1152</v>
      </c>
      <c r="T658" s="3" t="s">
        <v>86</v>
      </c>
      <c r="U658" s="3"/>
    </row>
    <row r="659" spans="1:21" x14ac:dyDescent="0.25">
      <c r="A659" s="220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5"/>
      <c r="M659" s="7"/>
      <c r="O659" s="3"/>
      <c r="P659" s="3" t="s">
        <v>2478</v>
      </c>
      <c r="Q659" s="3" t="s">
        <v>2479</v>
      </c>
      <c r="R659" s="3" t="s">
        <v>0</v>
      </c>
      <c r="S659" s="3" t="s">
        <v>2491</v>
      </c>
      <c r="T659" s="3" t="s">
        <v>2488</v>
      </c>
      <c r="U659" s="3"/>
    </row>
    <row r="660" spans="1:21" x14ac:dyDescent="0.25">
      <c r="A660" s="220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5"/>
      <c r="M660" s="7"/>
      <c r="O660" s="3"/>
      <c r="P660" s="3" t="s">
        <v>1153</v>
      </c>
      <c r="Q660" s="3" t="s">
        <v>1154</v>
      </c>
      <c r="R660" s="3" t="s">
        <v>0</v>
      </c>
      <c r="S660" s="3" t="s">
        <v>1155</v>
      </c>
      <c r="T660" s="3" t="s">
        <v>38</v>
      </c>
      <c r="U660" s="3"/>
    </row>
    <row r="661" spans="1:21" x14ac:dyDescent="0.25">
      <c r="A661" s="220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5"/>
      <c r="M661" s="7"/>
      <c r="O661" s="3"/>
      <c r="P661" s="3">
        <v>791</v>
      </c>
      <c r="Q661" s="3" t="s">
        <v>2481</v>
      </c>
      <c r="R661" s="3" t="s">
        <v>0</v>
      </c>
      <c r="S661" s="3" t="s">
        <v>2492</v>
      </c>
      <c r="T661" s="3" t="s">
        <v>2487</v>
      </c>
      <c r="U661" s="3"/>
    </row>
    <row r="662" spans="1:21" x14ac:dyDescent="0.25">
      <c r="A662" s="220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5"/>
      <c r="M662" s="7"/>
      <c r="O662" s="3"/>
      <c r="P662" s="3" t="s">
        <v>1156</v>
      </c>
      <c r="Q662" s="3" t="s">
        <v>1157</v>
      </c>
      <c r="R662" s="3" t="s">
        <v>0</v>
      </c>
      <c r="S662" s="3" t="s">
        <v>1158</v>
      </c>
      <c r="T662" s="3" t="s">
        <v>33</v>
      </c>
      <c r="U662" s="3"/>
    </row>
    <row r="663" spans="1:21" x14ac:dyDescent="0.25">
      <c r="A663" s="220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5"/>
      <c r="M663" s="7"/>
      <c r="O663" s="3"/>
      <c r="P663" s="3" t="s">
        <v>1159</v>
      </c>
      <c r="Q663" s="3" t="s">
        <v>1160</v>
      </c>
      <c r="R663" s="3" t="s">
        <v>0</v>
      </c>
      <c r="S663" s="3" t="s">
        <v>1161</v>
      </c>
      <c r="T663" s="3" t="s">
        <v>1162</v>
      </c>
      <c r="U663" s="3"/>
    </row>
    <row r="664" spans="1:21" x14ac:dyDescent="0.25">
      <c r="A664" s="220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5"/>
      <c r="M664" s="7"/>
      <c r="O664" s="3"/>
      <c r="P664" s="3" t="s">
        <v>1982</v>
      </c>
      <c r="Q664" s="3" t="s">
        <v>1983</v>
      </c>
      <c r="R664" s="3" t="s">
        <v>0</v>
      </c>
      <c r="S664" s="3" t="s">
        <v>1984</v>
      </c>
      <c r="T664" s="3" t="s">
        <v>33</v>
      </c>
      <c r="U664" s="3"/>
    </row>
    <row r="665" spans="1:21" x14ac:dyDescent="0.25">
      <c r="A665" s="220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5"/>
      <c r="M665" s="7"/>
      <c r="O665" s="3"/>
      <c r="P665" s="3" t="s">
        <v>1163</v>
      </c>
      <c r="Q665" s="3" t="s">
        <v>1164</v>
      </c>
      <c r="R665" s="3" t="s">
        <v>0</v>
      </c>
      <c r="S665" s="3" t="s">
        <v>1165</v>
      </c>
      <c r="T665" s="3" t="s">
        <v>911</v>
      </c>
      <c r="U665" s="3"/>
    </row>
    <row r="666" spans="1:21" x14ac:dyDescent="0.25">
      <c r="A666" s="220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5"/>
      <c r="M666" s="7"/>
      <c r="O666" s="3"/>
      <c r="P666" s="3" t="s">
        <v>2288</v>
      </c>
      <c r="Q666" s="3" t="s">
        <v>2289</v>
      </c>
      <c r="R666" s="3" t="s">
        <v>0</v>
      </c>
      <c r="S666" s="3" t="s">
        <v>2290</v>
      </c>
      <c r="T666" s="3" t="s">
        <v>0</v>
      </c>
      <c r="U666" s="3"/>
    </row>
    <row r="667" spans="1:21" x14ac:dyDescent="0.25">
      <c r="A667" s="220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5"/>
      <c r="M667" s="7"/>
      <c r="O667" s="3"/>
      <c r="P667" s="3" t="s">
        <v>2381</v>
      </c>
      <c r="Q667" s="3" t="s">
        <v>2382</v>
      </c>
      <c r="R667" s="3" t="s">
        <v>0</v>
      </c>
      <c r="S667" s="3" t="s">
        <v>2383</v>
      </c>
      <c r="T667" s="3" t="s">
        <v>2384</v>
      </c>
      <c r="U667" s="3"/>
    </row>
    <row r="668" spans="1:21" x14ac:dyDescent="0.25">
      <c r="A668" s="220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5"/>
      <c r="M668" s="7"/>
      <c r="O668" s="3"/>
      <c r="P668" s="3" t="s">
        <v>1166</v>
      </c>
      <c r="Q668" s="3" t="s">
        <v>1167</v>
      </c>
      <c r="R668" s="3" t="s">
        <v>0</v>
      </c>
      <c r="S668" s="3" t="s">
        <v>1168</v>
      </c>
      <c r="T668" s="3" t="s">
        <v>86</v>
      </c>
      <c r="U668" s="3"/>
    </row>
    <row r="669" spans="1:21" x14ac:dyDescent="0.25">
      <c r="A669" s="220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5"/>
      <c r="M669" s="7"/>
      <c r="O669" s="3"/>
      <c r="P669" s="3" t="s">
        <v>1169</v>
      </c>
      <c r="Q669" s="3" t="s">
        <v>1170</v>
      </c>
      <c r="R669" s="3" t="s">
        <v>0</v>
      </c>
      <c r="S669" s="3" t="s">
        <v>1171</v>
      </c>
      <c r="T669" s="3" t="s">
        <v>968</v>
      </c>
      <c r="U669" s="3"/>
    </row>
    <row r="670" spans="1:21" x14ac:dyDescent="0.25">
      <c r="A670" s="220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5"/>
      <c r="M670" s="7"/>
      <c r="O670" s="3"/>
      <c r="P670" s="3" t="s">
        <v>117</v>
      </c>
      <c r="Q670" s="3" t="s">
        <v>118</v>
      </c>
      <c r="R670" s="3" t="s">
        <v>0</v>
      </c>
      <c r="S670" s="3" t="s">
        <v>119</v>
      </c>
      <c r="T670" s="3" t="s">
        <v>86</v>
      </c>
      <c r="U670" s="3"/>
    </row>
    <row r="671" spans="1:21" x14ac:dyDescent="0.25">
      <c r="A671" s="220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5"/>
      <c r="M671" s="7"/>
      <c r="O671" s="3"/>
      <c r="P671" s="3" t="s">
        <v>1985</v>
      </c>
      <c r="Q671" s="3" t="s">
        <v>1986</v>
      </c>
      <c r="R671" s="3" t="s">
        <v>0</v>
      </c>
      <c r="S671" s="3" t="s">
        <v>1987</v>
      </c>
      <c r="T671" s="3" t="s">
        <v>1988</v>
      </c>
      <c r="U671" s="3"/>
    </row>
    <row r="672" spans="1:21" x14ac:dyDescent="0.25">
      <c r="A672" s="220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5"/>
      <c r="M672" s="7"/>
      <c r="O672" s="3"/>
      <c r="P672" s="3" t="s">
        <v>1172</v>
      </c>
      <c r="Q672" s="3" t="s">
        <v>1173</v>
      </c>
      <c r="R672" s="3" t="s">
        <v>0</v>
      </c>
      <c r="S672" s="3" t="s">
        <v>1174</v>
      </c>
      <c r="T672" s="3" t="s">
        <v>86</v>
      </c>
      <c r="U672" s="3"/>
    </row>
    <row r="673" spans="1:21" x14ac:dyDescent="0.25">
      <c r="A673" s="220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5"/>
      <c r="M673" s="7"/>
      <c r="O673" s="3"/>
      <c r="P673" s="3" t="s">
        <v>1175</v>
      </c>
      <c r="Q673" s="3" t="s">
        <v>1176</v>
      </c>
      <c r="R673" s="3" t="s">
        <v>0</v>
      </c>
      <c r="S673" s="3" t="s">
        <v>1177</v>
      </c>
      <c r="T673" s="3" t="s">
        <v>86</v>
      </c>
      <c r="U673" s="3"/>
    </row>
    <row r="674" spans="1:21" x14ac:dyDescent="0.25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5"/>
      <c r="M674" s="7"/>
      <c r="O674" s="3"/>
      <c r="P674" s="3" t="s">
        <v>1408</v>
      </c>
      <c r="Q674" s="3" t="s">
        <v>1409</v>
      </c>
      <c r="R674" s="3" t="s">
        <v>0</v>
      </c>
      <c r="S674" s="3" t="s">
        <v>1410</v>
      </c>
      <c r="T674" s="3" t="s">
        <v>33</v>
      </c>
      <c r="U674" s="3"/>
    </row>
    <row r="675" spans="1:21" x14ac:dyDescent="0.2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5"/>
      <c r="M675" s="7"/>
      <c r="O675" s="3"/>
      <c r="P675" s="3" t="s">
        <v>1989</v>
      </c>
      <c r="Q675" s="3" t="s">
        <v>1990</v>
      </c>
      <c r="R675" s="3" t="s">
        <v>0</v>
      </c>
      <c r="S675" s="3" t="s">
        <v>1991</v>
      </c>
      <c r="T675" s="3" t="s">
        <v>33</v>
      </c>
      <c r="U675" s="3"/>
    </row>
    <row r="676" spans="1:21" x14ac:dyDescent="0.25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5"/>
      <c r="M676" s="7"/>
      <c r="O676" s="3"/>
      <c r="P676" s="3" t="s">
        <v>1178</v>
      </c>
      <c r="Q676" s="3" t="s">
        <v>1179</v>
      </c>
      <c r="R676" s="3" t="s">
        <v>0</v>
      </c>
      <c r="S676" s="3" t="s">
        <v>1180</v>
      </c>
      <c r="T676" s="3" t="s">
        <v>1017</v>
      </c>
      <c r="U676" s="3"/>
    </row>
    <row r="677" spans="1:21" x14ac:dyDescent="0.25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5"/>
      <c r="M677" s="7"/>
      <c r="O677" s="3"/>
      <c r="P677" s="3" t="s">
        <v>1181</v>
      </c>
      <c r="Q677" s="3" t="s">
        <v>1182</v>
      </c>
      <c r="R677" s="3" t="s">
        <v>0</v>
      </c>
      <c r="S677" s="3" t="s">
        <v>1183</v>
      </c>
      <c r="T677" s="3" t="s">
        <v>86</v>
      </c>
      <c r="U677" s="3"/>
    </row>
    <row r="678" spans="1:21" x14ac:dyDescent="0.25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5"/>
      <c r="M678" s="7"/>
      <c r="O678" s="3"/>
      <c r="P678" s="3" t="s">
        <v>1184</v>
      </c>
      <c r="Q678" s="3" t="s">
        <v>1185</v>
      </c>
      <c r="R678" s="3" t="s">
        <v>0</v>
      </c>
      <c r="S678" s="3" t="s">
        <v>1186</v>
      </c>
      <c r="T678" s="3" t="s">
        <v>34</v>
      </c>
      <c r="U678" s="3"/>
    </row>
    <row r="679" spans="1:21" x14ac:dyDescent="0.25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5"/>
      <c r="M679" s="7"/>
      <c r="O679" s="3"/>
      <c r="P679" s="3" t="s">
        <v>1187</v>
      </c>
      <c r="Q679" s="3" t="s">
        <v>1188</v>
      </c>
      <c r="R679" s="3" t="s">
        <v>0</v>
      </c>
      <c r="S679" s="3" t="s">
        <v>1186</v>
      </c>
      <c r="T679" s="3" t="s">
        <v>876</v>
      </c>
      <c r="U679" s="3"/>
    </row>
    <row r="680" spans="1:21" x14ac:dyDescent="0.25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5"/>
      <c r="M680" s="7"/>
      <c r="O680" s="3"/>
      <c r="P680" s="3" t="s">
        <v>1189</v>
      </c>
      <c r="Q680" s="3" t="s">
        <v>1190</v>
      </c>
      <c r="R680" s="3" t="s">
        <v>0</v>
      </c>
      <c r="S680" s="3" t="s">
        <v>1191</v>
      </c>
      <c r="T680" s="3" t="s">
        <v>1012</v>
      </c>
      <c r="U680" s="3"/>
    </row>
    <row r="681" spans="1:21" x14ac:dyDescent="0.25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5"/>
      <c r="M681" s="7"/>
      <c r="O681" s="3"/>
      <c r="P681" s="3" t="s">
        <v>1192</v>
      </c>
      <c r="Q681" s="3" t="s">
        <v>1193</v>
      </c>
      <c r="R681" s="3" t="s">
        <v>0</v>
      </c>
      <c r="S681" s="3" t="s">
        <v>1194</v>
      </c>
      <c r="T681" s="3" t="s">
        <v>1012</v>
      </c>
      <c r="U681" s="3"/>
    </row>
    <row r="682" spans="1:21" x14ac:dyDescent="0.25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5"/>
      <c r="M682" s="7"/>
      <c r="O682" s="3"/>
      <c r="P682" s="3" t="s">
        <v>1195</v>
      </c>
      <c r="Q682" s="3" t="s">
        <v>1196</v>
      </c>
      <c r="R682" s="3" t="s">
        <v>0</v>
      </c>
      <c r="S682" s="3" t="s">
        <v>1197</v>
      </c>
      <c r="T682" s="3" t="s">
        <v>86</v>
      </c>
      <c r="U682" s="3"/>
    </row>
    <row r="683" spans="1:21" x14ac:dyDescent="0.25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5"/>
      <c r="M683" s="7"/>
      <c r="O683" s="3"/>
      <c r="P683" s="3" t="s">
        <v>1198</v>
      </c>
      <c r="Q683" s="3" t="s">
        <v>1199</v>
      </c>
      <c r="R683" s="3" t="s">
        <v>0</v>
      </c>
      <c r="S683" s="3" t="s">
        <v>1200</v>
      </c>
      <c r="T683" s="3" t="s">
        <v>876</v>
      </c>
      <c r="U683" s="3"/>
    </row>
    <row r="684" spans="1:21" x14ac:dyDescent="0.25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5"/>
      <c r="M684" s="7"/>
      <c r="O684" s="3"/>
      <c r="P684" s="3" t="s">
        <v>1992</v>
      </c>
      <c r="Q684" s="3" t="s">
        <v>1993</v>
      </c>
      <c r="R684" s="3" t="s">
        <v>0</v>
      </c>
      <c r="S684" s="3" t="s">
        <v>1994</v>
      </c>
      <c r="T684" s="3" t="s">
        <v>39</v>
      </c>
      <c r="U684" s="3"/>
    </row>
    <row r="685" spans="1:21" x14ac:dyDescent="0.2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5"/>
      <c r="M685" s="7"/>
      <c r="O685" s="3"/>
      <c r="P685" s="3" t="s">
        <v>1201</v>
      </c>
      <c r="Q685" s="3" t="s">
        <v>1202</v>
      </c>
      <c r="R685" s="3" t="s">
        <v>0</v>
      </c>
      <c r="S685" s="3" t="s">
        <v>1203</v>
      </c>
      <c r="T685" s="3" t="s">
        <v>86</v>
      </c>
      <c r="U685" s="3"/>
    </row>
    <row r="686" spans="1:21" x14ac:dyDescent="0.25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5"/>
      <c r="M686" s="7"/>
      <c r="O686" s="3"/>
      <c r="P686" s="3" t="s">
        <v>1204</v>
      </c>
      <c r="Q686" s="3" t="s">
        <v>1205</v>
      </c>
      <c r="R686" s="3" t="s">
        <v>0</v>
      </c>
      <c r="S686" s="3" t="s">
        <v>1206</v>
      </c>
      <c r="T686" s="3" t="s">
        <v>86</v>
      </c>
      <c r="U686" s="3"/>
    </row>
    <row r="687" spans="1:21" x14ac:dyDescent="0.25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5"/>
      <c r="M687" s="7"/>
      <c r="O687" s="3"/>
      <c r="P687" s="3" t="s">
        <v>1207</v>
      </c>
      <c r="Q687" s="3" t="s">
        <v>1208</v>
      </c>
      <c r="R687" s="3" t="s">
        <v>0</v>
      </c>
      <c r="S687" s="3" t="s">
        <v>1209</v>
      </c>
      <c r="T687" s="3" t="s">
        <v>904</v>
      </c>
      <c r="U687" s="3"/>
    </row>
    <row r="688" spans="1:21" x14ac:dyDescent="0.25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5"/>
      <c r="M688" s="7"/>
      <c r="O688" s="3"/>
      <c r="P688" s="3" t="s">
        <v>1210</v>
      </c>
      <c r="Q688" s="3" t="s">
        <v>1211</v>
      </c>
      <c r="R688" s="3" t="s">
        <v>0</v>
      </c>
      <c r="S688" s="3" t="s">
        <v>1212</v>
      </c>
      <c r="T688" s="3" t="s">
        <v>900</v>
      </c>
      <c r="U688" s="3"/>
    </row>
    <row r="689" spans="1:21" x14ac:dyDescent="0.25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5"/>
      <c r="M689" s="7"/>
      <c r="O689" s="3"/>
      <c r="P689" s="3" t="s">
        <v>2291</v>
      </c>
      <c r="Q689" s="3" t="s">
        <v>2292</v>
      </c>
      <c r="R689" s="3" t="s">
        <v>0</v>
      </c>
      <c r="S689" s="3" t="s">
        <v>2293</v>
      </c>
      <c r="T689" s="3" t="s">
        <v>86</v>
      </c>
      <c r="U689" s="3"/>
    </row>
    <row r="690" spans="1:21" x14ac:dyDescent="0.25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5"/>
      <c r="M690" s="7"/>
      <c r="O690" s="3"/>
      <c r="P690" s="3" t="s">
        <v>1995</v>
      </c>
      <c r="Q690" s="3" t="s">
        <v>1996</v>
      </c>
      <c r="R690" s="3" t="s">
        <v>0</v>
      </c>
      <c r="S690" s="3" t="s">
        <v>1997</v>
      </c>
      <c r="T690" s="3" t="s">
        <v>86</v>
      </c>
      <c r="U690" s="3"/>
    </row>
    <row r="691" spans="1:21" x14ac:dyDescent="0.25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5"/>
      <c r="M691" s="7"/>
      <c r="O691" s="3"/>
      <c r="P691" s="3" t="s">
        <v>1213</v>
      </c>
      <c r="Q691" s="3" t="s">
        <v>1214</v>
      </c>
      <c r="R691" s="3" t="s">
        <v>0</v>
      </c>
      <c r="S691" s="3" t="s">
        <v>1215</v>
      </c>
      <c r="T691" s="3" t="s">
        <v>38</v>
      </c>
      <c r="U691" s="3"/>
    </row>
    <row r="692" spans="1:21" x14ac:dyDescent="0.25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5"/>
      <c r="M692" s="7"/>
      <c r="O692" s="3"/>
      <c r="P692" s="3" t="s">
        <v>1216</v>
      </c>
      <c r="Q692" s="3" t="s">
        <v>1217</v>
      </c>
      <c r="R692" s="3" t="s">
        <v>0</v>
      </c>
      <c r="S692" s="3" t="s">
        <v>1218</v>
      </c>
      <c r="T692" s="3" t="s">
        <v>86</v>
      </c>
      <c r="U692" s="3"/>
    </row>
    <row r="693" spans="1:21" x14ac:dyDescent="0.25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5"/>
      <c r="M693" s="7"/>
      <c r="O693" s="3"/>
      <c r="P693" s="3" t="s">
        <v>2294</v>
      </c>
      <c r="Q693" s="3" t="s">
        <v>2295</v>
      </c>
      <c r="R693" s="3" t="s">
        <v>0</v>
      </c>
      <c r="S693" s="3" t="s">
        <v>2296</v>
      </c>
      <c r="T693" s="3" t="s">
        <v>33</v>
      </c>
      <c r="U693" s="3"/>
    </row>
    <row r="694" spans="1:21" x14ac:dyDescent="0.25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5"/>
      <c r="M694" s="7"/>
      <c r="O694" s="3"/>
      <c r="P694" s="3" t="s">
        <v>881</v>
      </c>
      <c r="Q694" s="3" t="s">
        <v>882</v>
      </c>
      <c r="R694" s="3" t="s">
        <v>0</v>
      </c>
      <c r="S694" s="3" t="s">
        <v>2452</v>
      </c>
      <c r="T694" s="3" t="s">
        <v>884</v>
      </c>
      <c r="U694" s="3"/>
    </row>
    <row r="695" spans="1:21" x14ac:dyDescent="0.2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5"/>
      <c r="M695" s="7"/>
      <c r="O695" s="3"/>
      <c r="P695" s="3" t="s">
        <v>1998</v>
      </c>
      <c r="Q695" s="3" t="s">
        <v>1999</v>
      </c>
      <c r="R695" s="3" t="s">
        <v>0</v>
      </c>
      <c r="S695" s="3" t="s">
        <v>2000</v>
      </c>
      <c r="T695" s="3" t="s">
        <v>2001</v>
      </c>
      <c r="U695" s="3"/>
    </row>
    <row r="696" spans="1:21" x14ac:dyDescent="0.25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5"/>
      <c r="M696" s="7"/>
      <c r="O696" s="3"/>
      <c r="P696" s="3" t="s">
        <v>1412</v>
      </c>
      <c r="Q696" s="3" t="s">
        <v>1413</v>
      </c>
      <c r="R696" s="3" t="s">
        <v>0</v>
      </c>
      <c r="S696" s="3" t="s">
        <v>1414</v>
      </c>
      <c r="T696" s="3" t="s">
        <v>33</v>
      </c>
      <c r="U696" s="3"/>
    </row>
    <row r="697" spans="1:21" x14ac:dyDescent="0.25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5"/>
      <c r="M697" s="7"/>
      <c r="O697" s="3"/>
      <c r="P697" s="3" t="s">
        <v>2002</v>
      </c>
      <c r="Q697" s="3" t="s">
        <v>2003</v>
      </c>
      <c r="R697" s="3" t="s">
        <v>0</v>
      </c>
      <c r="S697" s="3" t="s">
        <v>2004</v>
      </c>
      <c r="T697" s="3" t="s">
        <v>1932</v>
      </c>
      <c r="U697" s="3"/>
    </row>
    <row r="698" spans="1:21" x14ac:dyDescent="0.25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5"/>
      <c r="M698" s="7"/>
      <c r="O698" s="3"/>
      <c r="P698" s="3" t="s">
        <v>2005</v>
      </c>
      <c r="Q698" s="3" t="s">
        <v>2006</v>
      </c>
      <c r="R698" s="3" t="s">
        <v>0</v>
      </c>
      <c r="S698" s="3" t="s">
        <v>2007</v>
      </c>
      <c r="T698" s="3" t="s">
        <v>34</v>
      </c>
      <c r="U698" s="3"/>
    </row>
    <row r="699" spans="1:21" x14ac:dyDescent="0.25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5"/>
      <c r="M699" s="7"/>
      <c r="O699" s="3"/>
      <c r="P699" s="3" t="s">
        <v>2008</v>
      </c>
      <c r="Q699" s="3" t="s">
        <v>2009</v>
      </c>
      <c r="R699" s="3" t="s">
        <v>0</v>
      </c>
      <c r="S699" s="3" t="s">
        <v>2010</v>
      </c>
      <c r="T699" s="3" t="s">
        <v>86</v>
      </c>
      <c r="U699" s="3"/>
    </row>
    <row r="700" spans="1:21" x14ac:dyDescent="0.25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5"/>
      <c r="M700" s="7"/>
      <c r="O700" s="3"/>
      <c r="P700" s="3" t="s">
        <v>2011</v>
      </c>
      <c r="Q700" s="3" t="s">
        <v>2012</v>
      </c>
      <c r="R700" s="3" t="s">
        <v>0</v>
      </c>
      <c r="S700" s="3" t="s">
        <v>2013</v>
      </c>
      <c r="T700" s="3" t="s">
        <v>0</v>
      </c>
      <c r="U700" s="3"/>
    </row>
    <row r="701" spans="1:21" x14ac:dyDescent="0.25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5"/>
      <c r="M701" s="7"/>
      <c r="O701" s="3"/>
      <c r="P701" s="3" t="s">
        <v>1219</v>
      </c>
      <c r="Q701" s="3" t="s">
        <v>1220</v>
      </c>
      <c r="R701" s="3" t="s">
        <v>0</v>
      </c>
      <c r="S701" s="3" t="s">
        <v>724</v>
      </c>
      <c r="T701" s="3" t="s">
        <v>39</v>
      </c>
      <c r="U701" s="3"/>
    </row>
    <row r="702" spans="1:21" x14ac:dyDescent="0.25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5"/>
      <c r="M702" s="7"/>
      <c r="O702" s="3"/>
      <c r="P702" s="3" t="s">
        <v>2014</v>
      </c>
      <c r="Q702" s="3" t="s">
        <v>2375</v>
      </c>
      <c r="R702" s="3" t="s">
        <v>0</v>
      </c>
      <c r="S702" s="3" t="s">
        <v>2015</v>
      </c>
      <c r="T702" s="3" t="s">
        <v>2016</v>
      </c>
      <c r="U702" s="3"/>
    </row>
    <row r="703" spans="1:21" x14ac:dyDescent="0.25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5"/>
      <c r="M703" s="7"/>
      <c r="O703" s="3"/>
      <c r="P703" s="3" t="s">
        <v>2297</v>
      </c>
      <c r="Q703" s="3" t="s">
        <v>2298</v>
      </c>
      <c r="R703" s="3" t="s">
        <v>0</v>
      </c>
      <c r="S703" s="3" t="s">
        <v>2299</v>
      </c>
      <c r="T703" s="3" t="s">
        <v>39</v>
      </c>
      <c r="U703" s="3"/>
    </row>
    <row r="704" spans="1:21" x14ac:dyDescent="0.25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5"/>
      <c r="M704" s="7"/>
      <c r="O704" s="3"/>
      <c r="P704" s="3" t="s">
        <v>1221</v>
      </c>
      <c r="Q704" s="3" t="s">
        <v>1222</v>
      </c>
      <c r="R704" s="3" t="s">
        <v>0</v>
      </c>
      <c r="S704" s="3" t="s">
        <v>1223</v>
      </c>
      <c r="T704" s="3" t="s">
        <v>86</v>
      </c>
      <c r="U704" s="3"/>
    </row>
    <row r="705" spans="1:21" x14ac:dyDescent="0.2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5"/>
      <c r="M705" s="7"/>
      <c r="O705" s="3"/>
      <c r="P705" s="3" t="s">
        <v>37</v>
      </c>
      <c r="Q705" s="3" t="s">
        <v>1224</v>
      </c>
      <c r="R705" s="3" t="s">
        <v>0</v>
      </c>
      <c r="S705" s="3" t="s">
        <v>36</v>
      </c>
      <c r="T705" s="3" t="s">
        <v>33</v>
      </c>
      <c r="U705" s="3"/>
    </row>
    <row r="706" spans="1:21" x14ac:dyDescent="0.25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5"/>
      <c r="M706" s="7"/>
      <c r="O706" s="3"/>
      <c r="P706" s="3" t="s">
        <v>2300</v>
      </c>
      <c r="Q706" s="3" t="s">
        <v>2301</v>
      </c>
      <c r="R706" s="3" t="s">
        <v>0</v>
      </c>
      <c r="S706" s="3" t="s">
        <v>2302</v>
      </c>
      <c r="T706" s="3" t="s">
        <v>86</v>
      </c>
      <c r="U706" s="3"/>
    </row>
    <row r="707" spans="1:21" x14ac:dyDescent="0.25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5"/>
      <c r="M707" s="7"/>
      <c r="O707" s="3"/>
      <c r="P707" s="3" t="s">
        <v>1225</v>
      </c>
      <c r="Q707" s="3" t="s">
        <v>1226</v>
      </c>
      <c r="R707" s="3" t="s">
        <v>0</v>
      </c>
      <c r="S707" s="3" t="s">
        <v>1227</v>
      </c>
      <c r="T707" s="3" t="s">
        <v>86</v>
      </c>
      <c r="U707" s="3"/>
    </row>
    <row r="708" spans="1:21" x14ac:dyDescent="0.25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5"/>
      <c r="M708" s="7"/>
      <c r="O708" s="3"/>
      <c r="P708" s="3" t="s">
        <v>2303</v>
      </c>
      <c r="Q708" s="3" t="s">
        <v>2304</v>
      </c>
      <c r="R708" s="3" t="s">
        <v>0</v>
      </c>
      <c r="S708" s="3" t="s">
        <v>2305</v>
      </c>
      <c r="T708" s="3" t="s">
        <v>39</v>
      </c>
      <c r="U708" s="3"/>
    </row>
    <row r="709" spans="1:21" x14ac:dyDescent="0.25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5"/>
      <c r="M709" s="7"/>
      <c r="O709" s="3"/>
      <c r="P709" s="3" t="s">
        <v>2306</v>
      </c>
      <c r="Q709" s="3" t="s">
        <v>2307</v>
      </c>
      <c r="R709" s="3" t="s">
        <v>0</v>
      </c>
      <c r="S709" s="3" t="s">
        <v>2308</v>
      </c>
      <c r="T709" s="3" t="s">
        <v>35</v>
      </c>
      <c r="U709" s="3"/>
    </row>
    <row r="710" spans="1:21" x14ac:dyDescent="0.25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5"/>
      <c r="M710" s="7"/>
      <c r="O710" s="3"/>
      <c r="P710" s="3" t="s">
        <v>2309</v>
      </c>
      <c r="Q710" s="3" t="s">
        <v>2310</v>
      </c>
      <c r="R710" s="3" t="s">
        <v>0</v>
      </c>
      <c r="S710" s="3" t="s">
        <v>2311</v>
      </c>
      <c r="T710" s="3" t="s">
        <v>33</v>
      </c>
      <c r="U710" s="3"/>
    </row>
    <row r="711" spans="1:21" x14ac:dyDescent="0.25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5"/>
      <c r="M711" s="7"/>
      <c r="O711" s="3"/>
      <c r="P711" s="3" t="s">
        <v>2017</v>
      </c>
      <c r="Q711" s="3" t="s">
        <v>2018</v>
      </c>
      <c r="R711" s="3" t="s">
        <v>0</v>
      </c>
      <c r="S711" s="3" t="s">
        <v>2019</v>
      </c>
      <c r="T711" s="3" t="s">
        <v>33</v>
      </c>
      <c r="U711" s="3"/>
    </row>
    <row r="712" spans="1:21" x14ac:dyDescent="0.25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5"/>
      <c r="M712" s="7"/>
      <c r="O712" s="3"/>
      <c r="P712" s="3" t="s">
        <v>2312</v>
      </c>
      <c r="Q712" s="3" t="s">
        <v>2313</v>
      </c>
      <c r="R712" s="3" t="s">
        <v>0</v>
      </c>
      <c r="S712" s="3" t="s">
        <v>2314</v>
      </c>
      <c r="T712" s="3" t="s">
        <v>900</v>
      </c>
      <c r="U712" s="3"/>
    </row>
    <row r="713" spans="1:21" x14ac:dyDescent="0.25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5"/>
      <c r="M713" s="7"/>
      <c r="O713" s="3"/>
      <c r="P713" s="3" t="s">
        <v>1415</v>
      </c>
      <c r="Q713" s="3" t="s">
        <v>1416</v>
      </c>
      <c r="R713" s="3" t="s">
        <v>0</v>
      </c>
      <c r="S713" s="3" t="s">
        <v>1417</v>
      </c>
      <c r="T713" s="3" t="s">
        <v>35</v>
      </c>
      <c r="U713" s="3"/>
    </row>
    <row r="714" spans="1:21" x14ac:dyDescent="0.25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5"/>
      <c r="M714" s="7"/>
      <c r="O714" s="3"/>
      <c r="P714" s="3" t="s">
        <v>2315</v>
      </c>
      <c r="Q714" s="3" t="s">
        <v>2316</v>
      </c>
      <c r="R714" s="3" t="s">
        <v>0</v>
      </c>
      <c r="S714" s="3" t="s">
        <v>2317</v>
      </c>
      <c r="T714" s="3" t="s">
        <v>38</v>
      </c>
      <c r="U714" s="3"/>
    </row>
    <row r="715" spans="1:21" x14ac:dyDescent="0.2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5"/>
      <c r="M715" s="7"/>
      <c r="O715" s="3"/>
      <c r="P715" s="3" t="s">
        <v>2318</v>
      </c>
      <c r="Q715" s="3" t="s">
        <v>2319</v>
      </c>
      <c r="R715" s="3" t="s">
        <v>0</v>
      </c>
      <c r="S715" s="3" t="s">
        <v>2320</v>
      </c>
      <c r="T715" s="3" t="s">
        <v>33</v>
      </c>
      <c r="U715" s="3"/>
    </row>
    <row r="716" spans="1:21" x14ac:dyDescent="0.25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5"/>
      <c r="M716" s="7"/>
      <c r="O716" s="3"/>
      <c r="P716" s="3" t="s">
        <v>1228</v>
      </c>
      <c r="Q716" s="3" t="s">
        <v>1229</v>
      </c>
      <c r="R716" s="3" t="s">
        <v>0</v>
      </c>
      <c r="S716" s="3" t="s">
        <v>1230</v>
      </c>
      <c r="T716" s="3" t="s">
        <v>86</v>
      </c>
      <c r="U716" s="3"/>
    </row>
    <row r="717" spans="1:21" x14ac:dyDescent="0.25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5"/>
      <c r="M717" s="7"/>
      <c r="O717" s="3"/>
      <c r="P717" s="3" t="s">
        <v>1231</v>
      </c>
      <c r="Q717" s="3" t="s">
        <v>1232</v>
      </c>
      <c r="R717" s="3" t="s">
        <v>0</v>
      </c>
      <c r="S717" s="3" t="s">
        <v>1233</v>
      </c>
      <c r="T717" s="3" t="s">
        <v>1027</v>
      </c>
      <c r="U717" s="3"/>
    </row>
    <row r="718" spans="1:21" x14ac:dyDescent="0.25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5"/>
      <c r="O718" s="3"/>
      <c r="P718" s="3" t="s">
        <v>1234</v>
      </c>
      <c r="Q718" s="3" t="s">
        <v>1235</v>
      </c>
      <c r="R718" s="3" t="s">
        <v>0</v>
      </c>
      <c r="S718" s="3" t="s">
        <v>1236</v>
      </c>
      <c r="T718" s="3" t="s">
        <v>33</v>
      </c>
      <c r="U718" s="3"/>
    </row>
    <row r="719" spans="1:21" x14ac:dyDescent="0.25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5"/>
      <c r="O719" s="3"/>
      <c r="P719" s="3" t="s">
        <v>1237</v>
      </c>
      <c r="Q719" s="3" t="s">
        <v>1238</v>
      </c>
      <c r="R719" s="3" t="s">
        <v>0</v>
      </c>
      <c r="S719" s="3" t="s">
        <v>1239</v>
      </c>
      <c r="T719" s="3" t="s">
        <v>86</v>
      </c>
      <c r="U719" s="3"/>
    </row>
    <row r="720" spans="1:21" x14ac:dyDescent="0.25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5"/>
      <c r="O720" s="3"/>
      <c r="P720" s="3" t="s">
        <v>1240</v>
      </c>
      <c r="Q720" s="3" t="s">
        <v>1241</v>
      </c>
      <c r="R720" s="3" t="s">
        <v>0</v>
      </c>
      <c r="S720" s="3" t="s">
        <v>1242</v>
      </c>
      <c r="T720" s="3" t="s">
        <v>86</v>
      </c>
      <c r="U720" s="3"/>
    </row>
    <row r="721" spans="1:21" x14ac:dyDescent="0.25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5"/>
      <c r="O721" s="3"/>
      <c r="P721" s="3" t="s">
        <v>1243</v>
      </c>
      <c r="Q721" s="3" t="s">
        <v>1244</v>
      </c>
      <c r="R721" s="3" t="s">
        <v>0</v>
      </c>
      <c r="S721" s="3" t="s">
        <v>1245</v>
      </c>
      <c r="T721" s="3" t="s">
        <v>86</v>
      </c>
      <c r="U721" s="3"/>
    </row>
    <row r="722" spans="1:21" x14ac:dyDescent="0.25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5"/>
      <c r="O722" s="3"/>
      <c r="P722" s="3" t="s">
        <v>1246</v>
      </c>
      <c r="Q722" s="3" t="s">
        <v>1247</v>
      </c>
      <c r="R722" s="3" t="s">
        <v>0</v>
      </c>
      <c r="S722" s="3" t="s">
        <v>1248</v>
      </c>
      <c r="T722" s="3" t="s">
        <v>86</v>
      </c>
      <c r="U722" s="3"/>
    </row>
    <row r="723" spans="1:21" x14ac:dyDescent="0.25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5"/>
      <c r="O723" s="3"/>
      <c r="P723" s="3" t="s">
        <v>2321</v>
      </c>
      <c r="Q723" s="3" t="s">
        <v>2322</v>
      </c>
      <c r="R723" s="3" t="s">
        <v>0</v>
      </c>
      <c r="S723" s="3" t="s">
        <v>2323</v>
      </c>
      <c r="T723" s="3" t="s">
        <v>1924</v>
      </c>
      <c r="U723" s="3"/>
    </row>
    <row r="724" spans="1:21" x14ac:dyDescent="0.25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5"/>
      <c r="O724" s="3"/>
      <c r="P724" s="3" t="s">
        <v>2482</v>
      </c>
      <c r="Q724" s="3" t="s">
        <v>2483</v>
      </c>
      <c r="R724" s="3" t="s">
        <v>0</v>
      </c>
      <c r="S724" s="3" t="s">
        <v>2323</v>
      </c>
      <c r="T724" s="3" t="s">
        <v>2493</v>
      </c>
      <c r="U724" s="3"/>
    </row>
    <row r="725" spans="1:21" x14ac:dyDescent="0.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5"/>
      <c r="O725" s="3"/>
      <c r="P725" s="3" t="s">
        <v>1249</v>
      </c>
      <c r="Q725" s="3" t="s">
        <v>1250</v>
      </c>
      <c r="R725" s="3" t="s">
        <v>0</v>
      </c>
      <c r="S725" s="3" t="s">
        <v>1251</v>
      </c>
      <c r="T725" s="3" t="s">
        <v>39</v>
      </c>
      <c r="U725" s="3"/>
    </row>
    <row r="726" spans="1:21" x14ac:dyDescent="0.25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5"/>
      <c r="O726" s="3"/>
      <c r="P726" s="3" t="s">
        <v>2020</v>
      </c>
      <c r="Q726" s="3" t="s">
        <v>2021</v>
      </c>
      <c r="R726" s="3" t="s">
        <v>0</v>
      </c>
      <c r="S726" s="3" t="s">
        <v>2022</v>
      </c>
      <c r="T726" s="3" t="s">
        <v>1864</v>
      </c>
      <c r="U726" s="3"/>
    </row>
    <row r="727" spans="1:21" x14ac:dyDescent="0.25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5"/>
      <c r="O727" s="3"/>
      <c r="P727" s="3" t="s">
        <v>2023</v>
      </c>
      <c r="Q727" s="3" t="s">
        <v>2024</v>
      </c>
      <c r="R727" s="3" t="s">
        <v>0</v>
      </c>
      <c r="S727" s="3" t="s">
        <v>2025</v>
      </c>
      <c r="T727" s="3" t="s">
        <v>86</v>
      </c>
      <c r="U727" s="3"/>
    </row>
    <row r="728" spans="1:21" x14ac:dyDescent="0.25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5"/>
      <c r="O728" s="3"/>
      <c r="P728" s="3" t="s">
        <v>2026</v>
      </c>
      <c r="Q728" s="3" t="s">
        <v>2027</v>
      </c>
      <c r="R728" s="3" t="s">
        <v>0</v>
      </c>
      <c r="S728" s="3" t="s">
        <v>2028</v>
      </c>
      <c r="T728" s="3" t="s">
        <v>900</v>
      </c>
      <c r="U728" s="3"/>
    </row>
    <row r="729" spans="1:21" x14ac:dyDescent="0.25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5"/>
      <c r="O729" s="3"/>
      <c r="P729" s="3" t="s">
        <v>1252</v>
      </c>
      <c r="Q729" s="3" t="s">
        <v>1253</v>
      </c>
      <c r="R729" s="3" t="s">
        <v>0</v>
      </c>
      <c r="S729" s="3" t="s">
        <v>1254</v>
      </c>
      <c r="T729" s="3" t="s">
        <v>39</v>
      </c>
      <c r="U729" s="3"/>
    </row>
    <row r="730" spans="1:21" x14ac:dyDescent="0.25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5"/>
      <c r="O730" s="3"/>
      <c r="P730" s="3" t="s">
        <v>1255</v>
      </c>
      <c r="Q730" s="3" t="s">
        <v>1256</v>
      </c>
      <c r="R730" s="3" t="s">
        <v>0</v>
      </c>
      <c r="S730" s="3" t="s">
        <v>1257</v>
      </c>
      <c r="T730" s="3" t="s">
        <v>39</v>
      </c>
      <c r="U730" s="3"/>
    </row>
    <row r="731" spans="1:21" x14ac:dyDescent="0.25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5"/>
      <c r="O731" s="3"/>
      <c r="P731" s="3" t="s">
        <v>1258</v>
      </c>
      <c r="Q731" s="3" t="s">
        <v>1259</v>
      </c>
      <c r="R731" s="3" t="s">
        <v>0</v>
      </c>
      <c r="S731" s="3" t="s">
        <v>1260</v>
      </c>
      <c r="T731" s="3" t="s">
        <v>86</v>
      </c>
      <c r="U731" s="3"/>
    </row>
    <row r="732" spans="1:21" x14ac:dyDescent="0.25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5"/>
      <c r="O732" s="3"/>
      <c r="P732" s="3" t="s">
        <v>2448</v>
      </c>
      <c r="Q732" s="3" t="s">
        <v>2449</v>
      </c>
      <c r="R732" s="3" t="s">
        <v>0</v>
      </c>
      <c r="S732" s="3" t="s">
        <v>2441</v>
      </c>
      <c r="T732" s="3" t="s">
        <v>2453</v>
      </c>
      <c r="U732" s="3"/>
    </row>
    <row r="733" spans="1:21" x14ac:dyDescent="0.25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5"/>
      <c r="O733" s="3"/>
      <c r="P733" s="3" t="s">
        <v>2029</v>
      </c>
      <c r="Q733" s="3" t="s">
        <v>2030</v>
      </c>
      <c r="R733" s="3" t="s">
        <v>0</v>
      </c>
      <c r="S733" s="3" t="s">
        <v>2031</v>
      </c>
      <c r="T733" s="3" t="s">
        <v>1073</v>
      </c>
      <c r="U733" s="3"/>
    </row>
    <row r="734" spans="1:21" x14ac:dyDescent="0.25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5"/>
      <c r="O734" s="3"/>
      <c r="P734" s="3" t="s">
        <v>2032</v>
      </c>
      <c r="Q734" s="3" t="s">
        <v>2033</v>
      </c>
      <c r="R734" s="3" t="s">
        <v>0</v>
      </c>
      <c r="S734" s="3" t="s">
        <v>2034</v>
      </c>
      <c r="T734" s="3" t="s">
        <v>900</v>
      </c>
      <c r="U734" s="3"/>
    </row>
    <row r="735" spans="1:21" x14ac:dyDescent="0.2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5"/>
      <c r="O735" s="3"/>
      <c r="P735" s="3" t="s">
        <v>1261</v>
      </c>
      <c r="Q735" s="3" t="s">
        <v>1262</v>
      </c>
      <c r="R735" s="3" t="s">
        <v>0</v>
      </c>
      <c r="S735" s="3" t="s">
        <v>1263</v>
      </c>
      <c r="T735" s="3" t="s">
        <v>33</v>
      </c>
      <c r="U735" s="3"/>
    </row>
    <row r="736" spans="1:21" x14ac:dyDescent="0.25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5"/>
      <c r="O736" s="3"/>
      <c r="P736" s="3" t="s">
        <v>1264</v>
      </c>
      <c r="Q736" s="3" t="s">
        <v>1265</v>
      </c>
      <c r="R736" s="3" t="s">
        <v>0</v>
      </c>
      <c r="S736" s="3" t="s">
        <v>1266</v>
      </c>
      <c r="T736" s="3" t="s">
        <v>33</v>
      </c>
      <c r="U736" s="3"/>
    </row>
    <row r="737" spans="1:21" x14ac:dyDescent="0.25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5"/>
      <c r="O737" s="3"/>
      <c r="P737" s="3" t="s">
        <v>1267</v>
      </c>
      <c r="Q737" s="3" t="s">
        <v>1268</v>
      </c>
      <c r="R737" s="3" t="s">
        <v>0</v>
      </c>
      <c r="S737" s="3" t="s">
        <v>1269</v>
      </c>
      <c r="T737" s="3" t="s">
        <v>34</v>
      </c>
      <c r="U737" s="3"/>
    </row>
    <row r="738" spans="1:21" x14ac:dyDescent="0.25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5"/>
      <c r="O738" s="3"/>
      <c r="P738" s="3" t="s">
        <v>1270</v>
      </c>
      <c r="Q738" s="3" t="s">
        <v>1271</v>
      </c>
      <c r="R738" s="3" t="s">
        <v>0</v>
      </c>
      <c r="S738" s="3" t="s">
        <v>1272</v>
      </c>
      <c r="T738" s="3" t="s">
        <v>86</v>
      </c>
      <c r="U738" s="3"/>
    </row>
    <row r="739" spans="1:21" x14ac:dyDescent="0.25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5"/>
      <c r="O739" s="3"/>
      <c r="P739" s="3" t="s">
        <v>1273</v>
      </c>
      <c r="Q739" s="3" t="s">
        <v>2324</v>
      </c>
      <c r="R739" s="3" t="s">
        <v>0</v>
      </c>
      <c r="S739" s="3" t="s">
        <v>1272</v>
      </c>
      <c r="T739" s="3" t="s">
        <v>968</v>
      </c>
      <c r="U739" s="3"/>
    </row>
    <row r="740" spans="1:21" x14ac:dyDescent="0.25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5"/>
      <c r="O740" s="3"/>
      <c r="P740" s="3" t="s">
        <v>2035</v>
      </c>
      <c r="Q740" s="3" t="s">
        <v>2036</v>
      </c>
      <c r="R740" s="3" t="s">
        <v>0</v>
      </c>
      <c r="S740" s="3" t="s">
        <v>2037</v>
      </c>
      <c r="T740" s="3" t="s">
        <v>2038</v>
      </c>
      <c r="U740" s="3"/>
    </row>
    <row r="741" spans="1:21" x14ac:dyDescent="0.25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5"/>
      <c r="O741" s="3"/>
      <c r="P741" s="3" t="s">
        <v>1275</v>
      </c>
      <c r="Q741" s="3" t="s">
        <v>1276</v>
      </c>
      <c r="R741" s="3" t="s">
        <v>0</v>
      </c>
      <c r="S741" s="3" t="s">
        <v>1277</v>
      </c>
      <c r="T741" s="3" t="s">
        <v>1012</v>
      </c>
      <c r="U741" s="3"/>
    </row>
    <row r="742" spans="1:21" x14ac:dyDescent="0.25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5"/>
      <c r="O742" s="3"/>
      <c r="P742" s="3" t="s">
        <v>1278</v>
      </c>
      <c r="Q742" s="3" t="s">
        <v>1279</v>
      </c>
      <c r="R742" s="3" t="s">
        <v>0</v>
      </c>
      <c r="S742" s="3" t="s">
        <v>1280</v>
      </c>
      <c r="T742" s="3" t="s">
        <v>86</v>
      </c>
      <c r="U742" s="3"/>
    </row>
    <row r="743" spans="1:21" x14ac:dyDescent="0.25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5"/>
      <c r="O743" s="3"/>
      <c r="P743" s="3" t="s">
        <v>1281</v>
      </c>
      <c r="Q743" s="3" t="s">
        <v>1282</v>
      </c>
      <c r="R743" s="3" t="s">
        <v>0</v>
      </c>
      <c r="S743" s="3" t="s">
        <v>1283</v>
      </c>
      <c r="T743" s="3" t="s">
        <v>86</v>
      </c>
      <c r="U743" s="3"/>
    </row>
    <row r="744" spans="1:21" x14ac:dyDescent="0.25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5"/>
      <c r="O744" s="3"/>
      <c r="P744" s="3" t="s">
        <v>2511</v>
      </c>
      <c r="Q744" s="3" t="s">
        <v>2512</v>
      </c>
      <c r="R744" s="3" t="s">
        <v>0</v>
      </c>
      <c r="S744" s="3" t="s">
        <v>2514</v>
      </c>
      <c r="T744" s="3" t="s">
        <v>2515</v>
      </c>
      <c r="U744" s="3"/>
    </row>
    <row r="745" spans="1:21" x14ac:dyDescent="0.2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5"/>
      <c r="O745" s="3"/>
      <c r="P745" s="3" t="s">
        <v>2325</v>
      </c>
      <c r="Q745" s="3" t="s">
        <v>2326</v>
      </c>
      <c r="R745" s="3" t="s">
        <v>0</v>
      </c>
      <c r="S745" s="3" t="s">
        <v>2327</v>
      </c>
      <c r="T745" s="3" t="s">
        <v>34</v>
      </c>
      <c r="U745" s="3"/>
    </row>
    <row r="746" spans="1:21" x14ac:dyDescent="0.25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5"/>
      <c r="O746" s="3"/>
      <c r="P746" s="3" t="s">
        <v>1284</v>
      </c>
      <c r="Q746" s="3" t="s">
        <v>1285</v>
      </c>
      <c r="R746" s="3" t="s">
        <v>0</v>
      </c>
      <c r="S746" s="3" t="s">
        <v>1286</v>
      </c>
      <c r="T746" s="3" t="s">
        <v>911</v>
      </c>
      <c r="U746" s="3"/>
    </row>
    <row r="747" spans="1:21" x14ac:dyDescent="0.25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5"/>
      <c r="O747" s="3"/>
      <c r="P747" s="3" t="s">
        <v>1287</v>
      </c>
      <c r="Q747" s="3" t="s">
        <v>1288</v>
      </c>
      <c r="R747" s="3" t="s">
        <v>0</v>
      </c>
      <c r="S747" s="3" t="s">
        <v>1289</v>
      </c>
      <c r="T747" s="3" t="s">
        <v>86</v>
      </c>
      <c r="U747" s="3"/>
    </row>
    <row r="748" spans="1:21" x14ac:dyDescent="0.25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5"/>
      <c r="O748" s="3"/>
      <c r="P748" s="3" t="s">
        <v>87</v>
      </c>
      <c r="Q748" s="3" t="s">
        <v>88</v>
      </c>
      <c r="R748" s="3" t="s">
        <v>0</v>
      </c>
      <c r="S748" s="3" t="s">
        <v>89</v>
      </c>
      <c r="T748" s="3" t="s">
        <v>90</v>
      </c>
      <c r="U748" s="3"/>
    </row>
    <row r="749" spans="1:21" x14ac:dyDescent="0.25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5"/>
      <c r="O749" s="3"/>
      <c r="P749" s="3" t="s">
        <v>1290</v>
      </c>
      <c r="Q749" s="3" t="s">
        <v>1291</v>
      </c>
      <c r="R749" s="3" t="s">
        <v>0</v>
      </c>
      <c r="S749" s="3" t="s">
        <v>1292</v>
      </c>
      <c r="T749" s="3" t="s">
        <v>884</v>
      </c>
      <c r="U749" s="3"/>
    </row>
    <row r="750" spans="1:21" x14ac:dyDescent="0.25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5"/>
      <c r="O750" s="3"/>
      <c r="P750" s="3" t="s">
        <v>2039</v>
      </c>
      <c r="Q750" s="3" t="s">
        <v>2040</v>
      </c>
      <c r="R750" s="3" t="s">
        <v>0</v>
      </c>
      <c r="S750" s="3" t="s">
        <v>2041</v>
      </c>
      <c r="T750" s="3" t="s">
        <v>38</v>
      </c>
      <c r="U750" s="3"/>
    </row>
    <row r="751" spans="1:2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5"/>
      <c r="O751" s="3"/>
      <c r="P751" s="3" t="s">
        <v>1293</v>
      </c>
      <c r="Q751" s="3" t="s">
        <v>1294</v>
      </c>
      <c r="R751" s="3" t="s">
        <v>0</v>
      </c>
      <c r="S751" s="3" t="s">
        <v>1295</v>
      </c>
      <c r="T751" s="3" t="s">
        <v>911</v>
      </c>
      <c r="U751" s="3"/>
    </row>
    <row r="752" spans="1:21" x14ac:dyDescent="0.25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5"/>
      <c r="O752" s="3"/>
      <c r="P752" s="3" t="s">
        <v>1296</v>
      </c>
      <c r="Q752" s="3" t="s">
        <v>1297</v>
      </c>
      <c r="R752" s="3" t="s">
        <v>0</v>
      </c>
      <c r="S752" s="3" t="s">
        <v>1298</v>
      </c>
      <c r="T752" s="3" t="s">
        <v>86</v>
      </c>
      <c r="U752" s="3"/>
    </row>
    <row r="753" spans="1:21" x14ac:dyDescent="0.25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5"/>
      <c r="O753" s="3"/>
      <c r="P753" s="3" t="s">
        <v>1299</v>
      </c>
      <c r="Q753" s="3" t="s">
        <v>1300</v>
      </c>
      <c r="R753" s="3" t="s">
        <v>0</v>
      </c>
      <c r="S753" s="3" t="s">
        <v>1301</v>
      </c>
      <c r="T753" s="3" t="s">
        <v>0</v>
      </c>
      <c r="U753" s="3"/>
    </row>
    <row r="754" spans="1:21" x14ac:dyDescent="0.25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5"/>
      <c r="O754" s="3"/>
      <c r="P754" s="3" t="s">
        <v>1302</v>
      </c>
      <c r="Q754" s="3" t="s">
        <v>1303</v>
      </c>
      <c r="R754" s="3" t="s">
        <v>0</v>
      </c>
      <c r="S754" s="3" t="s">
        <v>2376</v>
      </c>
      <c r="T754" s="3" t="s">
        <v>33</v>
      </c>
      <c r="U754" s="3"/>
    </row>
    <row r="755" spans="1:21" x14ac:dyDescent="0.2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5"/>
      <c r="O755" s="3"/>
      <c r="P755" s="3" t="s">
        <v>2328</v>
      </c>
      <c r="Q755" s="3" t="s">
        <v>2329</v>
      </c>
      <c r="R755" s="3" t="s">
        <v>0</v>
      </c>
      <c r="S755" s="3" t="s">
        <v>2330</v>
      </c>
      <c r="T755" s="3" t="s">
        <v>39</v>
      </c>
      <c r="U755" s="3"/>
    </row>
    <row r="756" spans="1:21" x14ac:dyDescent="0.25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5"/>
      <c r="O756" s="3"/>
      <c r="P756" s="3" t="s">
        <v>1308</v>
      </c>
      <c r="Q756" s="3" t="s">
        <v>1309</v>
      </c>
      <c r="R756" s="3" t="s">
        <v>0</v>
      </c>
      <c r="S756" s="3" t="s">
        <v>1310</v>
      </c>
      <c r="T756" s="3" t="s">
        <v>86</v>
      </c>
      <c r="U756" s="3"/>
    </row>
    <row r="757" spans="1:21" x14ac:dyDescent="0.25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5"/>
      <c r="O757" s="3"/>
      <c r="P757" s="3" t="s">
        <v>1311</v>
      </c>
      <c r="Q757" s="3" t="s">
        <v>1312</v>
      </c>
      <c r="R757" s="3" t="s">
        <v>0</v>
      </c>
      <c r="S757" s="3" t="s">
        <v>1313</v>
      </c>
      <c r="T757" s="3" t="s">
        <v>86</v>
      </c>
      <c r="U757" s="3"/>
    </row>
    <row r="758" spans="1:21" x14ac:dyDescent="0.25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5"/>
      <c r="O758" s="3"/>
      <c r="P758" s="3" t="s">
        <v>1314</v>
      </c>
      <c r="Q758" s="3" t="s">
        <v>1315</v>
      </c>
      <c r="R758" s="3" t="s">
        <v>0</v>
      </c>
      <c r="S758" s="3" t="s">
        <v>1316</v>
      </c>
      <c r="T758" s="3" t="s">
        <v>948</v>
      </c>
      <c r="U758" s="3"/>
    </row>
    <row r="759" spans="1:21" x14ac:dyDescent="0.25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5"/>
      <c r="O759" s="3"/>
      <c r="P759" s="3" t="s">
        <v>1317</v>
      </c>
      <c r="Q759" s="3" t="s">
        <v>1318</v>
      </c>
      <c r="R759" s="3" t="s">
        <v>0</v>
      </c>
      <c r="S759" s="3" t="s">
        <v>1319</v>
      </c>
      <c r="T759" s="3" t="s">
        <v>39</v>
      </c>
      <c r="U759" s="3"/>
    </row>
    <row r="760" spans="1:21" x14ac:dyDescent="0.25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5"/>
      <c r="O760" s="3"/>
      <c r="P760" s="3" t="s">
        <v>1320</v>
      </c>
      <c r="Q760" s="3" t="s">
        <v>1321</v>
      </c>
      <c r="R760" s="3" t="s">
        <v>0</v>
      </c>
      <c r="S760" s="3" t="s">
        <v>1319</v>
      </c>
      <c r="T760" s="3" t="s">
        <v>39</v>
      </c>
      <c r="U760" s="3"/>
    </row>
    <row r="761" spans="1:21" x14ac:dyDescent="0.25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5"/>
      <c r="O761" s="3"/>
      <c r="P761" s="3" t="s">
        <v>2042</v>
      </c>
      <c r="Q761" s="3" t="s">
        <v>2043</v>
      </c>
      <c r="R761" s="3" t="s">
        <v>0</v>
      </c>
      <c r="S761" s="3" t="s">
        <v>2044</v>
      </c>
      <c r="T761" s="3" t="s">
        <v>33</v>
      </c>
      <c r="U761" s="3"/>
    </row>
    <row r="762" spans="1:21" x14ac:dyDescent="0.25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5"/>
      <c r="O762" s="3"/>
      <c r="P762" s="3" t="s">
        <v>2045</v>
      </c>
      <c r="Q762" s="3" t="s">
        <v>2046</v>
      </c>
      <c r="R762" s="3" t="s">
        <v>0</v>
      </c>
      <c r="S762" s="3" t="s">
        <v>2047</v>
      </c>
      <c r="T762" s="3" t="s">
        <v>1868</v>
      </c>
      <c r="U762" s="3"/>
    </row>
    <row r="763" spans="1:21" x14ac:dyDescent="0.25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5"/>
      <c r="O763" s="3"/>
      <c r="P763" s="3" t="s">
        <v>2048</v>
      </c>
      <c r="Q763" s="3" t="s">
        <v>2049</v>
      </c>
      <c r="R763" s="3" t="s">
        <v>0</v>
      </c>
      <c r="S763" s="3" t="s">
        <v>2050</v>
      </c>
      <c r="T763" s="3" t="s">
        <v>86</v>
      </c>
      <c r="U763" s="3"/>
    </row>
    <row r="764" spans="1:21" x14ac:dyDescent="0.25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5"/>
      <c r="O764" s="3"/>
      <c r="P764" s="3" t="s">
        <v>1322</v>
      </c>
      <c r="Q764" s="3" t="s">
        <v>1323</v>
      </c>
      <c r="R764" s="3" t="s">
        <v>0</v>
      </c>
      <c r="S764" s="3" t="s">
        <v>1324</v>
      </c>
      <c r="T764" s="3" t="s">
        <v>86</v>
      </c>
      <c r="U764" s="3"/>
    </row>
    <row r="765" spans="1:21" x14ac:dyDescent="0.2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5"/>
      <c r="O765" s="3"/>
      <c r="P765" s="3" t="s">
        <v>2051</v>
      </c>
      <c r="Q765" s="3" t="s">
        <v>2052</v>
      </c>
      <c r="R765" s="3" t="s">
        <v>0</v>
      </c>
      <c r="S765" s="3" t="s">
        <v>2053</v>
      </c>
      <c r="T765" s="3" t="s">
        <v>896</v>
      </c>
      <c r="U765" s="3"/>
    </row>
    <row r="766" spans="1:21" x14ac:dyDescent="0.25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5"/>
      <c r="O766" s="3"/>
      <c r="P766" s="3" t="s">
        <v>2054</v>
      </c>
      <c r="Q766" s="3" t="s">
        <v>2055</v>
      </c>
      <c r="R766" s="3" t="s">
        <v>0</v>
      </c>
      <c r="S766" s="3" t="s">
        <v>2056</v>
      </c>
      <c r="T766" s="3" t="s">
        <v>33</v>
      </c>
      <c r="U766" s="3"/>
    </row>
    <row r="767" spans="1:21" x14ac:dyDescent="0.25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5"/>
      <c r="O767" s="3"/>
      <c r="P767" s="3" t="s">
        <v>1325</v>
      </c>
      <c r="Q767" s="3" t="s">
        <v>1326</v>
      </c>
      <c r="R767" s="3" t="s">
        <v>0</v>
      </c>
      <c r="S767" s="3" t="s">
        <v>1327</v>
      </c>
      <c r="T767" s="3" t="s">
        <v>948</v>
      </c>
      <c r="U767" s="3"/>
    </row>
    <row r="768" spans="1:21" x14ac:dyDescent="0.25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5"/>
      <c r="O768" s="3"/>
      <c r="P768" s="3" t="s">
        <v>83</v>
      </c>
      <c r="Q768" s="3" t="s">
        <v>84</v>
      </c>
      <c r="R768" s="3" t="s">
        <v>0</v>
      </c>
      <c r="S768" s="3" t="s">
        <v>2331</v>
      </c>
      <c r="T768" s="3" t="s">
        <v>1924</v>
      </c>
      <c r="U768" s="3"/>
    </row>
    <row r="769" spans="1:21" x14ac:dyDescent="0.25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5"/>
      <c r="O769" s="3"/>
      <c r="P769" s="3" t="s">
        <v>2057</v>
      </c>
      <c r="Q769" s="3" t="s">
        <v>2058</v>
      </c>
      <c r="R769" s="3" t="s">
        <v>0</v>
      </c>
      <c r="S769" s="3" t="s">
        <v>2059</v>
      </c>
      <c r="T769" s="3" t="s">
        <v>86</v>
      </c>
      <c r="U769" s="3"/>
    </row>
    <row r="770" spans="1:21" x14ac:dyDescent="0.25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5"/>
      <c r="O770" s="3"/>
      <c r="P770" s="3" t="s">
        <v>2332</v>
      </c>
      <c r="Q770" s="3" t="s">
        <v>2333</v>
      </c>
      <c r="R770" s="3" t="s">
        <v>0</v>
      </c>
      <c r="S770" s="3" t="s">
        <v>2334</v>
      </c>
      <c r="T770" s="3" t="s">
        <v>978</v>
      </c>
      <c r="U770" s="3"/>
    </row>
    <row r="771" spans="1:21" x14ac:dyDescent="0.25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5"/>
      <c r="O771" s="3"/>
      <c r="P771" s="3" t="s">
        <v>2484</v>
      </c>
      <c r="Q771" s="3" t="s">
        <v>2485</v>
      </c>
      <c r="R771" s="3" t="s">
        <v>0</v>
      </c>
      <c r="S771" s="3" t="s">
        <v>2494</v>
      </c>
      <c r="T771" s="3" t="s">
        <v>86</v>
      </c>
      <c r="U771" s="3"/>
    </row>
    <row r="772" spans="1:21" x14ac:dyDescent="0.25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5"/>
      <c r="O772" s="3"/>
      <c r="P772" s="3" t="s">
        <v>2416</v>
      </c>
      <c r="Q772" s="3" t="s">
        <v>2417</v>
      </c>
      <c r="R772" s="3" t="s">
        <v>0</v>
      </c>
      <c r="S772" s="3" t="s">
        <v>788</v>
      </c>
      <c r="T772" s="3" t="s">
        <v>2421</v>
      </c>
      <c r="U772" s="3"/>
    </row>
    <row r="773" spans="1:21" x14ac:dyDescent="0.25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5"/>
      <c r="O773" s="3"/>
      <c r="P773" s="3" t="s">
        <v>1328</v>
      </c>
      <c r="Q773" s="3" t="s">
        <v>1329</v>
      </c>
      <c r="R773" s="3" t="s">
        <v>0</v>
      </c>
      <c r="S773" s="3" t="s">
        <v>1330</v>
      </c>
      <c r="T773" s="3" t="s">
        <v>33</v>
      </c>
      <c r="U773" s="3"/>
    </row>
    <row r="774" spans="1:2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5"/>
      <c r="O774" s="3"/>
      <c r="P774" s="3"/>
      <c r="Q774" s="3"/>
      <c r="R774" s="3"/>
      <c r="S774" s="3"/>
      <c r="T774" s="3"/>
      <c r="U774" s="3"/>
    </row>
    <row r="775" spans="1:21" x14ac:dyDescent="0.2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5"/>
      <c r="O775" s="3"/>
      <c r="P775" s="3"/>
      <c r="Q775" s="3"/>
      <c r="R775" s="3"/>
      <c r="S775" s="3"/>
      <c r="T775" s="3"/>
      <c r="U775" s="3"/>
    </row>
    <row r="776" spans="1:21" x14ac:dyDescent="0.25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5"/>
    </row>
    <row r="777" spans="1:21" x14ac:dyDescent="0.25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5"/>
      <c r="O777" s="3"/>
      <c r="P777" s="3"/>
      <c r="Q777" s="3"/>
      <c r="R777" s="3"/>
      <c r="S777" s="3"/>
      <c r="T777" s="3"/>
      <c r="U777" s="3"/>
    </row>
    <row r="778" spans="1:21" x14ac:dyDescent="0.25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5"/>
    </row>
    <row r="779" spans="1:21" x14ac:dyDescent="0.25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5"/>
      <c r="O779" s="3"/>
      <c r="P779" s="3"/>
      <c r="Q779" s="3"/>
      <c r="R779" s="3"/>
      <c r="S779" s="3"/>
      <c r="T779" s="3"/>
      <c r="U779" s="3"/>
    </row>
    <row r="780" spans="1:21" x14ac:dyDescent="0.25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5"/>
      <c r="O780" s="3"/>
      <c r="P780" s="3"/>
      <c r="Q780" s="3"/>
      <c r="R780" s="3"/>
      <c r="S780" s="3"/>
      <c r="T780" s="3"/>
      <c r="U780" s="3"/>
    </row>
    <row r="781" spans="1:21" x14ac:dyDescent="0.25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5"/>
    </row>
    <row r="782" spans="1:21" x14ac:dyDescent="0.25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5"/>
      <c r="O782" s="3"/>
      <c r="P782" s="3"/>
      <c r="Q782" s="3"/>
      <c r="R782" s="3"/>
      <c r="S782" s="3"/>
      <c r="T782" s="3"/>
      <c r="U782" s="3"/>
    </row>
    <row r="783" spans="1:21" x14ac:dyDescent="0.25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5"/>
    </row>
    <row r="784" spans="1:21" x14ac:dyDescent="0.25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5"/>
      <c r="O784" s="3"/>
      <c r="P784" s="3"/>
      <c r="Q784" s="3"/>
      <c r="R784" s="3"/>
      <c r="S784" s="3"/>
      <c r="T784" s="3"/>
      <c r="U784" s="3"/>
    </row>
    <row r="785" spans="1:21" x14ac:dyDescent="0.2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5"/>
      <c r="O785" s="3"/>
      <c r="P785" s="3"/>
      <c r="Q785" s="3"/>
      <c r="R785" s="3"/>
      <c r="S785" s="3"/>
      <c r="T785" s="3"/>
      <c r="U785" s="3"/>
    </row>
    <row r="786" spans="1:21" x14ac:dyDescent="0.25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5"/>
    </row>
    <row r="787" spans="1:21" x14ac:dyDescent="0.25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5"/>
    </row>
    <row r="788" spans="1:21" x14ac:dyDescent="0.25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5"/>
    </row>
    <row r="789" spans="1:21" x14ac:dyDescent="0.25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5"/>
    </row>
    <row r="790" spans="1:21" x14ac:dyDescent="0.25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5"/>
    </row>
    <row r="791" spans="1:21" x14ac:dyDescent="0.25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5"/>
    </row>
    <row r="792" spans="1:21" x14ac:dyDescent="0.25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5"/>
    </row>
    <row r="793" spans="1:21" x14ac:dyDescent="0.25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5"/>
    </row>
    <row r="794" spans="1:21" x14ac:dyDescent="0.25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5"/>
    </row>
    <row r="795" spans="1:21" x14ac:dyDescent="0.2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5"/>
    </row>
    <row r="796" spans="1:21" x14ac:dyDescent="0.25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5"/>
    </row>
    <row r="797" spans="1:21" x14ac:dyDescent="0.25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5"/>
    </row>
    <row r="798" spans="1:21" x14ac:dyDescent="0.25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5"/>
    </row>
    <row r="799" spans="1:21" x14ac:dyDescent="0.25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5"/>
    </row>
    <row r="800" spans="1:21" x14ac:dyDescent="0.25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5"/>
    </row>
    <row r="801" spans="1:12" x14ac:dyDescent="0.25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5"/>
    </row>
    <row r="802" spans="1:12" x14ac:dyDescent="0.25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5"/>
    </row>
    <row r="803" spans="1:12" x14ac:dyDescent="0.25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5"/>
    </row>
    <row r="804" spans="1:12" x14ac:dyDescent="0.25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5"/>
    </row>
    <row r="805" spans="1:12" x14ac:dyDescent="0.2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5"/>
    </row>
    <row r="806" spans="1:12" x14ac:dyDescent="0.25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5"/>
    </row>
    <row r="807" spans="1:12" x14ac:dyDescent="0.25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5"/>
    </row>
    <row r="808" spans="1:12" x14ac:dyDescent="0.25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5"/>
    </row>
    <row r="809" spans="1:12" x14ac:dyDescent="0.25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5"/>
    </row>
    <row r="810" spans="1:12" x14ac:dyDescent="0.25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5"/>
    </row>
    <row r="811" spans="1:12" x14ac:dyDescent="0.25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5"/>
    </row>
    <row r="812" spans="1:12" x14ac:dyDescent="0.25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5"/>
    </row>
    <row r="813" spans="1:12" x14ac:dyDescent="0.25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5"/>
    </row>
    <row r="814" spans="1:12" x14ac:dyDescent="0.25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5"/>
    </row>
    <row r="815" spans="1:12" x14ac:dyDescent="0.2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5"/>
    </row>
    <row r="816" spans="1:12" x14ac:dyDescent="0.25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5"/>
    </row>
    <row r="817" spans="1:12" x14ac:dyDescent="0.25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5"/>
    </row>
    <row r="818" spans="1:12" x14ac:dyDescent="0.25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5"/>
    </row>
    <row r="819" spans="1:12" x14ac:dyDescent="0.25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5"/>
    </row>
    <row r="820" spans="1:12" x14ac:dyDescent="0.25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5"/>
    </row>
    <row r="821" spans="1:12" x14ac:dyDescent="0.25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5"/>
    </row>
    <row r="822" spans="1:12" x14ac:dyDescent="0.25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5"/>
    </row>
    <row r="823" spans="1:12" x14ac:dyDescent="0.25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5"/>
    </row>
    <row r="824" spans="1:12" x14ac:dyDescent="0.25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5"/>
    </row>
    <row r="825" spans="1:12" x14ac:dyDescent="0.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5"/>
    </row>
    <row r="826" spans="1:12" x14ac:dyDescent="0.25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5"/>
    </row>
    <row r="827" spans="1:12" x14ac:dyDescent="0.25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5"/>
    </row>
    <row r="828" spans="1:12" x14ac:dyDescent="0.25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5"/>
    </row>
    <row r="829" spans="1:12" x14ac:dyDescent="0.25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5"/>
    </row>
    <row r="830" spans="1:12" x14ac:dyDescent="0.25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5"/>
    </row>
    <row r="831" spans="1:12" x14ac:dyDescent="0.25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5"/>
    </row>
    <row r="832" spans="1:12" x14ac:dyDescent="0.25">
      <c r="A832" s="1"/>
      <c r="B832" s="3"/>
      <c r="C832" s="3"/>
      <c r="D832" s="3"/>
      <c r="E832" s="3"/>
      <c r="F832" s="3"/>
      <c r="G832" s="3"/>
      <c r="H832" s="3"/>
      <c r="I832" s="4"/>
      <c r="J832" s="3"/>
      <c r="K832" s="3"/>
      <c r="L832" s="5"/>
    </row>
    <row r="833" spans="1:12" x14ac:dyDescent="0.25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5"/>
    </row>
    <row r="834" spans="1:12" x14ac:dyDescent="0.2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5"/>
    </row>
    <row r="835" spans="1:12" x14ac:dyDescent="0.2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5"/>
    </row>
    <row r="836" spans="1:12" x14ac:dyDescent="0.2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5"/>
    </row>
    <row r="837" spans="1:12" x14ac:dyDescent="0.2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5"/>
    </row>
    <row r="838" spans="1:12" x14ac:dyDescent="0.2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5"/>
    </row>
    <row r="839" spans="1:12" x14ac:dyDescent="0.2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5"/>
    </row>
    <row r="840" spans="1:12" x14ac:dyDescent="0.2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5"/>
    </row>
    <row r="841" spans="1:12" x14ac:dyDescent="0.2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5"/>
    </row>
    <row r="842" spans="1:12" x14ac:dyDescent="0.2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5"/>
    </row>
    <row r="843" spans="1:12" x14ac:dyDescent="0.2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5"/>
    </row>
    <row r="844" spans="1:12" x14ac:dyDescent="0.2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5"/>
    </row>
    <row r="845" spans="1:12" x14ac:dyDescent="0.2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5"/>
    </row>
    <row r="846" spans="1:12" x14ac:dyDescent="0.2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5"/>
    </row>
    <row r="847" spans="1:12" x14ac:dyDescent="0.2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5"/>
    </row>
    <row r="848" spans="1:12" x14ac:dyDescent="0.2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5"/>
    </row>
    <row r="849" spans="1:12" x14ac:dyDescent="0.2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5"/>
    </row>
    <row r="850" spans="1:12" x14ac:dyDescent="0.2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5"/>
    </row>
    <row r="851" spans="1:12" x14ac:dyDescent="0.2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5"/>
    </row>
    <row r="852" spans="1:12" x14ac:dyDescent="0.2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5"/>
    </row>
    <row r="853" spans="1:12" x14ac:dyDescent="0.25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5"/>
    </row>
    <row r="854" spans="1:12" x14ac:dyDescent="0.2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5"/>
    </row>
    <row r="855" spans="1:12" x14ac:dyDescent="0.2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5"/>
    </row>
    <row r="856" spans="1:12" x14ac:dyDescent="0.2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5"/>
    </row>
    <row r="857" spans="1:12" x14ac:dyDescent="0.2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5"/>
    </row>
    <row r="858" spans="1:12" x14ac:dyDescent="0.2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5"/>
    </row>
    <row r="859" spans="1:12" x14ac:dyDescent="0.2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5"/>
    </row>
    <row r="860" spans="1:12" x14ac:dyDescent="0.2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5"/>
    </row>
    <row r="861" spans="1:12" x14ac:dyDescent="0.2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5"/>
    </row>
    <row r="862" spans="1:12" x14ac:dyDescent="0.2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5"/>
    </row>
    <row r="863" spans="1:12" x14ac:dyDescent="0.2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5"/>
    </row>
    <row r="864" spans="1:12" x14ac:dyDescent="0.25">
      <c r="A864" s="1"/>
      <c r="B864" s="179"/>
      <c r="C864" s="179"/>
      <c r="D864" s="3"/>
      <c r="E864" s="179"/>
      <c r="F864" s="179"/>
      <c r="G864" s="3"/>
      <c r="H864" s="3"/>
      <c r="I864" s="3"/>
      <c r="J864" s="3"/>
      <c r="K864" s="3"/>
      <c r="L864" s="5"/>
    </row>
    <row r="865" spans="1:12" x14ac:dyDescent="0.25">
      <c r="A865" s="1"/>
      <c r="B865" s="179"/>
      <c r="C865" s="179"/>
      <c r="D865" s="3"/>
      <c r="E865" s="179"/>
      <c r="F865" s="179"/>
      <c r="G865" s="3"/>
      <c r="H865" s="3"/>
      <c r="I865" s="3"/>
      <c r="J865" s="3"/>
      <c r="K865" s="3"/>
      <c r="L865" s="5"/>
    </row>
    <row r="866" spans="1:12" x14ac:dyDescent="0.25">
      <c r="A866" s="1"/>
      <c r="B866" s="179"/>
      <c r="C866" s="179"/>
      <c r="D866" s="3"/>
      <c r="E866" s="179"/>
      <c r="F866" s="179"/>
      <c r="G866" s="3"/>
      <c r="H866" s="3"/>
      <c r="I866" s="3"/>
      <c r="J866" s="3"/>
      <c r="K866" s="3"/>
      <c r="L866" s="5"/>
    </row>
    <row r="867" spans="1:12" x14ac:dyDescent="0.25">
      <c r="A867" s="1"/>
      <c r="B867" s="179"/>
      <c r="C867" s="179"/>
      <c r="D867" s="3"/>
      <c r="E867" s="179"/>
      <c r="F867" s="179"/>
      <c r="G867" s="3"/>
      <c r="H867" s="3"/>
      <c r="I867" s="3"/>
      <c r="J867" s="3"/>
      <c r="K867" s="3"/>
      <c r="L867" s="5"/>
    </row>
    <row r="868" spans="1:12" x14ac:dyDescent="0.25">
      <c r="A868" s="1"/>
      <c r="B868" s="179"/>
      <c r="C868" s="179"/>
      <c r="D868" s="3"/>
      <c r="E868" s="179"/>
      <c r="F868" s="179"/>
      <c r="G868" s="3"/>
      <c r="H868" s="3"/>
      <c r="I868" s="3"/>
      <c r="J868" s="3"/>
      <c r="K868" s="3"/>
      <c r="L868" s="5"/>
    </row>
    <row r="869" spans="1:12" x14ac:dyDescent="0.25">
      <c r="A869" s="1"/>
      <c r="B869" s="179"/>
      <c r="C869" s="179"/>
      <c r="D869" s="3"/>
      <c r="E869" s="179"/>
      <c r="F869" s="179"/>
      <c r="G869" s="3"/>
      <c r="H869" s="3"/>
      <c r="I869" s="3"/>
      <c r="J869" s="3"/>
      <c r="K869" s="3"/>
      <c r="L869" s="5"/>
    </row>
    <row r="870" spans="1:12" x14ac:dyDescent="0.25">
      <c r="A870" s="1"/>
      <c r="B870" s="179"/>
      <c r="C870" s="179"/>
      <c r="D870" s="3"/>
      <c r="E870" s="179"/>
      <c r="F870" s="179"/>
      <c r="G870" s="3"/>
      <c r="H870" s="3"/>
      <c r="I870" s="3"/>
      <c r="J870" s="3"/>
      <c r="K870" s="3"/>
      <c r="L870" s="5"/>
    </row>
    <row r="871" spans="1:12" x14ac:dyDescent="0.25">
      <c r="A871" s="1"/>
      <c r="B871" s="179"/>
      <c r="C871" s="179"/>
      <c r="D871" s="3"/>
      <c r="E871" s="179"/>
      <c r="F871" s="179"/>
      <c r="G871" s="3"/>
      <c r="H871" s="3"/>
      <c r="I871" s="3"/>
      <c r="J871" s="3"/>
      <c r="K871" s="3"/>
      <c r="L871" s="5"/>
    </row>
    <row r="872" spans="1:12" x14ac:dyDescent="0.25">
      <c r="A872" s="1"/>
      <c r="B872" s="179"/>
      <c r="C872" s="179"/>
      <c r="D872" s="3"/>
      <c r="E872" s="179"/>
      <c r="F872" s="179"/>
      <c r="G872" s="3"/>
      <c r="H872" s="3"/>
      <c r="I872" s="3"/>
      <c r="J872" s="3"/>
      <c r="K872" s="3"/>
      <c r="L872" s="5"/>
    </row>
    <row r="873" spans="1:12" x14ac:dyDescent="0.25">
      <c r="A873" s="1"/>
      <c r="B873" s="179"/>
      <c r="C873" s="179"/>
      <c r="D873" s="3"/>
      <c r="E873" s="179"/>
      <c r="F873" s="179"/>
      <c r="G873" s="3"/>
      <c r="H873" s="3"/>
      <c r="I873" s="3"/>
      <c r="J873" s="3"/>
      <c r="K873" s="3"/>
      <c r="L873" s="5"/>
    </row>
    <row r="874" spans="1:12" x14ac:dyDescent="0.25">
      <c r="A874" s="1"/>
      <c r="B874" s="179"/>
      <c r="C874" s="179"/>
      <c r="D874" s="3"/>
      <c r="E874" s="179"/>
      <c r="F874" s="179"/>
      <c r="G874" s="3"/>
      <c r="H874" s="3"/>
      <c r="I874" s="3"/>
      <c r="J874" s="3"/>
      <c r="K874" s="3"/>
      <c r="L874" s="5"/>
    </row>
    <row r="875" spans="1:12" x14ac:dyDescent="0.25">
      <c r="A875" s="1"/>
      <c r="B875" s="179"/>
      <c r="C875" s="179"/>
      <c r="D875" s="3"/>
      <c r="E875" s="179"/>
      <c r="F875" s="179"/>
      <c r="G875" s="3"/>
      <c r="H875" s="3"/>
      <c r="I875" s="3"/>
      <c r="J875" s="3"/>
      <c r="K875" s="3"/>
      <c r="L875" s="5"/>
    </row>
    <row r="876" spans="1:12" x14ac:dyDescent="0.25">
      <c r="A876" s="1"/>
      <c r="B876" s="179"/>
      <c r="C876" s="179"/>
      <c r="D876" s="3"/>
      <c r="E876" s="179"/>
      <c r="F876" s="179"/>
      <c r="G876" s="3"/>
      <c r="H876" s="3"/>
      <c r="I876" s="3"/>
      <c r="J876" s="3"/>
      <c r="K876" s="3"/>
      <c r="L876" s="5"/>
    </row>
    <row r="877" spans="1:12" x14ac:dyDescent="0.25">
      <c r="A877" s="1"/>
      <c r="B877" s="179"/>
      <c r="C877" s="179"/>
      <c r="D877" s="3"/>
      <c r="E877" s="179"/>
      <c r="F877" s="179"/>
      <c r="G877" s="3"/>
      <c r="H877" s="3"/>
      <c r="I877" s="3"/>
      <c r="J877" s="3"/>
      <c r="K877" s="3"/>
      <c r="L877" s="5"/>
    </row>
    <row r="878" spans="1:12" x14ac:dyDescent="0.25">
      <c r="A878" s="1"/>
      <c r="B878" s="179"/>
      <c r="C878" s="179"/>
      <c r="D878" s="3"/>
      <c r="E878" s="179"/>
      <c r="F878" s="179"/>
      <c r="G878" s="3"/>
      <c r="H878" s="3"/>
      <c r="I878" s="3"/>
      <c r="J878" s="3"/>
      <c r="K878" s="3"/>
      <c r="L878" s="5"/>
    </row>
    <row r="879" spans="1:12" x14ac:dyDescent="0.25">
      <c r="A879" s="1"/>
      <c r="B879" s="179"/>
      <c r="C879" s="179"/>
      <c r="D879" s="3"/>
      <c r="E879" s="179"/>
      <c r="F879" s="179"/>
      <c r="G879" s="3"/>
      <c r="H879" s="3"/>
      <c r="I879" s="3"/>
      <c r="J879" s="3"/>
      <c r="K879" s="3"/>
      <c r="L879" s="5"/>
    </row>
    <row r="880" spans="1:12" x14ac:dyDescent="0.25">
      <c r="A880" s="1"/>
      <c r="B880" s="179"/>
      <c r="C880" s="179"/>
      <c r="D880" s="3"/>
      <c r="E880" s="179"/>
      <c r="F880" s="179"/>
      <c r="G880" s="3"/>
      <c r="H880" s="3"/>
      <c r="I880" s="3"/>
      <c r="J880" s="3"/>
      <c r="K880" s="3"/>
      <c r="L880" s="5"/>
    </row>
    <row r="881" spans="1:12" x14ac:dyDescent="0.25">
      <c r="A881" s="1"/>
      <c r="B881" s="179"/>
      <c r="C881" s="179"/>
      <c r="D881" s="3"/>
      <c r="E881" s="179"/>
      <c r="F881" s="179"/>
      <c r="G881" s="3"/>
      <c r="H881" s="3"/>
      <c r="I881" s="3"/>
      <c r="J881" s="3"/>
      <c r="K881" s="3"/>
      <c r="L881" s="5"/>
    </row>
    <row r="882" spans="1:12" x14ac:dyDescent="0.25">
      <c r="A882" s="1"/>
      <c r="B882" s="179"/>
      <c r="C882" s="179"/>
      <c r="D882" s="3"/>
      <c r="E882" s="179"/>
      <c r="F882" s="179"/>
      <c r="G882" s="3"/>
      <c r="H882" s="3"/>
      <c r="I882" s="3"/>
      <c r="J882" s="3"/>
      <c r="K882" s="3"/>
      <c r="L882" s="5"/>
    </row>
    <row r="883" spans="1:12" x14ac:dyDescent="0.25">
      <c r="A883" s="1"/>
      <c r="B883" s="179"/>
      <c r="C883" s="179"/>
      <c r="D883" s="3"/>
      <c r="E883" s="179"/>
      <c r="F883" s="179"/>
      <c r="G883" s="3"/>
      <c r="H883" s="3"/>
      <c r="I883" s="3"/>
      <c r="J883" s="3"/>
      <c r="K883" s="3"/>
      <c r="L883" s="5"/>
    </row>
    <row r="884" spans="1:12" x14ac:dyDescent="0.25">
      <c r="A884" s="1"/>
      <c r="B884" s="179"/>
      <c r="C884" s="179"/>
      <c r="D884" s="3"/>
      <c r="E884" s="179"/>
      <c r="F884" s="179"/>
      <c r="G884" s="3"/>
      <c r="H884" s="3"/>
      <c r="I884" s="3"/>
      <c r="J884" s="3"/>
      <c r="K884" s="3"/>
      <c r="L884" s="5"/>
    </row>
    <row r="885" spans="1:12" x14ac:dyDescent="0.25">
      <c r="A885" s="1"/>
      <c r="B885" s="179"/>
      <c r="C885" s="179"/>
      <c r="D885" s="3"/>
      <c r="E885" s="179"/>
      <c r="F885" s="179"/>
      <c r="G885" s="3"/>
      <c r="H885" s="3"/>
      <c r="I885" s="3"/>
      <c r="J885" s="3"/>
      <c r="K885" s="3"/>
      <c r="L885" s="5"/>
    </row>
    <row r="886" spans="1:12" x14ac:dyDescent="0.25">
      <c r="A886" s="1"/>
      <c r="B886" s="179"/>
      <c r="C886" s="179"/>
      <c r="D886" s="3"/>
      <c r="E886" s="179"/>
      <c r="F886" s="179"/>
      <c r="G886" s="3"/>
      <c r="H886" s="3"/>
      <c r="I886" s="3"/>
      <c r="J886" s="3"/>
      <c r="K886" s="3"/>
      <c r="L886" s="5"/>
    </row>
    <row r="887" spans="1:12" x14ac:dyDescent="0.25">
      <c r="A887" s="1"/>
      <c r="B887" s="179"/>
      <c r="C887" s="179"/>
      <c r="D887" s="3"/>
      <c r="E887" s="179"/>
      <c r="F887" s="179"/>
      <c r="G887" s="3"/>
      <c r="H887" s="3"/>
      <c r="I887" s="3"/>
      <c r="J887" s="3"/>
      <c r="K887" s="3"/>
      <c r="L887" s="5"/>
    </row>
    <row r="888" spans="1:12" x14ac:dyDescent="0.25">
      <c r="A888" s="1"/>
      <c r="B888" s="179"/>
      <c r="C888" s="179"/>
      <c r="D888" s="3"/>
      <c r="E888" s="179"/>
      <c r="F888" s="179"/>
      <c r="G888" s="3"/>
      <c r="H888" s="3"/>
      <c r="I888" s="3"/>
      <c r="J888" s="3"/>
      <c r="K888" s="3"/>
      <c r="L888" s="5"/>
    </row>
    <row r="889" spans="1:12" x14ac:dyDescent="0.25">
      <c r="A889" s="1"/>
      <c r="B889" s="179"/>
      <c r="C889" s="179"/>
      <c r="D889" s="3"/>
      <c r="E889" s="179"/>
      <c r="F889" s="179"/>
      <c r="G889" s="3"/>
      <c r="H889" s="3"/>
      <c r="I889" s="3"/>
      <c r="J889" s="3"/>
      <c r="K889" s="3"/>
      <c r="L889" s="5"/>
    </row>
    <row r="890" spans="1:12" x14ac:dyDescent="0.25">
      <c r="A890" s="1"/>
      <c r="B890" s="179"/>
      <c r="C890" s="179"/>
      <c r="D890" s="3"/>
      <c r="E890" s="179"/>
      <c r="F890" s="179"/>
      <c r="G890" s="3"/>
      <c r="H890" s="3"/>
      <c r="I890" s="3"/>
      <c r="J890" s="3"/>
      <c r="K890" s="3"/>
      <c r="L890" s="5"/>
    </row>
    <row r="891" spans="1:12" x14ac:dyDescent="0.25">
      <c r="A891" s="1"/>
      <c r="B891" s="179"/>
      <c r="C891" s="179"/>
      <c r="D891" s="3"/>
      <c r="E891" s="179"/>
      <c r="F891" s="179"/>
      <c r="G891" s="3"/>
      <c r="H891" s="3"/>
      <c r="I891" s="3"/>
      <c r="J891" s="3"/>
      <c r="K891" s="3"/>
      <c r="L891" s="5"/>
    </row>
    <row r="892" spans="1:12" x14ac:dyDescent="0.25">
      <c r="A892" s="1"/>
      <c r="B892" s="179"/>
      <c r="C892" s="179"/>
      <c r="D892" s="3"/>
      <c r="E892" s="179"/>
      <c r="F892" s="179"/>
      <c r="G892" s="3"/>
      <c r="H892" s="3"/>
      <c r="I892" s="3"/>
      <c r="J892" s="3"/>
      <c r="K892" s="3"/>
      <c r="L892" s="5"/>
    </row>
    <row r="893" spans="1:12" x14ac:dyDescent="0.25">
      <c r="A893" s="1"/>
      <c r="B893" s="179"/>
      <c r="C893" s="179"/>
      <c r="D893" s="3"/>
      <c r="E893" s="179"/>
      <c r="F893" s="179"/>
      <c r="G893" s="3"/>
      <c r="H893" s="3"/>
      <c r="I893" s="3"/>
      <c r="J893" s="3"/>
      <c r="K893" s="3"/>
      <c r="L893" s="5"/>
    </row>
    <row r="894" spans="1:12" x14ac:dyDescent="0.25">
      <c r="A894" s="1"/>
      <c r="B894" s="179"/>
      <c r="C894" s="179"/>
      <c r="D894" s="3"/>
      <c r="E894" s="179"/>
      <c r="F894" s="179"/>
      <c r="G894" s="3"/>
      <c r="H894" s="3"/>
      <c r="I894" s="3"/>
      <c r="J894" s="3"/>
      <c r="K894" s="3"/>
      <c r="L894" s="5"/>
    </row>
    <row r="895" spans="1:12" x14ac:dyDescent="0.25">
      <c r="A895" s="1"/>
      <c r="B895" s="179"/>
      <c r="C895" s="179"/>
      <c r="D895" s="3"/>
      <c r="E895" s="179"/>
      <c r="F895" s="179"/>
      <c r="G895" s="3"/>
      <c r="H895" s="3"/>
      <c r="I895" s="3"/>
      <c r="J895" s="3"/>
      <c r="K895" s="3"/>
      <c r="L895" s="5"/>
    </row>
    <row r="896" spans="1:12" x14ac:dyDescent="0.25">
      <c r="A896" s="1"/>
      <c r="B896" s="179"/>
      <c r="C896" s="179"/>
      <c r="D896" s="3"/>
      <c r="E896" s="179"/>
      <c r="F896" s="179"/>
      <c r="G896" s="3"/>
      <c r="H896" s="3"/>
      <c r="I896" s="3"/>
      <c r="J896" s="3"/>
      <c r="K896" s="3"/>
      <c r="L896" s="5"/>
    </row>
    <row r="897" spans="1:15" x14ac:dyDescent="0.25">
      <c r="A897" s="1"/>
      <c r="B897" s="179"/>
      <c r="C897" s="179"/>
      <c r="D897" s="3"/>
      <c r="E897" s="179"/>
      <c r="F897" s="179"/>
      <c r="G897" s="3"/>
      <c r="H897" s="3"/>
      <c r="I897" s="3"/>
      <c r="J897" s="3"/>
      <c r="K897" s="3"/>
      <c r="L897" s="5"/>
    </row>
    <row r="898" spans="1:15" x14ac:dyDescent="0.25">
      <c r="A898" s="1"/>
      <c r="B898" s="179"/>
      <c r="C898" s="179"/>
      <c r="D898" s="3"/>
      <c r="E898" s="179"/>
      <c r="F898" s="179"/>
      <c r="G898" s="3"/>
      <c r="H898" s="3"/>
      <c r="I898" s="3"/>
      <c r="J898" s="3"/>
      <c r="K898" s="3"/>
      <c r="L898" s="5"/>
    </row>
    <row r="899" spans="1:15" x14ac:dyDescent="0.25">
      <c r="A899" s="1"/>
      <c r="B899" s="179"/>
      <c r="C899" s="179"/>
      <c r="D899" s="3"/>
      <c r="E899" s="179"/>
      <c r="F899" s="179"/>
      <c r="G899" s="3"/>
      <c r="H899" s="3"/>
      <c r="I899" s="3"/>
      <c r="J899" s="3"/>
      <c r="K899" s="3"/>
      <c r="L899" s="5"/>
      <c r="O899" s="54"/>
    </row>
    <row r="900" spans="1:15" x14ac:dyDescent="0.25">
      <c r="A900" s="1"/>
      <c r="B900" s="179"/>
      <c r="C900" s="179"/>
      <c r="D900" s="3"/>
      <c r="E900" s="179"/>
      <c r="F900" s="179"/>
      <c r="G900" s="3"/>
      <c r="H900" s="3"/>
      <c r="I900" s="3"/>
      <c r="J900" s="3"/>
      <c r="K900" s="3"/>
      <c r="L900" s="5"/>
    </row>
    <row r="901" spans="1:15" x14ac:dyDescent="0.25">
      <c r="A901" s="1"/>
      <c r="B901" s="179"/>
      <c r="C901" s="179"/>
      <c r="D901" s="3"/>
      <c r="E901" s="179"/>
      <c r="F901" s="179"/>
      <c r="G901" s="3"/>
      <c r="H901" s="3"/>
      <c r="I901" s="3"/>
      <c r="J901" s="3"/>
      <c r="K901" s="3"/>
      <c r="L901" s="5"/>
      <c r="O901" s="54"/>
    </row>
    <row r="902" spans="1:15" x14ac:dyDescent="0.25">
      <c r="A902" s="1"/>
      <c r="B902" s="179"/>
      <c r="C902" s="179"/>
      <c r="D902" s="3"/>
      <c r="E902" s="179"/>
      <c r="F902" s="179"/>
      <c r="G902" s="3"/>
      <c r="H902" s="3"/>
      <c r="I902" s="3"/>
      <c r="J902" s="3"/>
      <c r="K902" s="3"/>
      <c r="L902" s="5"/>
    </row>
    <row r="903" spans="1:15" x14ac:dyDescent="0.25">
      <c r="A903" s="1"/>
      <c r="B903" s="179"/>
      <c r="C903" s="179"/>
      <c r="D903" s="3"/>
      <c r="E903" s="179"/>
      <c r="F903" s="179"/>
      <c r="G903" s="3"/>
      <c r="H903" s="3"/>
      <c r="I903" s="3"/>
      <c r="J903" s="3"/>
      <c r="K903" s="3"/>
      <c r="L903" s="5"/>
      <c r="O903" s="54"/>
    </row>
    <row r="904" spans="1:15" x14ac:dyDescent="0.25">
      <c r="A904" s="1"/>
      <c r="B904" s="179"/>
      <c r="C904" s="179"/>
      <c r="D904" s="3"/>
      <c r="E904" s="179"/>
      <c r="F904" s="179"/>
      <c r="G904" s="3"/>
      <c r="H904" s="3"/>
      <c r="I904" s="3"/>
      <c r="J904" s="3"/>
      <c r="K904" s="3"/>
      <c r="L904" s="5"/>
    </row>
    <row r="905" spans="1:15" x14ac:dyDescent="0.25">
      <c r="A905" s="1"/>
      <c r="B905" s="179"/>
      <c r="C905" s="179"/>
      <c r="D905" s="3"/>
      <c r="E905" s="179"/>
      <c r="F905" s="179"/>
      <c r="G905" s="3"/>
      <c r="H905" s="3"/>
      <c r="I905" s="3"/>
      <c r="J905" s="3"/>
      <c r="K905" s="3"/>
      <c r="L905" s="5"/>
      <c r="O905" s="54"/>
    </row>
    <row r="906" spans="1:15" x14ac:dyDescent="0.25">
      <c r="A906" s="1"/>
      <c r="B906" s="179"/>
      <c r="C906" s="179"/>
      <c r="D906" s="3"/>
      <c r="E906" s="179"/>
      <c r="F906" s="179"/>
      <c r="G906" s="3"/>
      <c r="H906" s="3"/>
      <c r="I906" s="3"/>
      <c r="J906" s="3"/>
      <c r="K906" s="3"/>
      <c r="L906" s="5"/>
    </row>
    <row r="907" spans="1:15" x14ac:dyDescent="0.25">
      <c r="A907" s="1"/>
      <c r="B907" s="179"/>
      <c r="C907" s="179"/>
      <c r="D907" s="3"/>
      <c r="E907" s="179"/>
      <c r="F907" s="179"/>
      <c r="G907" s="3"/>
      <c r="H907" s="3"/>
      <c r="I907" s="3"/>
      <c r="J907" s="3"/>
      <c r="K907" s="3"/>
      <c r="L907" s="5"/>
      <c r="O907" s="54"/>
    </row>
    <row r="908" spans="1:15" x14ac:dyDescent="0.25">
      <c r="A908" s="1"/>
      <c r="B908" s="179"/>
      <c r="C908" s="179"/>
      <c r="D908" s="3"/>
      <c r="E908" s="179"/>
      <c r="F908" s="179"/>
      <c r="G908" s="3"/>
      <c r="H908" s="3"/>
      <c r="I908" s="3"/>
      <c r="J908" s="3"/>
      <c r="K908" s="3"/>
      <c r="L908" s="5"/>
    </row>
    <row r="909" spans="1:15" x14ac:dyDescent="0.25">
      <c r="A909" s="1"/>
      <c r="B909" s="179"/>
      <c r="C909" s="179"/>
      <c r="D909" s="3"/>
      <c r="E909" s="179"/>
      <c r="F909" s="179"/>
      <c r="G909" s="3"/>
      <c r="H909" s="3"/>
      <c r="I909" s="3"/>
      <c r="J909" s="3"/>
      <c r="K909" s="3"/>
      <c r="L909" s="5"/>
      <c r="O909" s="54"/>
    </row>
    <row r="910" spans="1:15" x14ac:dyDescent="0.25">
      <c r="A910" s="1"/>
      <c r="B910" s="179"/>
      <c r="C910" s="179"/>
      <c r="D910" s="3"/>
      <c r="E910" s="179"/>
      <c r="F910" s="179"/>
      <c r="G910" s="3"/>
      <c r="H910" s="3"/>
      <c r="I910" s="3"/>
      <c r="J910" s="3"/>
      <c r="K910" s="3"/>
      <c r="L910" s="5"/>
    </row>
    <row r="911" spans="1:15" x14ac:dyDescent="0.25">
      <c r="A911" s="1"/>
      <c r="B911" s="179"/>
      <c r="C911" s="179"/>
      <c r="D911" s="3"/>
      <c r="E911" s="179"/>
      <c r="F911" s="179"/>
      <c r="G911" s="3"/>
      <c r="H911" s="3"/>
      <c r="I911" s="3"/>
      <c r="J911" s="3"/>
      <c r="K911" s="3"/>
      <c r="L911" s="5"/>
      <c r="O911" s="54"/>
    </row>
    <row r="912" spans="1:15" x14ac:dyDescent="0.25">
      <c r="A912" s="1"/>
      <c r="B912" s="179"/>
      <c r="C912" s="179"/>
      <c r="D912" s="3"/>
      <c r="E912" s="179"/>
      <c r="F912" s="179"/>
      <c r="G912" s="3"/>
      <c r="H912" s="3"/>
      <c r="I912" s="3"/>
      <c r="J912" s="3"/>
      <c r="K912" s="3"/>
      <c r="L912" s="5"/>
    </row>
    <row r="913" spans="1:15" x14ac:dyDescent="0.25">
      <c r="A913" s="1"/>
      <c r="B913" s="179"/>
      <c r="C913" s="179"/>
      <c r="D913" s="3"/>
      <c r="E913" s="179"/>
      <c r="F913" s="179"/>
      <c r="G913" s="3"/>
      <c r="H913" s="3"/>
      <c r="I913" s="3"/>
      <c r="J913" s="3"/>
      <c r="K913" s="3"/>
      <c r="L913" s="5"/>
      <c r="O913" s="54"/>
    </row>
    <row r="914" spans="1:15" x14ac:dyDescent="0.25">
      <c r="A914" s="1"/>
      <c r="B914" s="179"/>
      <c r="C914" s="179"/>
      <c r="D914" s="3"/>
      <c r="E914" s="179"/>
      <c r="F914" s="179"/>
      <c r="G914" s="3"/>
      <c r="H914" s="3"/>
      <c r="I914" s="3"/>
      <c r="J914" s="3"/>
      <c r="K914" s="3"/>
      <c r="L914" s="5"/>
    </row>
    <row r="915" spans="1:15" x14ac:dyDescent="0.25">
      <c r="A915" s="1"/>
      <c r="B915" s="179"/>
      <c r="C915" s="179"/>
      <c r="D915" s="3"/>
      <c r="E915" s="179"/>
      <c r="F915" s="179"/>
      <c r="G915" s="3"/>
      <c r="H915" s="3"/>
      <c r="I915" s="3"/>
      <c r="J915" s="3"/>
      <c r="K915" s="3"/>
      <c r="L915" s="5"/>
      <c r="O915" s="54"/>
    </row>
    <row r="916" spans="1:15" x14ac:dyDescent="0.25">
      <c r="A916" s="1"/>
      <c r="B916" s="179"/>
      <c r="C916" s="179"/>
      <c r="D916" s="3"/>
      <c r="E916" s="179"/>
      <c r="F916" s="179"/>
      <c r="G916" s="3"/>
      <c r="H916" s="3"/>
      <c r="I916" s="3"/>
      <c r="J916" s="3"/>
      <c r="K916" s="3"/>
      <c r="L916" s="5"/>
    </row>
    <row r="917" spans="1:15" x14ac:dyDescent="0.25">
      <c r="A917" s="1"/>
      <c r="B917" s="179"/>
      <c r="C917" s="179"/>
      <c r="D917" s="3"/>
      <c r="E917" s="179"/>
      <c r="F917" s="179"/>
      <c r="G917" s="3"/>
      <c r="H917" s="3"/>
      <c r="I917" s="3"/>
      <c r="J917" s="3"/>
      <c r="K917" s="3"/>
      <c r="L917" s="5"/>
      <c r="O917" s="54"/>
    </row>
    <row r="918" spans="1:15" x14ac:dyDescent="0.25">
      <c r="A918" s="1"/>
      <c r="B918" s="179"/>
      <c r="C918" s="179"/>
      <c r="D918" s="3"/>
      <c r="E918" s="179"/>
      <c r="F918" s="179"/>
      <c r="G918" s="3"/>
      <c r="H918" s="3"/>
      <c r="I918" s="3"/>
      <c r="J918" s="3"/>
      <c r="K918" s="3"/>
      <c r="L918" s="5"/>
    </row>
    <row r="919" spans="1:15" x14ac:dyDescent="0.25">
      <c r="A919" s="1"/>
      <c r="B919" s="179"/>
      <c r="C919" s="179"/>
      <c r="D919" s="3"/>
      <c r="E919" s="179"/>
      <c r="F919" s="179"/>
      <c r="G919" s="3"/>
      <c r="H919" s="3"/>
      <c r="I919" s="3"/>
      <c r="J919" s="3"/>
      <c r="K919" s="3"/>
      <c r="L919" s="5"/>
      <c r="O919" s="54"/>
    </row>
    <row r="920" spans="1:15" x14ac:dyDescent="0.25">
      <c r="A920" s="1"/>
      <c r="B920" s="179"/>
      <c r="C920" s="179"/>
      <c r="D920" s="3"/>
      <c r="E920" s="179"/>
      <c r="F920" s="179"/>
      <c r="G920" s="3"/>
      <c r="H920" s="3"/>
      <c r="I920" s="3"/>
      <c r="J920" s="3"/>
      <c r="K920" s="3"/>
      <c r="L920" s="5"/>
    </row>
    <row r="921" spans="1:15" x14ac:dyDescent="0.25">
      <c r="A921" s="1"/>
      <c r="B921" s="179"/>
      <c r="C921" s="179"/>
      <c r="D921" s="3"/>
      <c r="E921" s="179"/>
      <c r="F921" s="179"/>
      <c r="G921" s="3"/>
      <c r="H921" s="3"/>
      <c r="I921" s="3"/>
      <c r="J921" s="3"/>
      <c r="K921" s="3"/>
      <c r="L921" s="5"/>
      <c r="O921" s="54"/>
    </row>
    <row r="922" spans="1:15" x14ac:dyDescent="0.25">
      <c r="A922" s="1"/>
      <c r="B922" s="179"/>
      <c r="C922" s="179"/>
      <c r="D922" s="3"/>
      <c r="E922" s="179"/>
      <c r="F922" s="179"/>
      <c r="G922" s="3"/>
      <c r="H922" s="3"/>
      <c r="I922" s="3"/>
      <c r="J922" s="3"/>
      <c r="K922" s="3"/>
      <c r="L922" s="5"/>
    </row>
    <row r="923" spans="1:15" x14ac:dyDescent="0.25">
      <c r="A923" s="1"/>
      <c r="B923" s="179"/>
      <c r="C923" s="179"/>
      <c r="D923" s="3"/>
      <c r="E923" s="179"/>
      <c r="F923" s="179"/>
      <c r="G923" s="3"/>
      <c r="H923" s="3"/>
      <c r="I923" s="3"/>
      <c r="J923" s="3"/>
      <c r="K923" s="3"/>
      <c r="L923" s="5"/>
      <c r="O923" s="54"/>
    </row>
    <row r="924" spans="1:15" x14ac:dyDescent="0.25">
      <c r="A924" s="1"/>
      <c r="B924" s="179"/>
      <c r="C924" s="179"/>
      <c r="D924" s="3"/>
      <c r="E924" s="179"/>
      <c r="F924" s="179"/>
      <c r="G924" s="3"/>
      <c r="H924" s="3"/>
      <c r="I924" s="3"/>
      <c r="J924" s="3"/>
      <c r="K924" s="3"/>
      <c r="L924" s="5"/>
    </row>
    <row r="925" spans="1:15" x14ac:dyDescent="0.25">
      <c r="A925" s="1"/>
      <c r="B925" s="179"/>
      <c r="C925" s="179"/>
      <c r="D925" s="3"/>
      <c r="E925" s="179"/>
      <c r="F925" s="179"/>
      <c r="G925" s="3"/>
      <c r="H925" s="3"/>
      <c r="I925" s="4"/>
      <c r="J925" s="3"/>
      <c r="K925" s="3"/>
      <c r="L925" s="5"/>
      <c r="O925" s="54"/>
    </row>
    <row r="926" spans="1:15" x14ac:dyDescent="0.25">
      <c r="A926" s="1"/>
      <c r="B926" s="179"/>
      <c r="C926" s="179"/>
      <c r="D926" s="3"/>
      <c r="E926" s="179"/>
      <c r="F926" s="179"/>
      <c r="G926" s="3"/>
      <c r="H926" s="3"/>
      <c r="I926" s="4"/>
      <c r="J926" s="3"/>
      <c r="K926" s="3"/>
      <c r="L926" s="5"/>
    </row>
    <row r="927" spans="1:15" x14ac:dyDescent="0.25">
      <c r="A927" s="1"/>
      <c r="B927" s="179"/>
      <c r="C927" s="179"/>
      <c r="D927" s="3"/>
      <c r="E927" s="179"/>
      <c r="F927" s="179"/>
      <c r="G927" s="3"/>
      <c r="H927" s="3"/>
      <c r="I927" s="3"/>
      <c r="J927" s="3"/>
      <c r="K927" s="3"/>
      <c r="L927" s="5"/>
      <c r="O927" s="54"/>
    </row>
    <row r="928" spans="1:15" x14ac:dyDescent="0.25">
      <c r="A928" s="1"/>
      <c r="B928" s="179"/>
      <c r="C928" s="179"/>
      <c r="D928" s="3"/>
      <c r="E928" s="179"/>
      <c r="F928" s="179"/>
      <c r="G928" s="3"/>
      <c r="H928" s="3"/>
      <c r="I928" s="3"/>
      <c r="J928" s="3"/>
      <c r="K928" s="3"/>
      <c r="L928" s="5"/>
    </row>
    <row r="929" spans="1:15" x14ac:dyDescent="0.25">
      <c r="A929" s="1"/>
      <c r="B929" s="179"/>
      <c r="C929" s="179"/>
      <c r="D929" s="3"/>
      <c r="E929" s="179"/>
      <c r="F929" s="179"/>
      <c r="G929" s="3"/>
      <c r="H929" s="3"/>
      <c r="I929" s="3"/>
      <c r="J929" s="3"/>
      <c r="K929" s="3"/>
      <c r="L929" s="5"/>
      <c r="O929" s="54"/>
    </row>
    <row r="930" spans="1:15" x14ac:dyDescent="0.25">
      <c r="A930" s="1"/>
      <c r="B930" s="179"/>
      <c r="C930" s="179"/>
      <c r="D930" s="3"/>
      <c r="E930" s="179"/>
      <c r="F930" s="179"/>
      <c r="G930" s="3"/>
      <c r="H930" s="3"/>
      <c r="I930" s="3"/>
      <c r="J930" s="3"/>
      <c r="K930" s="3"/>
      <c r="L930" s="5"/>
    </row>
    <row r="931" spans="1:15" x14ac:dyDescent="0.25">
      <c r="A931" s="1"/>
      <c r="B931" s="179"/>
      <c r="C931" s="179"/>
      <c r="D931" s="3"/>
      <c r="E931" s="179"/>
      <c r="F931" s="179"/>
      <c r="G931" s="3"/>
      <c r="H931" s="3"/>
      <c r="I931" s="3"/>
      <c r="J931" s="3"/>
      <c r="K931" s="3"/>
      <c r="L931" s="140"/>
      <c r="O931" s="54"/>
    </row>
    <row r="932" spans="1:15" x14ac:dyDescent="0.25">
      <c r="A932" s="1"/>
      <c r="B932" s="179"/>
      <c r="C932" s="179"/>
      <c r="D932" s="3"/>
      <c r="E932" s="179"/>
      <c r="F932" s="179"/>
      <c r="G932" s="3"/>
      <c r="H932" s="3"/>
      <c r="I932" s="3"/>
      <c r="J932" s="3"/>
      <c r="K932" s="3"/>
      <c r="L932" s="140"/>
    </row>
    <row r="933" spans="1:15" x14ac:dyDescent="0.25">
      <c r="A933" s="1"/>
      <c r="B933" s="179"/>
      <c r="C933" s="179"/>
      <c r="D933" s="3"/>
      <c r="E933" s="179"/>
      <c r="F933" s="179"/>
      <c r="G933" s="3"/>
      <c r="H933" s="3"/>
      <c r="I933" s="3"/>
      <c r="J933" s="3"/>
      <c r="K933" s="3"/>
      <c r="L933" s="5"/>
      <c r="O933" s="54"/>
    </row>
    <row r="934" spans="1:15" x14ac:dyDescent="0.25">
      <c r="A934" s="1"/>
      <c r="B934" s="179"/>
      <c r="C934" s="179"/>
      <c r="D934" s="3"/>
      <c r="E934" s="179"/>
      <c r="F934" s="179"/>
      <c r="G934" s="3"/>
      <c r="H934" s="3"/>
      <c r="I934" s="3"/>
      <c r="J934" s="3"/>
      <c r="K934" s="3"/>
      <c r="L934" s="5"/>
    </row>
    <row r="935" spans="1:15" x14ac:dyDescent="0.25">
      <c r="A935" s="1"/>
      <c r="B935" s="179"/>
      <c r="C935" s="179"/>
      <c r="D935" s="3"/>
      <c r="E935" s="179"/>
      <c r="F935" s="179"/>
      <c r="G935" s="3"/>
      <c r="H935" s="3"/>
      <c r="I935" s="3"/>
      <c r="J935" s="3"/>
      <c r="K935" s="3"/>
      <c r="L935" s="5"/>
      <c r="O935" s="54"/>
    </row>
    <row r="936" spans="1:15" x14ac:dyDescent="0.2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5"/>
    </row>
    <row r="937" spans="1:15" x14ac:dyDescent="0.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140"/>
      <c r="O937" s="54"/>
    </row>
    <row r="938" spans="1:15" x14ac:dyDescent="0.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5"/>
    </row>
    <row r="939" spans="1:15" x14ac:dyDescent="0.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5"/>
      <c r="O939" s="54"/>
    </row>
    <row r="940" spans="1:15" x14ac:dyDescent="0.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5"/>
    </row>
    <row r="941" spans="1:15" x14ac:dyDescent="0.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5"/>
      <c r="O941" s="54"/>
    </row>
    <row r="942" spans="1:15" x14ac:dyDescent="0.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5"/>
    </row>
    <row r="943" spans="1:15" x14ac:dyDescent="0.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5"/>
      <c r="O943" s="54"/>
    </row>
    <row r="944" spans="1:15" x14ac:dyDescent="0.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5"/>
    </row>
    <row r="945" spans="1:15" x14ac:dyDescent="0.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5"/>
      <c r="O945" s="54"/>
    </row>
    <row r="946" spans="1:15" x14ac:dyDescent="0.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5"/>
    </row>
    <row r="947" spans="1:15" x14ac:dyDescent="0.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5"/>
      <c r="O947" s="54"/>
    </row>
    <row r="948" spans="1:15" x14ac:dyDescent="0.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5"/>
    </row>
    <row r="949" spans="1:15" x14ac:dyDescent="0.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5"/>
      <c r="O949" s="54"/>
    </row>
    <row r="950" spans="1:15" x14ac:dyDescent="0.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5"/>
    </row>
    <row r="951" spans="1:15" x14ac:dyDescent="0.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5"/>
      <c r="O951" s="54"/>
    </row>
    <row r="952" spans="1:15" x14ac:dyDescent="0.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5"/>
    </row>
    <row r="953" spans="1:15" x14ac:dyDescent="0.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5"/>
      <c r="O953" s="54"/>
    </row>
    <row r="954" spans="1:15" x14ac:dyDescent="0.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5"/>
    </row>
    <row r="955" spans="1:15" x14ac:dyDescent="0.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5"/>
      <c r="O955" s="54"/>
    </row>
    <row r="956" spans="1:15" x14ac:dyDescent="0.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5"/>
    </row>
    <row r="957" spans="1:15" x14ac:dyDescent="0.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5"/>
      <c r="O957" s="54"/>
    </row>
    <row r="958" spans="1:15" x14ac:dyDescent="0.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5"/>
    </row>
    <row r="959" spans="1:15" x14ac:dyDescent="0.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5"/>
      <c r="O959" s="54"/>
    </row>
    <row r="960" spans="1:15" x14ac:dyDescent="0.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5"/>
    </row>
    <row r="961" spans="1:15" x14ac:dyDescent="0.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5"/>
      <c r="O961" s="54"/>
    </row>
    <row r="962" spans="1:15" x14ac:dyDescent="0.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5"/>
    </row>
    <row r="963" spans="1:15" x14ac:dyDescent="0.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5"/>
      <c r="O963" s="54"/>
    </row>
    <row r="964" spans="1:15" x14ac:dyDescent="0.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5"/>
    </row>
    <row r="965" spans="1:15" x14ac:dyDescent="0.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5"/>
      <c r="O965" s="54"/>
    </row>
    <row r="966" spans="1:15" x14ac:dyDescent="0.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5"/>
    </row>
    <row r="967" spans="1:15" x14ac:dyDescent="0.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5"/>
      <c r="O967" s="54"/>
    </row>
    <row r="968" spans="1:15" x14ac:dyDescent="0.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5"/>
    </row>
    <row r="969" spans="1:15" x14ac:dyDescent="0.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5"/>
      <c r="O969" s="54"/>
    </row>
    <row r="970" spans="1:15" x14ac:dyDescent="0.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5"/>
    </row>
    <row r="971" spans="1:15" x14ac:dyDescent="0.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5"/>
      <c r="O971" s="54"/>
    </row>
    <row r="972" spans="1:15" x14ac:dyDescent="0.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5"/>
    </row>
    <row r="973" spans="1:15" x14ac:dyDescent="0.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5"/>
      <c r="O973" s="54"/>
    </row>
    <row r="974" spans="1:15" x14ac:dyDescent="0.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5"/>
    </row>
    <row r="975" spans="1:15" x14ac:dyDescent="0.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5"/>
      <c r="O975" s="54"/>
    </row>
    <row r="976" spans="1:15" x14ac:dyDescent="0.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5"/>
    </row>
    <row r="977" spans="1:15" x14ac:dyDescent="0.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5"/>
      <c r="O977" s="54"/>
    </row>
    <row r="978" spans="1:15" x14ac:dyDescent="0.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5"/>
    </row>
    <row r="979" spans="1:15" x14ac:dyDescent="0.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5"/>
      <c r="O979" s="54"/>
    </row>
    <row r="980" spans="1:15" x14ac:dyDescent="0.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5"/>
    </row>
    <row r="981" spans="1:15" x14ac:dyDescent="0.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5"/>
      <c r="O981" s="54"/>
    </row>
    <row r="982" spans="1:15" x14ac:dyDescent="0.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5"/>
    </row>
    <row r="983" spans="1:15" x14ac:dyDescent="0.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5"/>
      <c r="O983" s="54"/>
    </row>
    <row r="984" spans="1:15" x14ac:dyDescent="0.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5"/>
    </row>
    <row r="985" spans="1:15" x14ac:dyDescent="0.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5"/>
      <c r="O985" s="54"/>
    </row>
    <row r="986" spans="1:15" x14ac:dyDescent="0.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5"/>
    </row>
    <row r="987" spans="1:15" x14ac:dyDescent="0.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5"/>
      <c r="O987" s="54"/>
    </row>
    <row r="988" spans="1:15" x14ac:dyDescent="0.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5"/>
    </row>
    <row r="989" spans="1:15" x14ac:dyDescent="0.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5"/>
      <c r="O989" s="54"/>
    </row>
    <row r="990" spans="1:15" x14ac:dyDescent="0.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5"/>
    </row>
    <row r="991" spans="1:15" x14ac:dyDescent="0.25">
      <c r="A991" s="1"/>
      <c r="B991" s="2"/>
      <c r="C991" s="2"/>
      <c r="D991" s="3"/>
      <c r="E991" s="3"/>
      <c r="F991" s="3"/>
      <c r="G991" s="4"/>
      <c r="H991" s="4"/>
      <c r="I991" s="4"/>
      <c r="J991" s="3"/>
      <c r="K991" s="3"/>
      <c r="L991" s="5"/>
      <c r="O991" s="54"/>
    </row>
    <row r="992" spans="1:15" x14ac:dyDescent="0.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5"/>
    </row>
    <row r="993" spans="1:15" x14ac:dyDescent="0.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140"/>
      <c r="O993" s="54"/>
    </row>
    <row r="994" spans="1:15" x14ac:dyDescent="0.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5"/>
    </row>
    <row r="995" spans="1:15" x14ac:dyDescent="0.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5"/>
      <c r="O995" s="54"/>
    </row>
    <row r="996" spans="1:15" x14ac:dyDescent="0.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5"/>
    </row>
    <row r="997" spans="1:15" x14ac:dyDescent="0.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5"/>
      <c r="O997" s="54"/>
    </row>
    <row r="998" spans="1:15" x14ac:dyDescent="0.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5"/>
    </row>
    <row r="999" spans="1:15" x14ac:dyDescent="0.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5"/>
      <c r="O999" s="54"/>
    </row>
    <row r="1000" spans="1:15" x14ac:dyDescent="0.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5"/>
    </row>
    <row r="1001" spans="1:15" x14ac:dyDescent="0.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5"/>
      <c r="O1001" s="54"/>
    </row>
    <row r="1002" spans="1:15" x14ac:dyDescent="0.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5"/>
    </row>
    <row r="1003" spans="1:15" x14ac:dyDescent="0.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5"/>
      <c r="O1003" s="54"/>
    </row>
    <row r="1004" spans="1:15" x14ac:dyDescent="0.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5"/>
    </row>
    <row r="1005" spans="1:15" x14ac:dyDescent="0.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5"/>
      <c r="O1005" s="54"/>
    </row>
    <row r="1006" spans="1:15" x14ac:dyDescent="0.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5"/>
    </row>
    <row r="1007" spans="1:15" x14ac:dyDescent="0.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5"/>
      <c r="O1007" s="54"/>
    </row>
    <row r="1008" spans="1:15" x14ac:dyDescent="0.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5"/>
    </row>
    <row r="1009" spans="1:15" x14ac:dyDescent="0.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5"/>
      <c r="O1009" s="54"/>
    </row>
    <row r="1010" spans="1:15" x14ac:dyDescent="0.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5"/>
    </row>
    <row r="1011" spans="1:15" x14ac:dyDescent="0.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5"/>
      <c r="O1011" s="54"/>
    </row>
    <row r="1012" spans="1:15" x14ac:dyDescent="0.2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5"/>
    </row>
    <row r="1013" spans="1:15" x14ac:dyDescent="0.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5"/>
      <c r="O1013" s="54"/>
    </row>
    <row r="1014" spans="1:15" x14ac:dyDescent="0.2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5"/>
    </row>
    <row r="1015" spans="1:15" x14ac:dyDescent="0.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5"/>
      <c r="O1015" s="54"/>
    </row>
    <row r="1016" spans="1:15" x14ac:dyDescent="0.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5"/>
    </row>
    <row r="1017" spans="1:15" x14ac:dyDescent="0.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5"/>
      <c r="O1017" s="54"/>
    </row>
    <row r="1018" spans="1:15" x14ac:dyDescent="0.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5"/>
    </row>
    <row r="1019" spans="1:15" x14ac:dyDescent="0.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5"/>
      <c r="O1019" s="54"/>
    </row>
    <row r="1020" spans="1:15" x14ac:dyDescent="0.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5"/>
    </row>
    <row r="1021" spans="1:15" x14ac:dyDescent="0.25">
      <c r="A1021" s="1"/>
      <c r="B1021" s="3"/>
      <c r="C1021" s="3"/>
      <c r="D1021" s="3"/>
      <c r="E1021" s="3"/>
      <c r="F1021" s="3"/>
      <c r="G1021" s="4"/>
      <c r="H1021" s="4"/>
      <c r="I1021" s="4"/>
      <c r="J1021" s="3"/>
      <c r="K1021" s="3"/>
      <c r="L1021" s="5"/>
      <c r="O1021" s="54"/>
    </row>
    <row r="1022" spans="1:15" x14ac:dyDescent="0.25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5"/>
    </row>
    <row r="1023" spans="1:15" x14ac:dyDescent="0.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5"/>
      <c r="O1023" s="54"/>
    </row>
    <row r="1024" spans="1:15" x14ac:dyDescent="0.25">
      <c r="A1024" s="1"/>
      <c r="B1024" s="3"/>
      <c r="C1024" s="3"/>
      <c r="D1024" s="3"/>
      <c r="E1024" s="3"/>
      <c r="F1024" s="3"/>
      <c r="G1024" s="3"/>
      <c r="H1024" s="3"/>
      <c r="I1024" s="3"/>
      <c r="J1024" s="1"/>
      <c r="K1024" s="3"/>
      <c r="L1024" s="140"/>
    </row>
    <row r="1025" spans="1:15" x14ac:dyDescent="0.25">
      <c r="A1025" s="1"/>
      <c r="B1025" s="3"/>
      <c r="C1025" s="3"/>
      <c r="D1025" s="3"/>
      <c r="E1025" s="3"/>
      <c r="F1025" s="3"/>
      <c r="G1025" s="3"/>
      <c r="H1025" s="3"/>
      <c r="I1025" s="3"/>
      <c r="J1025" s="1"/>
      <c r="K1025" s="3"/>
      <c r="L1025" s="140"/>
      <c r="O1025" s="54"/>
    </row>
    <row r="1026" spans="1:15" x14ac:dyDescent="0.25">
      <c r="A1026" s="1"/>
      <c r="B1026" s="3"/>
      <c r="C1026" s="3"/>
      <c r="D1026" s="3"/>
      <c r="E1026" s="3"/>
      <c r="F1026" s="3"/>
      <c r="G1026" s="3"/>
      <c r="H1026" s="3"/>
      <c r="I1026" s="3"/>
      <c r="J1026" s="1"/>
      <c r="K1026" s="3"/>
      <c r="L1026" s="140"/>
    </row>
    <row r="1027" spans="1:15" x14ac:dyDescent="0.25">
      <c r="A1027" s="1"/>
      <c r="B1027" s="3"/>
      <c r="C1027" s="3"/>
      <c r="D1027" s="3"/>
      <c r="E1027" s="3"/>
      <c r="F1027" s="3"/>
      <c r="G1027" s="3"/>
      <c r="H1027" s="3"/>
      <c r="I1027" s="3"/>
      <c r="J1027" s="1"/>
      <c r="K1027" s="3"/>
      <c r="L1027" s="140"/>
      <c r="O1027" s="54"/>
    </row>
    <row r="1028" spans="1:15" x14ac:dyDescent="0.25">
      <c r="A1028" s="1"/>
      <c r="B1028" s="3"/>
      <c r="C1028" s="3"/>
      <c r="D1028" s="3"/>
      <c r="E1028" s="3"/>
      <c r="F1028" s="3"/>
      <c r="G1028" s="3"/>
      <c r="H1028" s="3"/>
      <c r="I1028" s="3"/>
      <c r="J1028" s="1"/>
      <c r="K1028" s="3"/>
      <c r="L1028" s="140"/>
    </row>
    <row r="1029" spans="1:15" x14ac:dyDescent="0.25">
      <c r="A1029" s="1"/>
      <c r="B1029" s="3"/>
      <c r="C1029" s="3"/>
      <c r="D1029" s="3"/>
      <c r="E1029" s="3"/>
      <c r="F1029" s="3"/>
      <c r="G1029" s="3"/>
      <c r="H1029" s="3"/>
      <c r="I1029" s="3"/>
      <c r="J1029" s="1"/>
      <c r="K1029" s="3"/>
      <c r="L1029" s="140"/>
      <c r="O1029" s="54"/>
    </row>
    <row r="1030" spans="1:15" x14ac:dyDescent="0.25">
      <c r="A1030" s="1"/>
      <c r="B1030" s="3"/>
      <c r="C1030" s="3"/>
      <c r="D1030" s="3"/>
      <c r="E1030" s="3"/>
      <c r="F1030" s="3"/>
      <c r="G1030" s="3"/>
      <c r="H1030" s="3"/>
      <c r="I1030" s="3"/>
      <c r="J1030" s="1"/>
      <c r="K1030" s="3"/>
      <c r="L1030" s="140"/>
    </row>
    <row r="1031" spans="1:15" x14ac:dyDescent="0.25">
      <c r="A1031" s="1"/>
      <c r="B1031" s="3"/>
      <c r="C1031" s="3"/>
      <c r="D1031" s="3"/>
      <c r="E1031" s="3"/>
      <c r="F1031" s="3"/>
      <c r="G1031" s="3"/>
      <c r="H1031" s="3"/>
      <c r="I1031" s="3"/>
      <c r="J1031" s="1"/>
      <c r="K1031" s="3"/>
      <c r="L1031" s="140"/>
    </row>
    <row r="1032" spans="1:15" x14ac:dyDescent="0.25">
      <c r="A1032" s="1"/>
      <c r="B1032" s="3"/>
      <c r="C1032" s="3"/>
      <c r="D1032" s="3"/>
      <c r="E1032" s="3"/>
      <c r="F1032" s="3"/>
      <c r="G1032" s="3"/>
      <c r="H1032" s="3"/>
      <c r="I1032" s="3"/>
      <c r="J1032" s="1"/>
      <c r="K1032" s="3"/>
      <c r="L1032" s="140"/>
    </row>
    <row r="1033" spans="1:15" x14ac:dyDescent="0.25">
      <c r="A1033" s="1"/>
      <c r="B1033" s="3"/>
      <c r="C1033" s="3"/>
      <c r="D1033" s="3"/>
      <c r="E1033" s="3"/>
      <c r="F1033" s="3"/>
      <c r="G1033" s="3"/>
      <c r="H1033" s="3"/>
      <c r="I1033" s="3"/>
      <c r="J1033" s="1"/>
      <c r="K1033" s="3"/>
      <c r="L1033" s="140"/>
    </row>
    <row r="1034" spans="1:15" x14ac:dyDescent="0.25">
      <c r="A1034" s="1"/>
      <c r="B1034" s="3"/>
      <c r="C1034" s="3"/>
      <c r="D1034" s="3"/>
      <c r="E1034" s="3"/>
      <c r="F1034" s="3"/>
      <c r="G1034" s="3"/>
      <c r="H1034" s="3"/>
      <c r="I1034" s="3"/>
      <c r="J1034" s="1"/>
      <c r="K1034" s="3"/>
      <c r="L1034" s="140"/>
    </row>
    <row r="1035" spans="1:15" x14ac:dyDescent="0.25">
      <c r="A1035" s="1"/>
      <c r="B1035" s="3"/>
      <c r="C1035" s="3"/>
      <c r="D1035" s="3"/>
      <c r="E1035" s="3"/>
      <c r="F1035" s="3"/>
      <c r="G1035" s="3"/>
      <c r="H1035" s="3"/>
      <c r="I1035" s="3"/>
      <c r="J1035" s="1"/>
      <c r="K1035" s="3"/>
      <c r="L1035" s="140"/>
    </row>
    <row r="1036" spans="1:15" x14ac:dyDescent="0.25">
      <c r="A1036" s="1"/>
      <c r="B1036" s="3"/>
      <c r="C1036" s="3"/>
      <c r="D1036" s="3"/>
      <c r="E1036" s="3"/>
      <c r="F1036" s="3"/>
      <c r="G1036" s="3"/>
      <c r="H1036" s="3"/>
      <c r="I1036" s="3"/>
      <c r="J1036" s="1"/>
      <c r="K1036" s="3"/>
      <c r="L1036" s="140"/>
    </row>
    <row r="1037" spans="1:15" x14ac:dyDescent="0.25">
      <c r="A1037" s="1"/>
      <c r="B1037" s="3"/>
      <c r="C1037" s="3"/>
      <c r="D1037" s="3"/>
      <c r="E1037" s="3"/>
      <c r="F1037" s="3"/>
      <c r="G1037" s="3"/>
      <c r="H1037" s="3"/>
      <c r="I1037" s="3"/>
      <c r="J1037" s="1"/>
      <c r="K1037" s="3"/>
      <c r="L1037" s="140"/>
    </row>
    <row r="1038" spans="1:15" x14ac:dyDescent="0.25">
      <c r="A1038" s="1"/>
      <c r="B1038" s="3"/>
      <c r="C1038" s="3"/>
      <c r="D1038" s="3"/>
      <c r="E1038" s="3"/>
      <c r="F1038" s="3"/>
      <c r="G1038" s="3"/>
      <c r="H1038" s="3"/>
      <c r="I1038" s="3"/>
      <c r="J1038" s="1"/>
      <c r="K1038" s="3"/>
      <c r="L1038" s="140"/>
    </row>
    <row r="1039" spans="1:15" x14ac:dyDescent="0.25">
      <c r="A1039" s="1"/>
      <c r="B1039" s="3"/>
      <c r="C1039" s="3"/>
      <c r="D1039" s="3"/>
      <c r="E1039" s="3"/>
      <c r="F1039" s="3"/>
      <c r="G1039" s="3"/>
      <c r="H1039" s="3"/>
      <c r="I1039" s="3"/>
      <c r="J1039" s="1"/>
      <c r="K1039" s="3"/>
      <c r="L1039" s="140"/>
    </row>
    <row r="1040" spans="1:15" x14ac:dyDescent="0.25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140"/>
    </row>
    <row r="1041" spans="1:12" x14ac:dyDescent="0.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140"/>
    </row>
    <row r="1042" spans="1:12" x14ac:dyDescent="0.25">
      <c r="A1042" s="1"/>
      <c r="B1042" s="2"/>
      <c r="C1042" s="2"/>
      <c r="D1042" s="3"/>
      <c r="E1042" s="3"/>
      <c r="F1042" s="3"/>
      <c r="G1042" s="4"/>
      <c r="H1042" s="4"/>
      <c r="I1042" s="4"/>
      <c r="J1042" s="3"/>
      <c r="K1042" s="3"/>
      <c r="L1042" s="140"/>
    </row>
    <row r="1043" spans="1:12" x14ac:dyDescent="0.25">
      <c r="A1043" s="1"/>
      <c r="B1043" s="2"/>
      <c r="C1043" s="2"/>
      <c r="D1043" s="3"/>
      <c r="E1043" s="3"/>
      <c r="F1043" s="3"/>
      <c r="G1043" s="4"/>
      <c r="H1043" s="4"/>
      <c r="I1043" s="4"/>
      <c r="J1043" s="3"/>
      <c r="K1043" s="3"/>
      <c r="L1043" s="140"/>
    </row>
    <row r="1044" spans="1:12" x14ac:dyDescent="0.25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140"/>
    </row>
    <row r="1045" spans="1:12" x14ac:dyDescent="0.25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140"/>
    </row>
    <row r="1046" spans="1:12" x14ac:dyDescent="0.25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140"/>
    </row>
    <row r="1047" spans="1:12" x14ac:dyDescent="0.25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140"/>
    </row>
    <row r="1048" spans="1:12" x14ac:dyDescent="0.25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140"/>
    </row>
    <row r="1049" spans="1:12" x14ac:dyDescent="0.25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140"/>
    </row>
    <row r="1050" spans="1:12" x14ac:dyDescent="0.25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140"/>
    </row>
    <row r="1051" spans="1:12" x14ac:dyDescent="0.25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140"/>
    </row>
    <row r="1052" spans="1:12" x14ac:dyDescent="0.25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140"/>
    </row>
    <row r="1053" spans="1:12" x14ac:dyDescent="0.25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140"/>
    </row>
    <row r="1054" spans="1:12" x14ac:dyDescent="0.25">
      <c r="A1054" s="54"/>
      <c r="B1054" s="199"/>
      <c r="C1054" s="199"/>
      <c r="D1054" s="199"/>
      <c r="E1054" s="199"/>
      <c r="F1054" s="199"/>
      <c r="G1054" s="199"/>
      <c r="H1054" s="199"/>
      <c r="I1054" s="199"/>
      <c r="J1054" s="199"/>
      <c r="K1054" s="199"/>
      <c r="L1054" s="203"/>
    </row>
    <row r="1055" spans="1:12" x14ac:dyDescent="0.25">
      <c r="A1055" s="54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140"/>
    </row>
    <row r="1056" spans="1:12" x14ac:dyDescent="0.25">
      <c r="A1056" s="54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140"/>
    </row>
    <row r="1057" spans="2:12" ht="15.75" thickBot="1" x14ac:dyDescent="0.3">
      <c r="B1057" s="55"/>
      <c r="C1057" s="55"/>
      <c r="G1057" s="136"/>
      <c r="H1057" s="136"/>
      <c r="I1057" s="136"/>
      <c r="L1057" s="7"/>
    </row>
    <row r="1058" spans="2:12" ht="16.5" thickBot="1" x14ac:dyDescent="0.3">
      <c r="K1058" s="37" t="s">
        <v>15</v>
      </c>
      <c r="L1058" s="39">
        <f>SUM(L4:L1057)</f>
        <v>5276.5</v>
      </c>
    </row>
  </sheetData>
  <autoFilter ref="A3:M637" xr:uid="{24CA848F-C170-4BF5-8B76-4FC0302108C4}"/>
  <phoneticPr fontId="2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03A-8EE9-4219-8901-F4BAB2D34F6C}">
  <sheetPr>
    <tabColor rgb="FF3366FF"/>
    <pageSetUpPr fitToPage="1"/>
  </sheetPr>
  <dimension ref="A1:L217"/>
  <sheetViews>
    <sheetView topLeftCell="A181" zoomScale="106" zoomScaleNormal="106" workbookViewId="0">
      <selection activeCell="E181" sqref="E181"/>
    </sheetView>
  </sheetViews>
  <sheetFormatPr baseColWidth="10" defaultRowHeight="15" x14ac:dyDescent="0.25"/>
  <cols>
    <col min="1" max="1" width="18.85546875" customWidth="1"/>
    <col min="2" max="2" width="14.140625" customWidth="1"/>
    <col min="3" max="3" width="6.5703125" customWidth="1"/>
    <col min="4" max="4" width="59.7109375" customWidth="1"/>
    <col min="5" max="5" width="11.85546875" customWidth="1"/>
    <col min="6" max="6" width="11.85546875" bestFit="1" customWidth="1"/>
    <col min="11" max="11" width="15.85546875" customWidth="1"/>
    <col min="12" max="12" width="11.42578125" customWidth="1"/>
    <col min="13" max="13" width="43.5703125" customWidth="1"/>
    <col min="14" max="14" width="15.42578125" customWidth="1"/>
  </cols>
  <sheetData>
    <row r="1" spans="2:7" ht="15.75" x14ac:dyDescent="0.25">
      <c r="B1" s="154"/>
      <c r="C1" s="155"/>
      <c r="D1" s="156" t="s">
        <v>2455</v>
      </c>
      <c r="E1" s="156"/>
      <c r="F1" s="157"/>
    </row>
    <row r="2" spans="2:7" ht="15.75" x14ac:dyDescent="0.25">
      <c r="B2" s="149"/>
      <c r="C2" s="150"/>
      <c r="D2" s="151" t="s">
        <v>18</v>
      </c>
      <c r="E2" s="152"/>
      <c r="F2" s="153" t="s">
        <v>10</v>
      </c>
    </row>
    <row r="3" spans="2:7" ht="15.75" x14ac:dyDescent="0.25">
      <c r="B3" s="11" t="s">
        <v>3</v>
      </c>
      <c r="C3" s="91">
        <f>COUNTIF(RECIBOS!$D$4:$D$1057,INGRESOS!D3)</f>
        <v>94</v>
      </c>
      <c r="D3" s="129" t="s">
        <v>12</v>
      </c>
      <c r="E3" s="12"/>
      <c r="F3" s="89">
        <f>SUMIF(RECIBOS!D$4:D$1057,"CHAUPI",RECIBOS!L$4:L$1057)</f>
        <v>2291</v>
      </c>
    </row>
    <row r="4" spans="2:7" ht="15.75" x14ac:dyDescent="0.25">
      <c r="B4" s="11" t="s">
        <v>3</v>
      </c>
      <c r="C4" s="91">
        <f>COUNTIF(RECIBOS!$D$4:$D$1057,INGRESOS!D4)</f>
        <v>76</v>
      </c>
      <c r="D4" s="130" t="s">
        <v>0</v>
      </c>
      <c r="E4" s="52"/>
      <c r="F4" s="89">
        <f>SUMIF(RECIBOS!D$4:D$1057,"PACHAYZA",RECIBOS!L$4:L$1057)</f>
        <v>2237.5</v>
      </c>
    </row>
    <row r="5" spans="2:7" ht="15.75" x14ac:dyDescent="0.25">
      <c r="B5" s="11" t="s">
        <v>3</v>
      </c>
      <c r="C5" s="91">
        <f>COUNTIF(RECIBOS!$D$4:$D$1057,INGRESOS!D5)</f>
        <v>17</v>
      </c>
      <c r="D5" s="129" t="s">
        <v>13</v>
      </c>
      <c r="E5" s="12"/>
      <c r="F5" s="89">
        <f>SUMIF(RECIBOS!D$4:D$1057,"LUCMANI",RECIBOS!L$4:L$1057)</f>
        <v>451.5</v>
      </c>
    </row>
    <row r="6" spans="2:7" ht="15.75" x14ac:dyDescent="0.25">
      <c r="B6" s="11" t="s">
        <v>3</v>
      </c>
      <c r="C6" s="91">
        <f>COUNTIF(RECIBOS!$D$4:$D$1057,INGRESOS!D6)</f>
        <v>15</v>
      </c>
      <c r="D6" s="130" t="s">
        <v>14</v>
      </c>
      <c r="E6" s="52"/>
      <c r="F6" s="89">
        <f>SUMIF(RECIBOS!D$4:D$1057,"HUAQUILLO",RECIBOS!L$4:L$1057)</f>
        <v>196.5</v>
      </c>
    </row>
    <row r="7" spans="2:7" ht="15.75" x14ac:dyDescent="0.25">
      <c r="B7" s="11" t="s">
        <v>3</v>
      </c>
      <c r="C7" s="91">
        <f>COUNTIF(RECIBOS!$D$4:$D$1057,INGRESOS!D7)</f>
        <v>1</v>
      </c>
      <c r="D7" s="131" t="s">
        <v>16</v>
      </c>
      <c r="E7" s="13"/>
      <c r="F7" s="89">
        <f>SUMIF(RECIBOS!D$4:D$1057,"AYACUCHO",RECIBOS!L$4:L$1057)</f>
        <v>6.5</v>
      </c>
    </row>
    <row r="8" spans="2:7" ht="16.5" thickBot="1" x14ac:dyDescent="0.3">
      <c r="B8" s="14" t="s">
        <v>3</v>
      </c>
      <c r="C8" s="91">
        <f>COUNTIF(RECIBOS!$D$4:$D$1057,INGRESOS!D8)</f>
        <v>5</v>
      </c>
      <c r="D8" s="132" t="s">
        <v>17</v>
      </c>
      <c r="E8" s="127"/>
      <c r="F8" s="89">
        <f>SUMIF(RECIBOS!D$4:D$1057,"CHAUPICERCA",RECIBOS!L$4:L$1057)</f>
        <v>93.5</v>
      </c>
    </row>
    <row r="9" spans="2:7" ht="15.75" thickBot="1" x14ac:dyDescent="0.3">
      <c r="B9" s="15"/>
      <c r="C9" s="92">
        <f>SUM(C3:C8)</f>
        <v>208</v>
      </c>
      <c r="D9" s="133" t="s">
        <v>19</v>
      </c>
      <c r="E9" s="16"/>
      <c r="F9" s="90">
        <f>SUM(F3:F8)</f>
        <v>5276.5</v>
      </c>
    </row>
    <row r="11" spans="2:7" ht="15.75" x14ac:dyDescent="0.25">
      <c r="B11" s="17"/>
      <c r="C11" s="18"/>
      <c r="D11" s="8" t="s">
        <v>2454</v>
      </c>
      <c r="E11" s="8"/>
      <c r="F11" s="9"/>
    </row>
    <row r="12" spans="2:7" ht="15.75" x14ac:dyDescent="0.25">
      <c r="B12" s="19" t="s">
        <v>20</v>
      </c>
      <c r="C12" s="20" t="s">
        <v>21</v>
      </c>
      <c r="D12" s="128" t="s">
        <v>18</v>
      </c>
      <c r="E12" s="19" t="s">
        <v>73</v>
      </c>
      <c r="F12" s="10" t="s">
        <v>10</v>
      </c>
    </row>
    <row r="13" spans="2:7" ht="15.75" x14ac:dyDescent="0.25">
      <c r="B13" s="44"/>
      <c r="C13" s="45"/>
      <c r="D13" s="46"/>
      <c r="E13" s="134"/>
      <c r="F13" s="137"/>
      <c r="G13" s="182"/>
    </row>
    <row r="14" spans="2:7" ht="15.75" x14ac:dyDescent="0.25">
      <c r="B14" s="44"/>
      <c r="C14" s="45"/>
      <c r="D14" s="46"/>
      <c r="E14" s="134"/>
      <c r="F14" s="137"/>
      <c r="G14" s="182"/>
    </row>
    <row r="15" spans="2:7" ht="30" customHeight="1" x14ac:dyDescent="0.25">
      <c r="B15" s="44"/>
      <c r="C15" s="45"/>
      <c r="D15" s="46"/>
      <c r="E15" s="134"/>
      <c r="F15" s="137"/>
      <c r="G15" s="182"/>
    </row>
    <row r="16" spans="2:7" ht="15.75" x14ac:dyDescent="0.25">
      <c r="B16" s="44"/>
      <c r="C16" s="45"/>
      <c r="D16" s="46"/>
      <c r="E16" s="134"/>
      <c r="F16" s="137"/>
      <c r="G16" s="182"/>
    </row>
    <row r="17" spans="2:7" ht="15.75" x14ac:dyDescent="0.25">
      <c r="B17" s="44"/>
      <c r="C17" s="45"/>
      <c r="D17" s="46"/>
      <c r="E17" s="134"/>
      <c r="F17" s="137"/>
      <c r="G17" s="182"/>
    </row>
    <row r="18" spans="2:7" ht="15.75" x14ac:dyDescent="0.25">
      <c r="B18" s="44"/>
      <c r="C18" s="45"/>
      <c r="D18" s="46"/>
      <c r="E18" s="134"/>
      <c r="F18" s="137"/>
      <c r="G18" s="182"/>
    </row>
    <row r="19" spans="2:7" ht="15.75" x14ac:dyDescent="0.25">
      <c r="B19" s="44"/>
      <c r="C19" s="45"/>
      <c r="D19" s="46"/>
      <c r="E19" s="134"/>
      <c r="F19" s="137"/>
      <c r="G19" s="182"/>
    </row>
    <row r="20" spans="2:7" ht="30" customHeight="1" x14ac:dyDescent="0.25">
      <c r="B20" s="44"/>
      <c r="C20" s="45"/>
      <c r="D20" s="53"/>
      <c r="E20" s="45"/>
      <c r="F20" s="138"/>
      <c r="G20" s="182"/>
    </row>
    <row r="21" spans="2:7" ht="15.75" x14ac:dyDescent="0.25">
      <c r="B21" s="44"/>
      <c r="C21" s="48"/>
      <c r="D21" s="46"/>
      <c r="E21" s="124"/>
      <c r="F21" s="139"/>
      <c r="G21" s="182"/>
    </row>
    <row r="22" spans="2:7" ht="15.75" x14ac:dyDescent="0.25">
      <c r="B22" s="44"/>
      <c r="C22" s="48"/>
      <c r="D22" s="53"/>
      <c r="E22" s="135"/>
      <c r="F22" s="139"/>
      <c r="G22" s="182"/>
    </row>
    <row r="23" spans="2:7" ht="15.75" x14ac:dyDescent="0.25">
      <c r="B23" s="47"/>
      <c r="C23" s="48"/>
      <c r="D23" s="53"/>
      <c r="E23" s="135"/>
      <c r="F23" s="139"/>
    </row>
    <row r="24" spans="2:7" ht="15.75" x14ac:dyDescent="0.25">
      <c r="B24" s="44"/>
      <c r="C24" s="45"/>
      <c r="D24" s="46"/>
      <c r="E24" s="134"/>
      <c r="F24" s="137"/>
    </row>
    <row r="25" spans="2:7" ht="35.25" customHeight="1" x14ac:dyDescent="0.25">
      <c r="B25" s="47"/>
      <c r="C25" s="48"/>
      <c r="D25" s="53"/>
      <c r="E25" s="48"/>
      <c r="F25" s="139"/>
    </row>
    <row r="26" spans="2:7" ht="15.75" x14ac:dyDescent="0.25">
      <c r="B26" s="47"/>
      <c r="C26" s="48"/>
      <c r="D26" s="53"/>
      <c r="E26" s="48"/>
      <c r="F26" s="139"/>
    </row>
    <row r="27" spans="2:7" ht="15.75" x14ac:dyDescent="0.25">
      <c r="B27" s="47"/>
      <c r="C27" s="48"/>
      <c r="D27" s="53"/>
      <c r="E27" s="48"/>
      <c r="F27" s="139"/>
    </row>
    <row r="28" spans="2:7" ht="15.75" x14ac:dyDescent="0.25">
      <c r="B28" s="44"/>
      <c r="C28" s="45"/>
      <c r="D28" s="46"/>
      <c r="E28" s="134"/>
      <c r="F28" s="137"/>
    </row>
    <row r="29" spans="2:7" ht="15.75" x14ac:dyDescent="0.25">
      <c r="B29" s="44"/>
      <c r="C29" s="48"/>
      <c r="D29" s="53"/>
      <c r="E29" s="48"/>
      <c r="F29" s="139"/>
      <c r="G29" s="210"/>
    </row>
    <row r="30" spans="2:7" ht="15.75" x14ac:dyDescent="0.25">
      <c r="B30" s="44"/>
      <c r="C30" s="48"/>
      <c r="D30" s="53"/>
      <c r="E30" s="135"/>
      <c r="F30" s="139"/>
      <c r="G30" s="210"/>
    </row>
    <row r="31" spans="2:7" ht="15.75" x14ac:dyDescent="0.25">
      <c r="B31" s="44"/>
      <c r="C31" s="48"/>
      <c r="D31" s="53"/>
      <c r="E31" s="48"/>
      <c r="F31" s="139"/>
      <c r="G31" s="210"/>
    </row>
    <row r="32" spans="2:7" ht="15.75" x14ac:dyDescent="0.25">
      <c r="B32" s="44"/>
      <c r="C32" s="48"/>
      <c r="D32" s="53"/>
      <c r="E32" s="48"/>
      <c r="F32" s="139"/>
      <c r="G32" s="210"/>
    </row>
    <row r="33" spans="1:10" ht="15.75" x14ac:dyDescent="0.25">
      <c r="B33" s="44"/>
      <c r="C33" s="48"/>
      <c r="D33" s="53"/>
      <c r="E33" s="48"/>
      <c r="F33" s="139"/>
      <c r="G33" s="210"/>
    </row>
    <row r="34" spans="1:10" ht="15.75" x14ac:dyDescent="0.25">
      <c r="B34" s="44"/>
      <c r="C34" s="48"/>
      <c r="D34" s="53"/>
      <c r="E34" s="48"/>
      <c r="F34" s="139"/>
      <c r="G34" s="210"/>
    </row>
    <row r="35" spans="1:10" ht="15.75" x14ac:dyDescent="0.25">
      <c r="B35" s="44"/>
      <c r="C35" s="48"/>
      <c r="D35" s="53"/>
      <c r="E35" s="48"/>
      <c r="F35" s="139"/>
      <c r="G35" s="210"/>
    </row>
    <row r="36" spans="1:10" ht="30" customHeight="1" x14ac:dyDescent="0.25">
      <c r="B36" s="44"/>
      <c r="C36" s="48"/>
      <c r="D36" s="53"/>
      <c r="E36" s="135"/>
      <c r="F36" s="139"/>
    </row>
    <row r="37" spans="1:10" ht="30" customHeight="1" x14ac:dyDescent="0.25">
      <c r="B37" s="44"/>
      <c r="C37" s="48"/>
      <c r="D37" s="53"/>
      <c r="E37" s="48"/>
      <c r="F37" s="139"/>
    </row>
    <row r="38" spans="1:10" ht="17.25" customHeight="1" thickBot="1" x14ac:dyDescent="0.3">
      <c r="B38" s="231"/>
      <c r="C38" s="232"/>
      <c r="D38" s="233"/>
      <c r="E38" s="234"/>
      <c r="F38" s="235"/>
    </row>
    <row r="39" spans="1:10" ht="15.75" customHeight="1" x14ac:dyDescent="0.25">
      <c r="E39" s="96"/>
    </row>
    <row r="40" spans="1:10" ht="15.75" thickBot="1" x14ac:dyDescent="0.3">
      <c r="E40" s="96"/>
      <c r="F40" s="23"/>
      <c r="I40" s="414"/>
      <c r="J40" s="414"/>
    </row>
    <row r="41" spans="1:10" ht="18.75" customHeight="1" x14ac:dyDescent="0.25">
      <c r="A41" s="359"/>
      <c r="B41" s="360"/>
      <c r="C41" s="361"/>
      <c r="D41" s="362" t="s">
        <v>2786</v>
      </c>
      <c r="E41" s="363"/>
      <c r="F41" s="364"/>
    </row>
    <row r="42" spans="1:10" ht="16.5" thickBot="1" x14ac:dyDescent="0.3">
      <c r="A42" s="365"/>
      <c r="B42" s="218" t="s">
        <v>26</v>
      </c>
      <c r="C42" s="219" t="s">
        <v>2785</v>
      </c>
      <c r="D42" s="218" t="s">
        <v>23</v>
      </c>
      <c r="E42" s="218"/>
      <c r="F42" s="366"/>
    </row>
    <row r="43" spans="1:10" x14ac:dyDescent="0.25">
      <c r="A43" s="411" t="s">
        <v>2632</v>
      </c>
      <c r="B43" s="326">
        <v>46054</v>
      </c>
      <c r="C43" s="270">
        <v>1548</v>
      </c>
      <c r="D43" s="319" t="s">
        <v>2636</v>
      </c>
      <c r="E43" s="270" t="s">
        <v>2456</v>
      </c>
      <c r="F43" s="320">
        <v>40</v>
      </c>
    </row>
    <row r="44" spans="1:10" ht="15" customHeight="1" x14ac:dyDescent="0.25">
      <c r="A44" s="412"/>
      <c r="B44" s="329">
        <v>46054</v>
      </c>
      <c r="C44" s="238">
        <v>1549</v>
      </c>
      <c r="D44" s="223" t="s">
        <v>2633</v>
      </c>
      <c r="E44" s="238" t="s">
        <v>2456</v>
      </c>
      <c r="F44" s="321">
        <v>40</v>
      </c>
    </row>
    <row r="45" spans="1:10" x14ac:dyDescent="0.25">
      <c r="A45" s="412"/>
      <c r="B45" s="329">
        <v>46054</v>
      </c>
      <c r="C45" s="238">
        <v>1550</v>
      </c>
      <c r="D45" s="223" t="s">
        <v>2634</v>
      </c>
      <c r="E45" s="238" t="s">
        <v>2456</v>
      </c>
      <c r="F45" s="321">
        <v>40</v>
      </c>
    </row>
    <row r="46" spans="1:10" x14ac:dyDescent="0.25">
      <c r="A46" s="412"/>
      <c r="B46" s="329">
        <v>46054</v>
      </c>
      <c r="C46" s="238">
        <v>1551</v>
      </c>
      <c r="D46" s="223" t="s">
        <v>2635</v>
      </c>
      <c r="E46" s="238" t="s">
        <v>2456</v>
      </c>
      <c r="F46" s="321">
        <v>100</v>
      </c>
      <c r="G46" s="225"/>
      <c r="I46" s="182"/>
    </row>
    <row r="47" spans="1:10" ht="15.75" thickBot="1" x14ac:dyDescent="0.3">
      <c r="A47" s="413"/>
      <c r="B47" s="267">
        <v>46054</v>
      </c>
      <c r="C47" s="228">
        <v>1552</v>
      </c>
      <c r="D47" s="256" t="s">
        <v>2637</v>
      </c>
      <c r="E47" s="228" t="s">
        <v>2456</v>
      </c>
      <c r="F47" s="322">
        <v>100</v>
      </c>
      <c r="G47" s="318">
        <f>SUM(F43:F47)</f>
        <v>320</v>
      </c>
      <c r="H47" s="182"/>
    </row>
    <row r="48" spans="1:10" ht="14.25" customHeight="1" x14ac:dyDescent="0.25">
      <c r="A48" s="415" t="s">
        <v>2516</v>
      </c>
      <c r="B48" s="328">
        <v>46055</v>
      </c>
      <c r="C48" s="269">
        <v>1553</v>
      </c>
      <c r="D48" s="319" t="s">
        <v>2633</v>
      </c>
      <c r="E48" s="270" t="s">
        <v>2456</v>
      </c>
      <c r="F48" s="320">
        <v>40</v>
      </c>
      <c r="G48" s="182"/>
    </row>
    <row r="49" spans="1:7" x14ac:dyDescent="0.25">
      <c r="A49" s="416"/>
      <c r="B49" s="268">
        <v>46055</v>
      </c>
      <c r="C49" s="222">
        <v>1554</v>
      </c>
      <c r="D49" s="223" t="s">
        <v>2636</v>
      </c>
      <c r="E49" s="222" t="s">
        <v>2456</v>
      </c>
      <c r="F49" s="321">
        <v>40</v>
      </c>
      <c r="G49" s="182"/>
    </row>
    <row r="50" spans="1:7" x14ac:dyDescent="0.25">
      <c r="A50" s="416"/>
      <c r="B50" s="268">
        <v>46055</v>
      </c>
      <c r="C50" s="222">
        <v>1555</v>
      </c>
      <c r="D50" s="223" t="s">
        <v>2638</v>
      </c>
      <c r="E50" s="222" t="s">
        <v>2456</v>
      </c>
      <c r="F50" s="321">
        <v>40</v>
      </c>
      <c r="G50" s="182"/>
    </row>
    <row r="51" spans="1:7" ht="15.75" customHeight="1" x14ac:dyDescent="0.25">
      <c r="A51" s="416"/>
      <c r="B51" s="268">
        <v>46055</v>
      </c>
      <c r="C51" s="222">
        <v>1556</v>
      </c>
      <c r="D51" s="223" t="s">
        <v>2638</v>
      </c>
      <c r="E51" s="222" t="s">
        <v>2456</v>
      </c>
      <c r="F51" s="321">
        <v>40</v>
      </c>
      <c r="G51" s="182"/>
    </row>
    <row r="52" spans="1:7" ht="16.5" customHeight="1" x14ac:dyDescent="0.25">
      <c r="A52" s="416"/>
      <c r="B52" s="268">
        <v>46055</v>
      </c>
      <c r="C52" s="222">
        <v>1557</v>
      </c>
      <c r="D52" s="223" t="s">
        <v>2639</v>
      </c>
      <c r="E52" s="222" t="s">
        <v>2456</v>
      </c>
      <c r="F52" s="321">
        <v>90</v>
      </c>
      <c r="G52" s="182"/>
    </row>
    <row r="53" spans="1:7" ht="12.75" customHeight="1" x14ac:dyDescent="0.25">
      <c r="A53" s="416"/>
      <c r="B53" s="268">
        <v>46055</v>
      </c>
      <c r="C53" s="222">
        <v>1558</v>
      </c>
      <c r="D53" s="223" t="s">
        <v>2640</v>
      </c>
      <c r="E53" s="222" t="s">
        <v>2456</v>
      </c>
      <c r="F53" s="321">
        <v>20</v>
      </c>
      <c r="G53" s="182"/>
    </row>
    <row r="54" spans="1:7" x14ac:dyDescent="0.25">
      <c r="A54" s="416"/>
      <c r="B54" s="268">
        <v>46055</v>
      </c>
      <c r="C54" s="222">
        <v>1559</v>
      </c>
      <c r="D54" s="223" t="s">
        <v>2642</v>
      </c>
      <c r="E54" s="222" t="s">
        <v>2456</v>
      </c>
      <c r="F54" s="321">
        <v>110</v>
      </c>
      <c r="G54" s="182"/>
    </row>
    <row r="55" spans="1:7" x14ac:dyDescent="0.25">
      <c r="A55" s="416"/>
      <c r="B55" s="268">
        <v>46055</v>
      </c>
      <c r="C55" s="222">
        <v>1560</v>
      </c>
      <c r="D55" s="223" t="s">
        <v>2643</v>
      </c>
      <c r="E55" s="222" t="s">
        <v>2456</v>
      </c>
      <c r="F55" s="321">
        <v>40</v>
      </c>
      <c r="G55" s="182"/>
    </row>
    <row r="56" spans="1:7" x14ac:dyDescent="0.25">
      <c r="A56" s="416"/>
      <c r="B56" s="268">
        <v>46055</v>
      </c>
      <c r="C56" s="222">
        <v>1561</v>
      </c>
      <c r="D56" s="223" t="s">
        <v>2644</v>
      </c>
      <c r="E56" s="239" t="s">
        <v>2456</v>
      </c>
      <c r="F56" s="323">
        <v>90</v>
      </c>
      <c r="G56" s="182"/>
    </row>
    <row r="57" spans="1:7" x14ac:dyDescent="0.25">
      <c r="A57" s="416"/>
      <c r="B57" s="268">
        <v>46055</v>
      </c>
      <c r="C57" s="222">
        <v>1562</v>
      </c>
      <c r="D57" s="223" t="s">
        <v>2645</v>
      </c>
      <c r="E57" s="238" t="s">
        <v>2456</v>
      </c>
      <c r="F57" s="324">
        <v>40</v>
      </c>
      <c r="G57" s="182"/>
    </row>
    <row r="58" spans="1:7" x14ac:dyDescent="0.25">
      <c r="A58" s="416"/>
      <c r="B58" s="268">
        <v>46055</v>
      </c>
      <c r="C58" s="222">
        <v>1563</v>
      </c>
      <c r="D58" s="223" t="s">
        <v>2646</v>
      </c>
      <c r="E58" s="238" t="s">
        <v>2456</v>
      </c>
      <c r="F58" s="325">
        <v>60</v>
      </c>
      <c r="G58" s="182"/>
    </row>
    <row r="59" spans="1:7" ht="16.5" customHeight="1" thickBot="1" x14ac:dyDescent="0.3">
      <c r="A59" s="416"/>
      <c r="B59" s="329">
        <v>46055</v>
      </c>
      <c r="C59" s="238">
        <v>1564</v>
      </c>
      <c r="D59" s="327" t="s">
        <v>2647</v>
      </c>
      <c r="E59" s="238" t="s">
        <v>2456</v>
      </c>
      <c r="F59" s="325">
        <v>20</v>
      </c>
      <c r="G59" s="318">
        <f>SUM(F48:F59)</f>
        <v>630</v>
      </c>
    </row>
    <row r="60" spans="1:7" ht="16.5" customHeight="1" x14ac:dyDescent="0.25">
      <c r="A60" s="411" t="s">
        <v>2517</v>
      </c>
      <c r="B60" s="331">
        <v>46056</v>
      </c>
      <c r="C60" s="269">
        <v>1565</v>
      </c>
      <c r="D60" s="319" t="s">
        <v>2636</v>
      </c>
      <c r="E60" s="270" t="s">
        <v>2456</v>
      </c>
      <c r="F60" s="330">
        <v>40</v>
      </c>
      <c r="G60" s="182"/>
    </row>
    <row r="61" spans="1:7" x14ac:dyDescent="0.25">
      <c r="A61" s="412"/>
      <c r="B61" s="265">
        <v>46056</v>
      </c>
      <c r="C61" s="222">
        <v>1566</v>
      </c>
      <c r="D61" s="223" t="s">
        <v>2633</v>
      </c>
      <c r="E61" s="238" t="s">
        <v>2456</v>
      </c>
      <c r="F61" s="321">
        <v>40</v>
      </c>
      <c r="G61" s="182"/>
    </row>
    <row r="62" spans="1:7" x14ac:dyDescent="0.25">
      <c r="A62" s="412"/>
      <c r="B62" s="265">
        <v>46056</v>
      </c>
      <c r="C62" s="222">
        <v>1567</v>
      </c>
      <c r="D62" s="223" t="s">
        <v>2648</v>
      </c>
      <c r="E62" s="238" t="s">
        <v>2456</v>
      </c>
      <c r="F62" s="321">
        <v>90</v>
      </c>
      <c r="G62" s="182"/>
    </row>
    <row r="63" spans="1:7" ht="16.5" customHeight="1" x14ac:dyDescent="0.25">
      <c r="A63" s="412"/>
      <c r="B63" s="265">
        <v>46056</v>
      </c>
      <c r="C63" s="222">
        <v>1568</v>
      </c>
      <c r="D63" s="223" t="s">
        <v>2649</v>
      </c>
      <c r="E63" s="238" t="s">
        <v>2456</v>
      </c>
      <c r="F63" s="321">
        <v>40</v>
      </c>
      <c r="G63" s="182"/>
    </row>
    <row r="64" spans="1:7" x14ac:dyDescent="0.25">
      <c r="A64" s="412"/>
      <c r="B64" s="265">
        <v>46056</v>
      </c>
      <c r="C64" s="238">
        <v>1569</v>
      </c>
      <c r="D64" s="223" t="s">
        <v>2650</v>
      </c>
      <c r="E64" s="238" t="s">
        <v>2456</v>
      </c>
      <c r="F64" s="325">
        <v>40</v>
      </c>
      <c r="G64" s="182"/>
    </row>
    <row r="65" spans="1:9" ht="14.25" customHeight="1" thickBot="1" x14ac:dyDescent="0.3">
      <c r="A65" s="413"/>
      <c r="B65" s="332">
        <v>46056</v>
      </c>
      <c r="C65" s="228">
        <v>1570</v>
      </c>
      <c r="D65" s="256" t="s">
        <v>2651</v>
      </c>
      <c r="E65" s="228" t="s">
        <v>2456</v>
      </c>
      <c r="F65" s="322">
        <v>80</v>
      </c>
      <c r="G65" s="318">
        <f>SUM(F60:F65)</f>
        <v>330</v>
      </c>
      <c r="H65" t="s">
        <v>51</v>
      </c>
      <c r="I65" t="s">
        <v>51</v>
      </c>
    </row>
    <row r="66" spans="1:9" ht="13.5" customHeight="1" x14ac:dyDescent="0.25">
      <c r="A66" s="412" t="s">
        <v>2518</v>
      </c>
      <c r="B66" s="262">
        <v>46057</v>
      </c>
      <c r="C66" s="246">
        <v>1571</v>
      </c>
      <c r="D66" s="255" t="s">
        <v>2652</v>
      </c>
      <c r="E66" s="269" t="s">
        <v>2456</v>
      </c>
      <c r="F66" s="330">
        <v>40</v>
      </c>
      <c r="G66" s="182"/>
    </row>
    <row r="67" spans="1:9" ht="13.5" customHeight="1" x14ac:dyDescent="0.25">
      <c r="A67" s="412"/>
      <c r="B67" s="265">
        <v>46057</v>
      </c>
      <c r="C67" s="222">
        <v>1572</v>
      </c>
      <c r="D67" s="223" t="s">
        <v>2636</v>
      </c>
      <c r="E67" s="222" t="s">
        <v>2456</v>
      </c>
      <c r="F67" s="321">
        <v>40</v>
      </c>
      <c r="G67" s="182"/>
    </row>
    <row r="68" spans="1:9" ht="16.5" customHeight="1" x14ac:dyDescent="0.25">
      <c r="A68" s="412"/>
      <c r="B68" s="265">
        <v>46057</v>
      </c>
      <c r="C68" s="222">
        <v>1573</v>
      </c>
      <c r="D68" s="223" t="s">
        <v>2633</v>
      </c>
      <c r="E68" s="222" t="s">
        <v>2456</v>
      </c>
      <c r="F68" s="321">
        <v>40</v>
      </c>
      <c r="G68" s="182"/>
    </row>
    <row r="69" spans="1:9" x14ac:dyDescent="0.25">
      <c r="A69" s="412"/>
      <c r="B69" s="265">
        <v>46057</v>
      </c>
      <c r="C69" s="222">
        <v>1574</v>
      </c>
      <c r="D69" s="223" t="s">
        <v>2651</v>
      </c>
      <c r="E69" s="222" t="s">
        <v>2456</v>
      </c>
      <c r="F69" s="321">
        <v>80</v>
      </c>
      <c r="G69" s="182"/>
    </row>
    <row r="70" spans="1:9" x14ac:dyDescent="0.25">
      <c r="A70" s="412"/>
      <c r="B70" s="265">
        <v>46057</v>
      </c>
      <c r="C70" s="222">
        <v>1575</v>
      </c>
      <c r="D70" s="223" t="s">
        <v>2652</v>
      </c>
      <c r="E70" s="222" t="s">
        <v>2456</v>
      </c>
      <c r="F70" s="321">
        <v>40</v>
      </c>
      <c r="G70" s="182"/>
    </row>
    <row r="71" spans="1:9" ht="15.75" thickBot="1" x14ac:dyDescent="0.3">
      <c r="A71" s="413"/>
      <c r="B71" s="264">
        <v>46057</v>
      </c>
      <c r="C71" s="228">
        <v>1576</v>
      </c>
      <c r="D71" s="256" t="s">
        <v>2653</v>
      </c>
      <c r="E71" s="228" t="s">
        <v>2456</v>
      </c>
      <c r="F71" s="322">
        <v>10</v>
      </c>
      <c r="G71" s="318">
        <f>SUM(F66:F71)</f>
        <v>250</v>
      </c>
    </row>
    <row r="72" spans="1:9" x14ac:dyDescent="0.25">
      <c r="A72" s="412" t="s">
        <v>2495</v>
      </c>
      <c r="B72" s="262">
        <v>46058</v>
      </c>
      <c r="C72" s="246">
        <v>1577</v>
      </c>
      <c r="D72" s="255" t="s">
        <v>2652</v>
      </c>
      <c r="E72" s="246" t="s">
        <v>2456</v>
      </c>
      <c r="F72" s="324">
        <v>40</v>
      </c>
      <c r="G72" s="182"/>
    </row>
    <row r="73" spans="1:9" ht="15.75" customHeight="1" x14ac:dyDescent="0.25">
      <c r="A73" s="412"/>
      <c r="B73" s="262">
        <v>46058</v>
      </c>
      <c r="C73" s="222">
        <v>1578</v>
      </c>
      <c r="D73" s="223" t="s">
        <v>2636</v>
      </c>
      <c r="E73" s="222" t="s">
        <v>2456</v>
      </c>
      <c r="F73" s="321">
        <v>40</v>
      </c>
      <c r="G73" s="182"/>
    </row>
    <row r="74" spans="1:9" ht="15.75" customHeight="1" x14ac:dyDescent="0.25">
      <c r="A74" s="412"/>
      <c r="B74" s="262">
        <v>46058</v>
      </c>
      <c r="C74" s="238">
        <v>1579</v>
      </c>
      <c r="D74" s="223" t="s">
        <v>2652</v>
      </c>
      <c r="E74" s="222" t="s">
        <v>2456</v>
      </c>
      <c r="F74" s="321">
        <v>40</v>
      </c>
      <c r="G74" s="182"/>
    </row>
    <row r="75" spans="1:9" ht="15.75" thickBot="1" x14ac:dyDescent="0.3">
      <c r="A75" s="413"/>
      <c r="B75" s="267">
        <v>46058</v>
      </c>
      <c r="C75" s="228">
        <v>1580</v>
      </c>
      <c r="D75" s="256" t="s">
        <v>2654</v>
      </c>
      <c r="E75" s="228" t="s">
        <v>2456</v>
      </c>
      <c r="F75" s="322">
        <v>20</v>
      </c>
      <c r="G75" s="318">
        <f>SUM(F72:F75)</f>
        <v>140</v>
      </c>
    </row>
    <row r="76" spans="1:9" x14ac:dyDescent="0.25">
      <c r="A76" s="411" t="s">
        <v>2496</v>
      </c>
      <c r="B76" s="266">
        <v>46059</v>
      </c>
      <c r="C76" s="270">
        <v>1581</v>
      </c>
      <c r="D76" s="333" t="s">
        <v>2633</v>
      </c>
      <c r="E76" s="270" t="s">
        <v>2456</v>
      </c>
      <c r="F76" s="320">
        <v>40</v>
      </c>
      <c r="G76" s="182"/>
    </row>
    <row r="77" spans="1:9" x14ac:dyDescent="0.25">
      <c r="A77" s="412"/>
      <c r="B77" s="265">
        <v>46059</v>
      </c>
      <c r="C77" s="222">
        <v>1582</v>
      </c>
      <c r="D77" s="223" t="s">
        <v>2640</v>
      </c>
      <c r="E77" s="222" t="s">
        <v>2456</v>
      </c>
      <c r="F77" s="321">
        <v>20</v>
      </c>
      <c r="G77" s="182"/>
    </row>
    <row r="78" spans="1:9" x14ac:dyDescent="0.25">
      <c r="A78" s="412"/>
      <c r="B78" s="265">
        <v>46059</v>
      </c>
      <c r="C78" s="222">
        <v>1583</v>
      </c>
      <c r="D78" s="223" t="s">
        <v>2643</v>
      </c>
      <c r="E78" s="222" t="s">
        <v>2456</v>
      </c>
      <c r="F78" s="321">
        <v>40</v>
      </c>
      <c r="G78" s="182"/>
    </row>
    <row r="79" spans="1:9" x14ac:dyDescent="0.25">
      <c r="A79" s="412"/>
      <c r="B79" s="265">
        <v>46059</v>
      </c>
      <c r="C79" s="222">
        <v>1584</v>
      </c>
      <c r="D79" s="223" t="s">
        <v>2655</v>
      </c>
      <c r="E79" s="222" t="s">
        <v>2456</v>
      </c>
      <c r="F79" s="321">
        <v>40</v>
      </c>
      <c r="G79" s="182"/>
    </row>
    <row r="80" spans="1:9" x14ac:dyDescent="0.25">
      <c r="A80" s="412"/>
      <c r="B80" s="265">
        <v>46059</v>
      </c>
      <c r="C80" s="222">
        <v>1585</v>
      </c>
      <c r="D80" s="223" t="s">
        <v>2656</v>
      </c>
      <c r="E80" s="222" t="s">
        <v>2456</v>
      </c>
      <c r="F80" s="321">
        <v>130</v>
      </c>
      <c r="G80" s="182"/>
    </row>
    <row r="81" spans="1:9" ht="13.5" customHeight="1" thickBot="1" x14ac:dyDescent="0.3">
      <c r="A81" s="413"/>
      <c r="B81" s="332">
        <v>46059</v>
      </c>
      <c r="C81" s="273">
        <v>1586</v>
      </c>
      <c r="D81" s="334" t="s">
        <v>2651</v>
      </c>
      <c r="E81" s="228" t="s">
        <v>2456</v>
      </c>
      <c r="F81" s="335">
        <v>80</v>
      </c>
      <c r="G81" s="318">
        <f>SUM(F76:F81)</f>
        <v>350</v>
      </c>
    </row>
    <row r="82" spans="1:9" ht="15" customHeight="1" x14ac:dyDescent="0.25">
      <c r="A82" s="411" t="s">
        <v>2497</v>
      </c>
      <c r="B82" s="331">
        <v>46060</v>
      </c>
      <c r="C82" s="269">
        <v>1587</v>
      </c>
      <c r="D82" s="319" t="s">
        <v>2636</v>
      </c>
      <c r="E82" s="269" t="s">
        <v>2456</v>
      </c>
      <c r="F82" s="330">
        <v>40</v>
      </c>
      <c r="G82" s="182"/>
    </row>
    <row r="83" spans="1:9" x14ac:dyDescent="0.25">
      <c r="A83" s="412"/>
      <c r="B83" s="263">
        <v>46060</v>
      </c>
      <c r="C83" s="238">
        <v>1588</v>
      </c>
      <c r="D83" s="223" t="s">
        <v>2657</v>
      </c>
      <c r="E83" s="222" t="s">
        <v>2456</v>
      </c>
      <c r="F83" s="321">
        <v>20</v>
      </c>
      <c r="G83" s="182"/>
    </row>
    <row r="84" spans="1:9" x14ac:dyDescent="0.25">
      <c r="A84" s="412"/>
      <c r="B84" s="265">
        <v>46060</v>
      </c>
      <c r="C84" s="222">
        <v>1589</v>
      </c>
      <c r="D84" s="223" t="s">
        <v>2641</v>
      </c>
      <c r="E84" s="222" t="s">
        <v>2456</v>
      </c>
      <c r="F84" s="321">
        <v>50</v>
      </c>
      <c r="G84" s="182"/>
    </row>
    <row r="85" spans="1:9" ht="15.75" thickBot="1" x14ac:dyDescent="0.3">
      <c r="A85" s="413"/>
      <c r="B85" s="264">
        <v>46060</v>
      </c>
      <c r="C85" s="228">
        <v>1590</v>
      </c>
      <c r="D85" s="256" t="s">
        <v>2641</v>
      </c>
      <c r="E85" s="228" t="s">
        <v>2456</v>
      </c>
      <c r="F85" s="322">
        <v>70</v>
      </c>
      <c r="G85" s="318">
        <f>SUM(F82:F85)</f>
        <v>180</v>
      </c>
    </row>
    <row r="86" spans="1:9" ht="15" customHeight="1" x14ac:dyDescent="0.25">
      <c r="A86" s="411" t="s">
        <v>2660</v>
      </c>
      <c r="B86" s="331">
        <v>46061</v>
      </c>
      <c r="C86" s="269">
        <v>1591</v>
      </c>
      <c r="D86" s="319" t="s">
        <v>2633</v>
      </c>
      <c r="E86" s="269" t="s">
        <v>2456</v>
      </c>
      <c r="F86" s="330">
        <v>40</v>
      </c>
      <c r="G86" s="182"/>
    </row>
    <row r="87" spans="1:9" ht="15.75" customHeight="1" x14ac:dyDescent="0.25">
      <c r="A87" s="412"/>
      <c r="B87" s="265">
        <v>46061</v>
      </c>
      <c r="C87" s="222">
        <v>1592</v>
      </c>
      <c r="D87" s="223" t="s">
        <v>2658</v>
      </c>
      <c r="E87" s="222" t="s">
        <v>2456</v>
      </c>
      <c r="F87" s="321">
        <v>40</v>
      </c>
      <c r="G87" s="182"/>
    </row>
    <row r="88" spans="1:9" x14ac:dyDescent="0.25">
      <c r="A88" s="412"/>
      <c r="B88" s="265">
        <v>46061</v>
      </c>
      <c r="C88" s="222">
        <v>1593</v>
      </c>
      <c r="D88" s="223" t="s">
        <v>2652</v>
      </c>
      <c r="E88" s="222" t="s">
        <v>2456</v>
      </c>
      <c r="F88" s="321">
        <v>40</v>
      </c>
      <c r="G88" s="182"/>
    </row>
    <row r="89" spans="1:9" ht="15.75" thickBot="1" x14ac:dyDescent="0.3">
      <c r="A89" s="413"/>
      <c r="B89" s="264">
        <v>46061</v>
      </c>
      <c r="C89" s="228">
        <v>1594</v>
      </c>
      <c r="D89" s="256" t="s">
        <v>2659</v>
      </c>
      <c r="E89" s="228" t="s">
        <v>2456</v>
      </c>
      <c r="F89" s="322">
        <v>30</v>
      </c>
      <c r="G89" s="318">
        <f>SUM(F86:F89)</f>
        <v>150</v>
      </c>
      <c r="H89" s="337">
        <v>2350</v>
      </c>
    </row>
    <row r="90" spans="1:9" ht="15" customHeight="1" x14ac:dyDescent="0.25">
      <c r="A90" s="408" t="s">
        <v>2516</v>
      </c>
      <c r="B90" s="245">
        <v>46062</v>
      </c>
      <c r="C90" s="246">
        <v>1595</v>
      </c>
      <c r="D90" s="255" t="s">
        <v>2636</v>
      </c>
      <c r="E90" s="246" t="s">
        <v>2456</v>
      </c>
      <c r="F90" s="324">
        <v>40</v>
      </c>
      <c r="G90" s="182"/>
    </row>
    <row r="91" spans="1:9" x14ac:dyDescent="0.25">
      <c r="A91" s="409"/>
      <c r="B91" s="224">
        <v>46062</v>
      </c>
      <c r="C91" s="222">
        <v>1596</v>
      </c>
      <c r="D91" s="223" t="s">
        <v>2651</v>
      </c>
      <c r="E91" s="222" t="s">
        <v>2456</v>
      </c>
      <c r="F91" s="321">
        <v>80</v>
      </c>
      <c r="G91" s="182"/>
    </row>
    <row r="92" spans="1:9" ht="14.25" customHeight="1" x14ac:dyDescent="0.25">
      <c r="A92" s="409"/>
      <c r="B92" s="224">
        <v>46062</v>
      </c>
      <c r="C92" s="222">
        <v>1597</v>
      </c>
      <c r="D92" s="223" t="s">
        <v>2664</v>
      </c>
      <c r="E92" s="222" t="s">
        <v>2456</v>
      </c>
      <c r="F92" s="321">
        <v>40</v>
      </c>
      <c r="G92" s="182"/>
    </row>
    <row r="93" spans="1:9" ht="15.75" customHeight="1" x14ac:dyDescent="0.25">
      <c r="A93" s="409"/>
      <c r="B93" s="224">
        <v>46062</v>
      </c>
      <c r="C93" s="222">
        <v>1598</v>
      </c>
      <c r="D93" s="223" t="s">
        <v>2665</v>
      </c>
      <c r="E93" s="222" t="s">
        <v>2456</v>
      </c>
      <c r="F93" s="321">
        <v>80</v>
      </c>
      <c r="G93" s="182"/>
    </row>
    <row r="94" spans="1:9" x14ac:dyDescent="0.25">
      <c r="A94" s="409"/>
      <c r="B94" s="224">
        <v>46062</v>
      </c>
      <c r="C94" s="222">
        <v>1599</v>
      </c>
      <c r="D94" s="223" t="s">
        <v>2666</v>
      </c>
      <c r="E94" s="222" t="s">
        <v>2456</v>
      </c>
      <c r="F94" s="321">
        <v>60</v>
      </c>
      <c r="G94" s="182"/>
      <c r="I94" t="s">
        <v>2061</v>
      </c>
    </row>
    <row r="95" spans="1:9" x14ac:dyDescent="0.25">
      <c r="A95" s="409"/>
      <c r="B95" s="224">
        <v>46062</v>
      </c>
      <c r="C95" s="222">
        <v>1600</v>
      </c>
      <c r="D95" s="223" t="s">
        <v>2667</v>
      </c>
      <c r="E95" s="222" t="s">
        <v>2456</v>
      </c>
      <c r="F95" s="321">
        <v>30</v>
      </c>
      <c r="G95" s="182"/>
      <c r="I95" t="s">
        <v>51</v>
      </c>
    </row>
    <row r="96" spans="1:9" x14ac:dyDescent="0.25">
      <c r="A96" s="409"/>
      <c r="B96" s="224">
        <v>46062</v>
      </c>
      <c r="C96" s="222">
        <v>1601</v>
      </c>
      <c r="D96" s="223" t="s">
        <v>2668</v>
      </c>
      <c r="E96" s="222" t="s">
        <v>2456</v>
      </c>
      <c r="F96" s="321">
        <v>60</v>
      </c>
      <c r="G96" s="182"/>
    </row>
    <row r="97" spans="1:11" ht="15.75" thickBot="1" x14ac:dyDescent="0.3">
      <c r="A97" s="410"/>
      <c r="B97" s="274">
        <v>46062</v>
      </c>
      <c r="C97" s="228">
        <v>1602</v>
      </c>
      <c r="D97" s="256" t="s">
        <v>2669</v>
      </c>
      <c r="E97" s="228" t="s">
        <v>2456</v>
      </c>
      <c r="F97" s="322">
        <v>20</v>
      </c>
      <c r="G97" s="318">
        <f>SUM(F90:F97)</f>
        <v>410</v>
      </c>
    </row>
    <row r="98" spans="1:11" x14ac:dyDescent="0.25">
      <c r="A98" s="408" t="s">
        <v>2517</v>
      </c>
      <c r="B98" s="245">
        <v>46063</v>
      </c>
      <c r="C98" s="246">
        <v>1603</v>
      </c>
      <c r="D98" s="223" t="s">
        <v>2670</v>
      </c>
      <c r="E98" s="246" t="s">
        <v>2456</v>
      </c>
      <c r="F98" s="324">
        <v>40</v>
      </c>
      <c r="G98" s="182"/>
    </row>
    <row r="99" spans="1:11" x14ac:dyDescent="0.25">
      <c r="A99" s="409"/>
      <c r="B99" s="224">
        <v>46063</v>
      </c>
      <c r="C99" s="222">
        <v>1604</v>
      </c>
      <c r="D99" s="223" t="s">
        <v>2671</v>
      </c>
      <c r="E99" s="222" t="s">
        <v>2456</v>
      </c>
      <c r="F99" s="321">
        <v>40</v>
      </c>
      <c r="G99" s="182"/>
    </row>
    <row r="100" spans="1:11" x14ac:dyDescent="0.25">
      <c r="A100" s="409"/>
      <c r="B100" s="224">
        <v>46063</v>
      </c>
      <c r="C100" s="222">
        <v>1605</v>
      </c>
      <c r="D100" s="223" t="s">
        <v>2672</v>
      </c>
      <c r="E100" s="222" t="s">
        <v>2456</v>
      </c>
      <c r="F100" s="321">
        <v>40</v>
      </c>
      <c r="G100" s="182"/>
    </row>
    <row r="101" spans="1:11" ht="16.5" customHeight="1" thickBot="1" x14ac:dyDescent="0.3">
      <c r="A101" s="410"/>
      <c r="B101" s="274">
        <v>46063</v>
      </c>
      <c r="C101" s="228">
        <v>1606</v>
      </c>
      <c r="D101" s="256" t="s">
        <v>2673</v>
      </c>
      <c r="E101" s="228" t="s">
        <v>2456</v>
      </c>
      <c r="F101" s="322">
        <v>10</v>
      </c>
      <c r="G101" s="318">
        <f>SUM(F98:F101)</f>
        <v>130</v>
      </c>
      <c r="J101" t="s">
        <v>2443</v>
      </c>
    </row>
    <row r="102" spans="1:11" ht="16.5" customHeight="1" x14ac:dyDescent="0.25">
      <c r="A102" s="408" t="s">
        <v>2518</v>
      </c>
      <c r="B102" s="245">
        <v>46064</v>
      </c>
      <c r="C102" s="246">
        <v>1607</v>
      </c>
      <c r="D102" s="255" t="s">
        <v>2674</v>
      </c>
      <c r="E102" s="246" t="s">
        <v>2456</v>
      </c>
      <c r="F102" s="324">
        <v>40</v>
      </c>
      <c r="G102" s="182" t="s">
        <v>51</v>
      </c>
    </row>
    <row r="103" spans="1:11" ht="16.5" customHeight="1" x14ac:dyDescent="0.25">
      <c r="A103" s="409"/>
      <c r="B103" s="224">
        <v>46064</v>
      </c>
      <c r="C103" s="222">
        <v>1608</v>
      </c>
      <c r="D103" s="223" t="s">
        <v>2643</v>
      </c>
      <c r="E103" s="222" t="s">
        <v>2456</v>
      </c>
      <c r="F103" s="321">
        <v>40</v>
      </c>
      <c r="G103" s="182"/>
      <c r="H103" s="182" t="s">
        <v>2443</v>
      </c>
      <c r="I103" t="s">
        <v>51</v>
      </c>
    </row>
    <row r="104" spans="1:11" x14ac:dyDescent="0.25">
      <c r="A104" s="409"/>
      <c r="B104" s="224">
        <v>46064</v>
      </c>
      <c r="C104" s="222">
        <v>1609</v>
      </c>
      <c r="D104" s="223" t="s">
        <v>2652</v>
      </c>
      <c r="E104" s="222" t="s">
        <v>2456</v>
      </c>
      <c r="F104" s="321">
        <v>40</v>
      </c>
      <c r="G104" s="182"/>
      <c r="H104" s="182"/>
      <c r="I104" s="182"/>
    </row>
    <row r="105" spans="1:11" ht="15.75" thickBot="1" x14ac:dyDescent="0.3">
      <c r="A105" s="410"/>
      <c r="B105" s="274">
        <v>46064</v>
      </c>
      <c r="C105" s="228">
        <v>1610</v>
      </c>
      <c r="D105" s="256" t="s">
        <v>2675</v>
      </c>
      <c r="E105" s="228" t="s">
        <v>2456</v>
      </c>
      <c r="F105" s="322">
        <v>40</v>
      </c>
      <c r="G105" s="318">
        <f>SUM(F102:F105)</f>
        <v>160</v>
      </c>
    </row>
    <row r="106" spans="1:11" x14ac:dyDescent="0.25">
      <c r="A106" s="408" t="s">
        <v>2495</v>
      </c>
      <c r="B106" s="245">
        <v>46065</v>
      </c>
      <c r="C106" s="246">
        <v>1611</v>
      </c>
      <c r="D106" s="255" t="s">
        <v>2676</v>
      </c>
      <c r="E106" s="246" t="s">
        <v>2456</v>
      </c>
      <c r="F106" s="324">
        <v>10</v>
      </c>
      <c r="G106" s="182"/>
      <c r="H106" s="182"/>
    </row>
    <row r="107" spans="1:11" x14ac:dyDescent="0.25">
      <c r="A107" s="409"/>
      <c r="B107" s="224">
        <v>46065</v>
      </c>
      <c r="C107" s="222">
        <v>1612</v>
      </c>
      <c r="D107" s="223" t="s">
        <v>2677</v>
      </c>
      <c r="E107" s="222" t="s">
        <v>2456</v>
      </c>
      <c r="F107" s="321">
        <v>40</v>
      </c>
      <c r="G107" s="182"/>
    </row>
    <row r="108" spans="1:11" ht="15.75" thickBot="1" x14ac:dyDescent="0.3">
      <c r="A108" s="410"/>
      <c r="B108" s="274">
        <v>46065</v>
      </c>
      <c r="C108" s="228">
        <v>1613</v>
      </c>
      <c r="D108" s="256" t="s">
        <v>2678</v>
      </c>
      <c r="E108" s="228" t="s">
        <v>2456</v>
      </c>
      <c r="F108" s="322">
        <v>10</v>
      </c>
      <c r="G108" s="318">
        <f>SUM(F106:F108)</f>
        <v>60</v>
      </c>
    </row>
    <row r="109" spans="1:11" x14ac:dyDescent="0.25">
      <c r="A109" s="408" t="s">
        <v>2496</v>
      </c>
      <c r="B109" s="245">
        <v>46066</v>
      </c>
      <c r="C109" s="246">
        <v>1614</v>
      </c>
      <c r="D109" s="255" t="s">
        <v>2679</v>
      </c>
      <c r="E109" s="246" t="s">
        <v>2456</v>
      </c>
      <c r="F109" s="324">
        <v>20</v>
      </c>
      <c r="G109" s="182"/>
    </row>
    <row r="110" spans="1:11" x14ac:dyDescent="0.25">
      <c r="A110" s="409"/>
      <c r="B110" s="224">
        <v>46066</v>
      </c>
      <c r="C110" s="222">
        <v>1615</v>
      </c>
      <c r="D110" s="223" t="s">
        <v>2646</v>
      </c>
      <c r="E110" s="222" t="s">
        <v>2456</v>
      </c>
      <c r="F110" s="321">
        <v>60</v>
      </c>
      <c r="G110" s="182"/>
      <c r="K110" t="s">
        <v>2724</v>
      </c>
    </row>
    <row r="111" spans="1:11" x14ac:dyDescent="0.25">
      <c r="A111" s="409"/>
      <c r="B111" s="224">
        <v>46066</v>
      </c>
      <c r="C111" s="222">
        <v>1616</v>
      </c>
      <c r="D111" s="223" t="s">
        <v>2681</v>
      </c>
      <c r="E111" s="222" t="s">
        <v>2456</v>
      </c>
      <c r="F111" s="321">
        <v>40</v>
      </c>
      <c r="G111" s="182"/>
    </row>
    <row r="112" spans="1:11" x14ac:dyDescent="0.25">
      <c r="A112" s="409"/>
      <c r="B112" s="224">
        <v>46066</v>
      </c>
      <c r="C112" s="222">
        <v>1617</v>
      </c>
      <c r="D112" s="223" t="s">
        <v>2682</v>
      </c>
      <c r="E112" s="222" t="s">
        <v>2456</v>
      </c>
      <c r="F112" s="321">
        <v>40</v>
      </c>
      <c r="G112" s="182"/>
    </row>
    <row r="113" spans="1:12" ht="15.75" thickBot="1" x14ac:dyDescent="0.3">
      <c r="A113" s="410"/>
      <c r="B113" s="274">
        <v>46066</v>
      </c>
      <c r="C113" s="228">
        <v>1618</v>
      </c>
      <c r="D113" s="256" t="s">
        <v>2683</v>
      </c>
      <c r="E113" s="228" t="s">
        <v>2456</v>
      </c>
      <c r="F113" s="322">
        <v>40</v>
      </c>
      <c r="G113" s="318">
        <f>SUM(F109:F113)</f>
        <v>200</v>
      </c>
      <c r="L113" t="s">
        <v>51</v>
      </c>
    </row>
    <row r="114" spans="1:12" x14ac:dyDescent="0.25">
      <c r="A114" s="408" t="s">
        <v>2497</v>
      </c>
      <c r="B114" s="245">
        <v>46067</v>
      </c>
      <c r="C114" s="246">
        <v>1619</v>
      </c>
      <c r="D114" s="255" t="s">
        <v>2684</v>
      </c>
      <c r="E114" s="246" t="s">
        <v>2456</v>
      </c>
      <c r="F114" s="324">
        <v>20</v>
      </c>
      <c r="G114" s="182"/>
    </row>
    <row r="115" spans="1:12" x14ac:dyDescent="0.25">
      <c r="A115" s="409"/>
      <c r="B115" s="224">
        <v>46067</v>
      </c>
      <c r="C115" s="222">
        <v>1620</v>
      </c>
      <c r="D115" s="223" t="s">
        <v>2685</v>
      </c>
      <c r="E115" s="222" t="s">
        <v>2456</v>
      </c>
      <c r="F115" s="321">
        <v>30</v>
      </c>
      <c r="G115" s="182"/>
      <c r="K115" t="s">
        <v>2443</v>
      </c>
    </row>
    <row r="116" spans="1:12" ht="15.75" thickBot="1" x14ac:dyDescent="0.3">
      <c r="A116" s="410"/>
      <c r="B116" s="274">
        <v>46067</v>
      </c>
      <c r="C116" s="228">
        <v>1621</v>
      </c>
      <c r="D116" s="256" t="s">
        <v>2686</v>
      </c>
      <c r="E116" s="228" t="s">
        <v>2456</v>
      </c>
      <c r="F116" s="322">
        <v>40</v>
      </c>
      <c r="G116" s="318">
        <f>SUM(F114:F116)</f>
        <v>90</v>
      </c>
    </row>
    <row r="117" spans="1:12" ht="15" customHeight="1" x14ac:dyDescent="0.25">
      <c r="A117" s="408" t="s">
        <v>2498</v>
      </c>
      <c r="B117" s="275">
        <v>46068</v>
      </c>
      <c r="C117" s="269">
        <v>1622</v>
      </c>
      <c r="D117" s="319" t="s">
        <v>2636</v>
      </c>
      <c r="E117" s="269" t="s">
        <v>2456</v>
      </c>
      <c r="F117" s="330">
        <v>40</v>
      </c>
      <c r="G117" s="182"/>
    </row>
    <row r="118" spans="1:12" x14ac:dyDescent="0.25">
      <c r="A118" s="409"/>
      <c r="B118" s="224">
        <v>46068</v>
      </c>
      <c r="C118" s="222">
        <v>1623</v>
      </c>
      <c r="D118" s="223" t="s">
        <v>2687</v>
      </c>
      <c r="E118" s="222" t="s">
        <v>2456</v>
      </c>
      <c r="F118" s="321">
        <v>40</v>
      </c>
      <c r="G118" s="182"/>
    </row>
    <row r="119" spans="1:12" ht="15.75" thickBot="1" x14ac:dyDescent="0.3">
      <c r="A119" s="410"/>
      <c r="B119" s="274">
        <v>46068</v>
      </c>
      <c r="C119" s="228">
        <v>1624</v>
      </c>
      <c r="D119" s="256" t="s">
        <v>2680</v>
      </c>
      <c r="E119" s="228" t="s">
        <v>2456</v>
      </c>
      <c r="F119" s="322">
        <v>40</v>
      </c>
      <c r="G119" s="318">
        <f>SUM(F117:F119)</f>
        <v>120</v>
      </c>
      <c r="H119" s="337">
        <v>1170</v>
      </c>
    </row>
    <row r="120" spans="1:12" x14ac:dyDescent="0.25">
      <c r="A120" s="408" t="s">
        <v>2516</v>
      </c>
      <c r="B120" s="245">
        <v>46069</v>
      </c>
      <c r="C120" s="246">
        <v>1625</v>
      </c>
      <c r="D120" s="255" t="s">
        <v>2682</v>
      </c>
      <c r="E120" s="246" t="s">
        <v>2456</v>
      </c>
      <c r="F120" s="324">
        <v>40</v>
      </c>
      <c r="G120" s="182"/>
      <c r="H120" t="s">
        <v>51</v>
      </c>
    </row>
    <row r="121" spans="1:12" x14ac:dyDescent="0.25">
      <c r="A121" s="409"/>
      <c r="B121" s="224">
        <v>46069</v>
      </c>
      <c r="C121" s="222">
        <v>1626</v>
      </c>
      <c r="D121" s="223" t="s">
        <v>2726</v>
      </c>
      <c r="E121" s="222" t="s">
        <v>2456</v>
      </c>
      <c r="F121" s="321">
        <v>30</v>
      </c>
      <c r="G121" s="182"/>
    </row>
    <row r="122" spans="1:12" ht="15" customHeight="1" x14ac:dyDescent="0.25">
      <c r="A122" s="409"/>
      <c r="B122" s="224">
        <v>46069</v>
      </c>
      <c r="C122" s="222">
        <v>1627</v>
      </c>
      <c r="D122" s="223" t="s">
        <v>2728</v>
      </c>
      <c r="E122" s="222" t="s">
        <v>2456</v>
      </c>
      <c r="F122" s="321">
        <v>30</v>
      </c>
      <c r="G122" s="182"/>
      <c r="H122" s="182"/>
    </row>
    <row r="123" spans="1:12" ht="18" customHeight="1" x14ac:dyDescent="0.25">
      <c r="A123" s="409"/>
      <c r="B123" s="224">
        <v>46069</v>
      </c>
      <c r="C123" s="222">
        <v>1628</v>
      </c>
      <c r="D123" s="223" t="s">
        <v>2729</v>
      </c>
      <c r="E123" s="222" t="s">
        <v>2456</v>
      </c>
      <c r="F123" s="321">
        <v>120</v>
      </c>
      <c r="G123" s="182"/>
    </row>
    <row r="124" spans="1:12" ht="16.5" customHeight="1" x14ac:dyDescent="0.25">
      <c r="A124" s="409"/>
      <c r="B124" s="224">
        <v>46069</v>
      </c>
      <c r="C124" s="222">
        <v>1629</v>
      </c>
      <c r="D124" s="223" t="s">
        <v>2651</v>
      </c>
      <c r="E124" s="222" t="s">
        <v>2456</v>
      </c>
      <c r="F124" s="321">
        <v>80</v>
      </c>
      <c r="G124" s="182"/>
    </row>
    <row r="125" spans="1:12" ht="15.75" thickBot="1" x14ac:dyDescent="0.3">
      <c r="A125" s="410"/>
      <c r="B125" s="274">
        <v>46069</v>
      </c>
      <c r="C125" s="228">
        <v>1630</v>
      </c>
      <c r="D125" s="256" t="s">
        <v>2731</v>
      </c>
      <c r="E125" s="228" t="s">
        <v>2456</v>
      </c>
      <c r="F125" s="322">
        <v>70</v>
      </c>
      <c r="G125" s="318">
        <f>SUM(F120:F125)</f>
        <v>370</v>
      </c>
    </row>
    <row r="126" spans="1:12" x14ac:dyDescent="0.25">
      <c r="A126" s="408" t="s">
        <v>2517</v>
      </c>
      <c r="B126" s="245">
        <v>46070</v>
      </c>
      <c r="C126" s="246">
        <v>1631</v>
      </c>
      <c r="D126" s="255" t="s">
        <v>2732</v>
      </c>
      <c r="E126" s="246" t="s">
        <v>2456</v>
      </c>
      <c r="F126" s="324">
        <v>70</v>
      </c>
      <c r="G126" s="182"/>
    </row>
    <row r="127" spans="1:12" x14ac:dyDescent="0.25">
      <c r="A127" s="409"/>
      <c r="B127" s="224">
        <v>46070</v>
      </c>
      <c r="C127" s="222">
        <v>1632</v>
      </c>
      <c r="D127" s="223" t="s">
        <v>2641</v>
      </c>
      <c r="E127" s="222" t="s">
        <v>2456</v>
      </c>
      <c r="F127" s="321">
        <v>40</v>
      </c>
      <c r="G127" s="182"/>
    </row>
    <row r="128" spans="1:12" x14ac:dyDescent="0.25">
      <c r="A128" s="409"/>
      <c r="B128" s="224">
        <v>46070</v>
      </c>
      <c r="C128" s="222">
        <v>1633</v>
      </c>
      <c r="D128" s="223" t="s">
        <v>2732</v>
      </c>
      <c r="E128" s="222" t="s">
        <v>2456</v>
      </c>
      <c r="F128" s="321">
        <v>70</v>
      </c>
      <c r="G128" s="182"/>
      <c r="H128" s="182"/>
    </row>
    <row r="129" spans="1:8" ht="18" customHeight="1" x14ac:dyDescent="0.25">
      <c r="A129" s="409"/>
      <c r="B129" s="224">
        <v>46070</v>
      </c>
      <c r="C129" s="222">
        <v>1634</v>
      </c>
      <c r="D129" s="223" t="s">
        <v>2727</v>
      </c>
      <c r="E129" s="222" t="s">
        <v>2456</v>
      </c>
      <c r="F129" s="321">
        <v>120</v>
      </c>
      <c r="G129" s="182"/>
      <c r="H129" s="182"/>
    </row>
    <row r="130" spans="1:8" x14ac:dyDescent="0.25">
      <c r="A130" s="409"/>
      <c r="B130" s="224">
        <v>46070</v>
      </c>
      <c r="C130" s="222">
        <v>1635</v>
      </c>
      <c r="D130" s="223" t="s">
        <v>2732</v>
      </c>
      <c r="E130" s="222" t="s">
        <v>2456</v>
      </c>
      <c r="F130" s="321">
        <v>70</v>
      </c>
      <c r="G130" s="182"/>
    </row>
    <row r="131" spans="1:8" ht="13.5" customHeight="1" x14ac:dyDescent="0.25">
      <c r="A131" s="409"/>
      <c r="B131" s="224">
        <v>46070</v>
      </c>
      <c r="C131" s="222">
        <v>1636</v>
      </c>
      <c r="D131" s="223" t="s">
        <v>2733</v>
      </c>
      <c r="E131" s="222" t="s">
        <v>2456</v>
      </c>
      <c r="F131" s="321">
        <v>170</v>
      </c>
      <c r="G131" s="182"/>
    </row>
    <row r="132" spans="1:8" ht="15.75" thickBot="1" x14ac:dyDescent="0.3">
      <c r="A132" s="410"/>
      <c r="B132" s="274">
        <v>46070</v>
      </c>
      <c r="C132" s="228">
        <v>1637</v>
      </c>
      <c r="D132" s="256" t="s">
        <v>2733</v>
      </c>
      <c r="E132" s="228" t="s">
        <v>2456</v>
      </c>
      <c r="F132" s="322">
        <v>170</v>
      </c>
      <c r="G132" s="318">
        <f>SUM(F126:F132)</f>
        <v>710</v>
      </c>
    </row>
    <row r="133" spans="1:8" x14ac:dyDescent="0.25">
      <c r="A133" s="408" t="s">
        <v>2518</v>
      </c>
      <c r="B133" s="245">
        <v>46071</v>
      </c>
      <c r="C133" s="246">
        <v>1638</v>
      </c>
      <c r="D133" s="255" t="s">
        <v>2636</v>
      </c>
      <c r="E133" s="246" t="s">
        <v>2456</v>
      </c>
      <c r="F133" s="324">
        <v>40</v>
      </c>
      <c r="G133" s="182"/>
    </row>
    <row r="134" spans="1:8" x14ac:dyDescent="0.25">
      <c r="A134" s="409"/>
      <c r="B134" s="224">
        <v>46071</v>
      </c>
      <c r="C134" s="222">
        <v>1639</v>
      </c>
      <c r="D134" s="223" t="s">
        <v>2680</v>
      </c>
      <c r="E134" s="222" t="s">
        <v>2456</v>
      </c>
      <c r="F134" s="321">
        <v>40</v>
      </c>
      <c r="G134" s="182"/>
    </row>
    <row r="135" spans="1:8" x14ac:dyDescent="0.25">
      <c r="A135" s="409"/>
      <c r="B135" s="224">
        <v>46071</v>
      </c>
      <c r="C135" s="222">
        <v>1640</v>
      </c>
      <c r="D135" s="223" t="s">
        <v>2643</v>
      </c>
      <c r="E135" s="222" t="s">
        <v>2456</v>
      </c>
      <c r="F135" s="321">
        <v>40</v>
      </c>
      <c r="G135" s="182"/>
    </row>
    <row r="136" spans="1:8" x14ac:dyDescent="0.25">
      <c r="A136" s="409"/>
      <c r="B136" s="224">
        <v>46071</v>
      </c>
      <c r="C136" s="222">
        <v>1641</v>
      </c>
      <c r="D136" s="223" t="s">
        <v>2733</v>
      </c>
      <c r="E136" s="222" t="s">
        <v>2456</v>
      </c>
      <c r="F136" s="321">
        <v>170</v>
      </c>
      <c r="G136" s="182"/>
    </row>
    <row r="137" spans="1:8" x14ac:dyDescent="0.25">
      <c r="A137" s="409"/>
      <c r="B137" s="224">
        <v>46071</v>
      </c>
      <c r="C137" s="222">
        <v>1642</v>
      </c>
      <c r="D137" s="223" t="s">
        <v>2734</v>
      </c>
      <c r="E137" s="222" t="s">
        <v>2456</v>
      </c>
      <c r="F137" s="321">
        <v>30</v>
      </c>
      <c r="G137" s="182"/>
    </row>
    <row r="138" spans="1:8" x14ac:dyDescent="0.25">
      <c r="A138" s="409"/>
      <c r="B138" s="224">
        <v>46071</v>
      </c>
      <c r="C138" s="222">
        <v>1643</v>
      </c>
      <c r="D138" s="223" t="s">
        <v>2735</v>
      </c>
      <c r="E138" s="222" t="s">
        <v>2456</v>
      </c>
      <c r="F138" s="321">
        <v>40</v>
      </c>
      <c r="G138" s="182"/>
    </row>
    <row r="139" spans="1:8" x14ac:dyDescent="0.25">
      <c r="A139" s="409"/>
      <c r="B139" s="224">
        <v>46071</v>
      </c>
      <c r="C139" s="222">
        <v>1644</v>
      </c>
      <c r="D139" s="223" t="s">
        <v>2729</v>
      </c>
      <c r="E139" s="222" t="s">
        <v>2456</v>
      </c>
      <c r="F139" s="321">
        <v>120</v>
      </c>
      <c r="G139" s="182"/>
    </row>
    <row r="140" spans="1:8" x14ac:dyDescent="0.25">
      <c r="A140" s="409"/>
      <c r="B140" s="224">
        <v>46071</v>
      </c>
      <c r="C140" s="222">
        <v>1645</v>
      </c>
      <c r="D140" s="223" t="s">
        <v>2737</v>
      </c>
      <c r="E140" s="222" t="s">
        <v>2456</v>
      </c>
      <c r="F140" s="321">
        <v>70</v>
      </c>
      <c r="G140" s="182"/>
    </row>
    <row r="141" spans="1:8" ht="15.75" thickBot="1" x14ac:dyDescent="0.3">
      <c r="A141" s="410"/>
      <c r="B141" s="274">
        <v>46071</v>
      </c>
      <c r="C141" s="228">
        <v>1646</v>
      </c>
      <c r="D141" s="256" t="s">
        <v>2733</v>
      </c>
      <c r="E141" s="228" t="s">
        <v>2456</v>
      </c>
      <c r="F141" s="322">
        <v>170</v>
      </c>
      <c r="G141" s="318">
        <f>SUM(F133:F141)</f>
        <v>720</v>
      </c>
    </row>
    <row r="142" spans="1:8" x14ac:dyDescent="0.25">
      <c r="A142" s="408" t="s">
        <v>2495</v>
      </c>
      <c r="B142" s="245">
        <v>46072</v>
      </c>
      <c r="C142" s="246">
        <v>1647</v>
      </c>
      <c r="D142" s="255" t="s">
        <v>2680</v>
      </c>
      <c r="E142" s="246" t="s">
        <v>2456</v>
      </c>
      <c r="F142" s="324">
        <v>40</v>
      </c>
      <c r="G142" s="182"/>
    </row>
    <row r="143" spans="1:8" x14ac:dyDescent="0.25">
      <c r="A143" s="409"/>
      <c r="B143" s="224">
        <v>46072</v>
      </c>
      <c r="C143" s="222">
        <v>1648</v>
      </c>
      <c r="D143" s="223" t="s">
        <v>2677</v>
      </c>
      <c r="E143" s="246" t="s">
        <v>2456</v>
      </c>
      <c r="F143" s="321">
        <v>40</v>
      </c>
      <c r="G143" s="182"/>
      <c r="H143" s="182"/>
    </row>
    <row r="144" spans="1:8" x14ac:dyDescent="0.25">
      <c r="A144" s="409"/>
      <c r="B144" s="224">
        <v>46072</v>
      </c>
      <c r="C144" s="222">
        <v>1649</v>
      </c>
      <c r="D144" s="223" t="s">
        <v>2730</v>
      </c>
      <c r="E144" s="246" t="s">
        <v>2456</v>
      </c>
      <c r="F144" s="321">
        <v>70</v>
      </c>
      <c r="G144" s="182"/>
    </row>
    <row r="145" spans="1:11" x14ac:dyDescent="0.25">
      <c r="A145" s="409"/>
      <c r="B145" s="224">
        <v>46072</v>
      </c>
      <c r="C145" s="222">
        <v>1650</v>
      </c>
      <c r="D145" s="223" t="s">
        <v>2733</v>
      </c>
      <c r="E145" s="246" t="s">
        <v>2456</v>
      </c>
      <c r="F145" s="321">
        <v>170</v>
      </c>
      <c r="G145" s="182"/>
    </row>
    <row r="146" spans="1:11" x14ac:dyDescent="0.25">
      <c r="A146" s="409"/>
      <c r="B146" s="224">
        <v>46072</v>
      </c>
      <c r="C146" s="222">
        <v>1651</v>
      </c>
      <c r="D146" s="223" t="s">
        <v>2641</v>
      </c>
      <c r="E146" s="246" t="s">
        <v>2456</v>
      </c>
      <c r="F146" s="321">
        <v>40</v>
      </c>
      <c r="G146" s="182"/>
    </row>
    <row r="147" spans="1:11" x14ac:dyDescent="0.25">
      <c r="A147" s="409"/>
      <c r="B147" s="224">
        <v>46072</v>
      </c>
      <c r="C147" s="222">
        <v>1652</v>
      </c>
      <c r="D147" s="223" t="s">
        <v>2737</v>
      </c>
      <c r="E147" s="246" t="s">
        <v>2456</v>
      </c>
      <c r="F147" s="321">
        <v>70</v>
      </c>
      <c r="G147" s="182"/>
      <c r="H147" s="182" t="s">
        <v>51</v>
      </c>
      <c r="I147" t="s">
        <v>51</v>
      </c>
    </row>
    <row r="148" spans="1:11" ht="15.75" thickBot="1" x14ac:dyDescent="0.3">
      <c r="A148" s="410"/>
      <c r="B148" s="274">
        <v>46072</v>
      </c>
      <c r="C148" s="228">
        <v>1653</v>
      </c>
      <c r="D148" s="256" t="s">
        <v>2736</v>
      </c>
      <c r="E148" s="228" t="s">
        <v>2456</v>
      </c>
      <c r="F148" s="322">
        <v>170</v>
      </c>
      <c r="G148" s="318">
        <f>SUM(F142:F148)</f>
        <v>600</v>
      </c>
      <c r="K148" t="s">
        <v>2519</v>
      </c>
    </row>
    <row r="149" spans="1:11" x14ac:dyDescent="0.25">
      <c r="A149" s="408" t="s">
        <v>2496</v>
      </c>
      <c r="B149" s="245">
        <v>46073</v>
      </c>
      <c r="C149" s="246">
        <v>1654</v>
      </c>
      <c r="D149" s="255" t="s">
        <v>2636</v>
      </c>
      <c r="E149" s="246" t="s">
        <v>2456</v>
      </c>
      <c r="F149" s="324">
        <v>40</v>
      </c>
      <c r="G149" s="182"/>
    </row>
    <row r="150" spans="1:11" x14ac:dyDescent="0.25">
      <c r="A150" s="409"/>
      <c r="B150" s="224">
        <v>46073</v>
      </c>
      <c r="C150" s="222">
        <v>1655</v>
      </c>
      <c r="D150" s="223" t="s">
        <v>2738</v>
      </c>
      <c r="E150" s="246" t="s">
        <v>2456</v>
      </c>
      <c r="F150" s="321">
        <v>40</v>
      </c>
      <c r="G150" s="182"/>
    </row>
    <row r="151" spans="1:11" x14ac:dyDescent="0.25">
      <c r="A151" s="409"/>
      <c r="B151" s="224">
        <v>46073</v>
      </c>
      <c r="C151" s="222">
        <v>1656</v>
      </c>
      <c r="D151" s="223" t="s">
        <v>2739</v>
      </c>
      <c r="E151" s="246" t="s">
        <v>2456</v>
      </c>
      <c r="F151" s="321">
        <v>40</v>
      </c>
      <c r="G151" s="182"/>
    </row>
    <row r="152" spans="1:11" x14ac:dyDescent="0.25">
      <c r="A152" s="409"/>
      <c r="B152" s="224">
        <v>46073</v>
      </c>
      <c r="C152" s="222">
        <v>1657</v>
      </c>
      <c r="D152" s="223" t="s">
        <v>2740</v>
      </c>
      <c r="E152" s="246" t="s">
        <v>2456</v>
      </c>
      <c r="F152" s="321">
        <v>40</v>
      </c>
      <c r="G152" s="182"/>
      <c r="H152" s="182"/>
    </row>
    <row r="153" spans="1:11" x14ac:dyDescent="0.25">
      <c r="A153" s="409"/>
      <c r="B153" s="224">
        <v>46073</v>
      </c>
      <c r="C153" s="222">
        <v>1658</v>
      </c>
      <c r="D153" s="223" t="s">
        <v>2737</v>
      </c>
      <c r="E153" s="246" t="s">
        <v>2456</v>
      </c>
      <c r="F153" s="321">
        <v>70</v>
      </c>
      <c r="G153" s="182"/>
      <c r="H153" s="182"/>
    </row>
    <row r="154" spans="1:11" x14ac:dyDescent="0.25">
      <c r="A154" s="409"/>
      <c r="B154" s="224">
        <v>46073</v>
      </c>
      <c r="C154" s="222">
        <v>1659</v>
      </c>
      <c r="D154" s="223" t="s">
        <v>2742</v>
      </c>
      <c r="E154" s="246" t="s">
        <v>2456</v>
      </c>
      <c r="F154" s="321">
        <v>170</v>
      </c>
      <c r="G154" s="182"/>
    </row>
    <row r="155" spans="1:11" ht="13.5" customHeight="1" x14ac:dyDescent="0.25">
      <c r="A155" s="409"/>
      <c r="B155" s="224">
        <v>46073</v>
      </c>
      <c r="C155" s="222">
        <v>1660</v>
      </c>
      <c r="D155" s="223" t="s">
        <v>2737</v>
      </c>
      <c r="E155" s="246" t="s">
        <v>2456</v>
      </c>
      <c r="F155" s="321">
        <v>70</v>
      </c>
      <c r="G155" s="182"/>
      <c r="I155" t="s">
        <v>2519</v>
      </c>
    </row>
    <row r="156" spans="1:11" ht="14.25" customHeight="1" x14ac:dyDescent="0.25">
      <c r="A156" s="409"/>
      <c r="B156" s="224">
        <v>46073</v>
      </c>
      <c r="C156" s="222">
        <v>1661</v>
      </c>
      <c r="D156" s="223" t="s">
        <v>2741</v>
      </c>
      <c r="E156" s="246" t="s">
        <v>2456</v>
      </c>
      <c r="F156" s="321">
        <v>170</v>
      </c>
      <c r="G156" s="182"/>
      <c r="H156" s="182"/>
    </row>
    <row r="157" spans="1:11" ht="15.75" customHeight="1" thickBot="1" x14ac:dyDescent="0.3">
      <c r="A157" s="410"/>
      <c r="B157" s="274">
        <v>46073</v>
      </c>
      <c r="C157" s="228">
        <v>1662</v>
      </c>
      <c r="D157" s="256" t="s">
        <v>2737</v>
      </c>
      <c r="E157" s="228" t="s">
        <v>2456</v>
      </c>
      <c r="F157" s="322">
        <v>70</v>
      </c>
      <c r="G157" s="318">
        <f>SUM(F149:F157)</f>
        <v>710</v>
      </c>
    </row>
    <row r="158" spans="1:11" x14ac:dyDescent="0.25">
      <c r="A158" s="417" t="s">
        <v>2497</v>
      </c>
      <c r="B158" s="245">
        <v>46074</v>
      </c>
      <c r="C158" s="246">
        <v>1663</v>
      </c>
      <c r="D158" s="255" t="s">
        <v>2670</v>
      </c>
      <c r="E158" s="246" t="s">
        <v>2456</v>
      </c>
      <c r="F158" s="324">
        <v>40</v>
      </c>
      <c r="G158" s="182"/>
      <c r="J158" t="s">
        <v>51</v>
      </c>
    </row>
    <row r="159" spans="1:11" x14ac:dyDescent="0.25">
      <c r="A159" s="418"/>
      <c r="B159" s="224">
        <v>46074</v>
      </c>
      <c r="C159" s="222">
        <v>164</v>
      </c>
      <c r="D159" s="223" t="s">
        <v>2636</v>
      </c>
      <c r="E159" s="246" t="s">
        <v>2456</v>
      </c>
      <c r="F159" s="321">
        <v>40</v>
      </c>
      <c r="G159" s="182"/>
    </row>
    <row r="160" spans="1:11" x14ac:dyDescent="0.25">
      <c r="A160" s="418"/>
      <c r="B160" s="224">
        <v>46074</v>
      </c>
      <c r="C160" s="222">
        <v>1665</v>
      </c>
      <c r="D160" s="223" t="s">
        <v>2738</v>
      </c>
      <c r="E160" s="246" t="s">
        <v>2456</v>
      </c>
      <c r="F160" s="321">
        <v>40</v>
      </c>
      <c r="G160" s="182"/>
    </row>
    <row r="161" spans="1:9" x14ac:dyDescent="0.25">
      <c r="A161" s="418"/>
      <c r="B161" s="224">
        <v>46074</v>
      </c>
      <c r="C161" s="222">
        <v>1666</v>
      </c>
      <c r="D161" s="223" t="s">
        <v>2733</v>
      </c>
      <c r="E161" s="246" t="s">
        <v>2456</v>
      </c>
      <c r="F161" s="321">
        <v>170</v>
      </c>
      <c r="G161" s="182"/>
    </row>
    <row r="162" spans="1:9" ht="15.75" thickBot="1" x14ac:dyDescent="0.3">
      <c r="A162" s="419"/>
      <c r="B162" s="274">
        <v>46074</v>
      </c>
      <c r="C162" s="228">
        <v>1667</v>
      </c>
      <c r="D162" s="256" t="s">
        <v>2726</v>
      </c>
      <c r="E162" s="273" t="s">
        <v>2456</v>
      </c>
      <c r="F162" s="322">
        <v>30</v>
      </c>
      <c r="G162" s="318">
        <f>SUM(F158:F162)</f>
        <v>320</v>
      </c>
    </row>
    <row r="163" spans="1:9" x14ac:dyDescent="0.25">
      <c r="A163" s="417" t="s">
        <v>2498</v>
      </c>
      <c r="B163" s="245">
        <v>46075</v>
      </c>
      <c r="C163" s="246">
        <v>1668</v>
      </c>
      <c r="D163" s="255" t="s">
        <v>2636</v>
      </c>
      <c r="E163" s="246" t="s">
        <v>2456</v>
      </c>
      <c r="F163" s="324">
        <v>40</v>
      </c>
      <c r="G163" s="182"/>
    </row>
    <row r="164" spans="1:9" x14ac:dyDescent="0.25">
      <c r="A164" s="418"/>
      <c r="B164" s="224">
        <v>46075</v>
      </c>
      <c r="C164" s="222">
        <v>1669</v>
      </c>
      <c r="D164" s="223" t="s">
        <v>2743</v>
      </c>
      <c r="E164" s="246" t="s">
        <v>2456</v>
      </c>
      <c r="F164" s="321">
        <v>160</v>
      </c>
      <c r="G164" s="182"/>
    </row>
    <row r="165" spans="1:9" ht="15.75" thickBot="1" x14ac:dyDescent="0.3">
      <c r="A165" s="419"/>
      <c r="B165" s="274">
        <v>46075</v>
      </c>
      <c r="C165" s="228">
        <v>1670</v>
      </c>
      <c r="D165" s="256" t="s">
        <v>2641</v>
      </c>
      <c r="E165" s="273" t="s">
        <v>2456</v>
      </c>
      <c r="F165" s="322">
        <v>140</v>
      </c>
      <c r="G165" s="318">
        <f>SUM(F163:F165)</f>
        <v>340</v>
      </c>
      <c r="H165" s="344">
        <f>SUM(G125:G165)</f>
        <v>3770</v>
      </c>
    </row>
    <row r="166" spans="1:9" x14ac:dyDescent="0.25">
      <c r="A166" s="417" t="s">
        <v>2516</v>
      </c>
      <c r="B166" s="245">
        <v>46076</v>
      </c>
      <c r="C166" s="246">
        <v>1671</v>
      </c>
      <c r="D166" s="255" t="s">
        <v>2636</v>
      </c>
      <c r="E166" s="246" t="s">
        <v>2456</v>
      </c>
      <c r="F166" s="324">
        <v>40</v>
      </c>
      <c r="G166" s="182"/>
    </row>
    <row r="167" spans="1:9" x14ac:dyDescent="0.25">
      <c r="A167" s="418"/>
      <c r="B167" s="224">
        <v>46076</v>
      </c>
      <c r="C167" s="222">
        <v>1672</v>
      </c>
      <c r="D167" s="223" t="s">
        <v>2764</v>
      </c>
      <c r="E167" s="246" t="s">
        <v>2456</v>
      </c>
      <c r="F167" s="321">
        <v>30</v>
      </c>
      <c r="G167" s="182"/>
    </row>
    <row r="168" spans="1:9" x14ac:dyDescent="0.25">
      <c r="A168" s="418"/>
      <c r="B168" s="224">
        <v>46076</v>
      </c>
      <c r="C168" s="222">
        <v>1673</v>
      </c>
      <c r="D168" s="223" t="s">
        <v>2763</v>
      </c>
      <c r="E168" s="246" t="s">
        <v>2456</v>
      </c>
      <c r="F168" s="321">
        <v>40</v>
      </c>
      <c r="G168" s="182"/>
    </row>
    <row r="169" spans="1:9" ht="15.75" thickBot="1" x14ac:dyDescent="0.3">
      <c r="A169" s="419"/>
      <c r="B169" s="274">
        <v>46076</v>
      </c>
      <c r="C169" s="228">
        <v>1674</v>
      </c>
      <c r="D169" s="256" t="s">
        <v>2677</v>
      </c>
      <c r="E169" s="228" t="s">
        <v>2456</v>
      </c>
      <c r="F169" s="322">
        <v>40</v>
      </c>
      <c r="G169" s="318">
        <f>SUM(F166:F169)</f>
        <v>150</v>
      </c>
    </row>
    <row r="170" spans="1:9" x14ac:dyDescent="0.25">
      <c r="A170" s="417" t="s">
        <v>2517</v>
      </c>
      <c r="B170" s="245">
        <v>46077</v>
      </c>
      <c r="C170" s="246">
        <v>1675</v>
      </c>
      <c r="D170" s="255" t="s">
        <v>2636</v>
      </c>
      <c r="E170" s="246" t="s">
        <v>2456</v>
      </c>
      <c r="F170" s="324">
        <v>40</v>
      </c>
      <c r="G170" s="182"/>
      <c r="I170" s="3"/>
    </row>
    <row r="171" spans="1:9" x14ac:dyDescent="0.25">
      <c r="A171" s="418"/>
      <c r="B171" s="224">
        <v>46077</v>
      </c>
      <c r="C171" s="222">
        <v>1676</v>
      </c>
      <c r="D171" s="223" t="s">
        <v>2765</v>
      </c>
      <c r="E171" s="246" t="s">
        <v>2456</v>
      </c>
      <c r="F171" s="321">
        <v>40</v>
      </c>
      <c r="G171" s="182"/>
    </row>
    <row r="172" spans="1:9" x14ac:dyDescent="0.25">
      <c r="A172" s="418"/>
      <c r="B172" s="224">
        <v>46077</v>
      </c>
      <c r="C172" s="222">
        <v>1677</v>
      </c>
      <c r="D172" s="223" t="s">
        <v>2766</v>
      </c>
      <c r="E172" s="246" t="s">
        <v>2456</v>
      </c>
      <c r="F172" s="321">
        <v>10</v>
      </c>
      <c r="G172" s="182"/>
    </row>
    <row r="173" spans="1:9" x14ac:dyDescent="0.25">
      <c r="A173" s="418"/>
      <c r="B173" s="224">
        <v>46077</v>
      </c>
      <c r="C173" s="222">
        <v>1678</v>
      </c>
      <c r="D173" s="223" t="s">
        <v>2738</v>
      </c>
      <c r="E173" s="246" t="s">
        <v>2456</v>
      </c>
      <c r="F173" s="321">
        <v>40</v>
      </c>
      <c r="G173" s="182"/>
    </row>
    <row r="174" spans="1:9" ht="15.75" thickBot="1" x14ac:dyDescent="0.3">
      <c r="A174" s="419"/>
      <c r="B174" s="274">
        <v>46077</v>
      </c>
      <c r="C174" s="228">
        <v>1679</v>
      </c>
      <c r="D174" s="256" t="s">
        <v>2643</v>
      </c>
      <c r="E174" s="228" t="s">
        <v>2456</v>
      </c>
      <c r="F174" s="322">
        <v>40</v>
      </c>
      <c r="G174" s="318">
        <f>SUM(F170:F174)</f>
        <v>170</v>
      </c>
    </row>
    <row r="175" spans="1:9" ht="15.75" thickBot="1" x14ac:dyDescent="0.3">
      <c r="A175" s="367" t="s">
        <v>2518</v>
      </c>
      <c r="B175" s="346">
        <v>46078</v>
      </c>
      <c r="C175" s="347">
        <v>1680</v>
      </c>
      <c r="D175" s="348" t="s">
        <v>2636</v>
      </c>
      <c r="E175" s="347" t="s">
        <v>2456</v>
      </c>
      <c r="F175" s="368">
        <v>40</v>
      </c>
      <c r="G175" s="318">
        <v>40</v>
      </c>
    </row>
    <row r="176" spans="1:9" ht="15.75" thickBot="1" x14ac:dyDescent="0.3">
      <c r="A176" s="367" t="s">
        <v>2495</v>
      </c>
      <c r="B176" s="346">
        <v>46079</v>
      </c>
      <c r="C176" s="347">
        <v>1681</v>
      </c>
      <c r="D176" s="348" t="s">
        <v>2767</v>
      </c>
      <c r="E176" s="347" t="s">
        <v>2456</v>
      </c>
      <c r="F176" s="368">
        <v>70</v>
      </c>
      <c r="G176" s="318">
        <v>70</v>
      </c>
    </row>
    <row r="177" spans="1:9" x14ac:dyDescent="0.25">
      <c r="A177" s="417" t="s">
        <v>2496</v>
      </c>
      <c r="B177" s="275">
        <v>46080</v>
      </c>
      <c r="C177" s="269">
        <v>1682</v>
      </c>
      <c r="D177" s="319" t="s">
        <v>2765</v>
      </c>
      <c r="E177" s="269" t="s">
        <v>2456</v>
      </c>
      <c r="F177" s="330">
        <v>40</v>
      </c>
      <c r="G177" s="182"/>
    </row>
    <row r="178" spans="1:9" ht="15.75" thickBot="1" x14ac:dyDescent="0.3">
      <c r="A178" s="419"/>
      <c r="B178" s="274">
        <v>46080</v>
      </c>
      <c r="C178" s="228">
        <v>1683</v>
      </c>
      <c r="D178" s="256" t="s">
        <v>2768</v>
      </c>
      <c r="E178" s="273" t="s">
        <v>2456</v>
      </c>
      <c r="F178" s="322">
        <v>40</v>
      </c>
      <c r="G178" s="318">
        <f>SUM(F177:F178)</f>
        <v>80</v>
      </c>
    </row>
    <row r="179" spans="1:9" x14ac:dyDescent="0.25">
      <c r="A179" s="417" t="s">
        <v>2495</v>
      </c>
      <c r="B179" s="275">
        <v>46081</v>
      </c>
      <c r="C179" s="269">
        <v>1684</v>
      </c>
      <c r="D179" s="319" t="s">
        <v>2769</v>
      </c>
      <c r="E179" s="269" t="s">
        <v>2456</v>
      </c>
      <c r="F179" s="330">
        <v>40</v>
      </c>
      <c r="G179" s="182"/>
    </row>
    <row r="180" spans="1:9" ht="15.75" thickBot="1" x14ac:dyDescent="0.3">
      <c r="A180" s="419"/>
      <c r="B180" s="274">
        <v>46081</v>
      </c>
      <c r="C180" s="228">
        <v>1685</v>
      </c>
      <c r="D180" s="256" t="s">
        <v>2770</v>
      </c>
      <c r="E180" s="273" t="s">
        <v>2456</v>
      </c>
      <c r="F180" s="322">
        <v>20</v>
      </c>
      <c r="G180" s="318">
        <f>SUM(F179:F180)</f>
        <v>60</v>
      </c>
      <c r="H180" s="344">
        <f>SUM(G169:G180)</f>
        <v>570</v>
      </c>
    </row>
    <row r="181" spans="1:9" x14ac:dyDescent="0.25">
      <c r="A181" s="369"/>
      <c r="B181" s="224"/>
      <c r="C181" s="222"/>
      <c r="D181" s="223" t="s">
        <v>51</v>
      </c>
      <c r="E181" s="238" t="s">
        <v>51</v>
      </c>
      <c r="F181" s="370"/>
      <c r="G181" s="182"/>
    </row>
    <row r="182" spans="1:9" x14ac:dyDescent="0.25">
      <c r="A182" s="369"/>
      <c r="B182" s="222"/>
      <c r="C182" s="222"/>
      <c r="D182" s="213" t="s">
        <v>19</v>
      </c>
      <c r="E182" s="213"/>
      <c r="F182" s="371">
        <f>SUM(F43:F181)</f>
        <v>7860</v>
      </c>
    </row>
    <row r="183" spans="1:9" ht="15.75" thickBot="1" x14ac:dyDescent="0.3">
      <c r="A183" s="372"/>
      <c r="B183" s="227"/>
      <c r="C183" s="227"/>
      <c r="D183" s="227"/>
      <c r="E183" s="227"/>
      <c r="F183" s="373"/>
    </row>
    <row r="184" spans="1:9" ht="15.75" thickBot="1" x14ac:dyDescent="0.3">
      <c r="A184" s="199"/>
      <c r="B184" s="217"/>
      <c r="C184" s="217"/>
      <c r="D184" s="217"/>
      <c r="E184" s="217"/>
      <c r="F184" s="217"/>
    </row>
    <row r="185" spans="1:9" ht="15.75" x14ac:dyDescent="0.25">
      <c r="A185" s="376"/>
      <c r="B185" s="379"/>
      <c r="C185" s="380"/>
      <c r="D185" s="381" t="s">
        <v>2661</v>
      </c>
      <c r="E185" s="381"/>
      <c r="F185" s="382"/>
      <c r="I185" t="s">
        <v>51</v>
      </c>
    </row>
    <row r="186" spans="1:9" ht="15.75" x14ac:dyDescent="0.25">
      <c r="A186" s="376"/>
      <c r="B186" s="383" t="s">
        <v>20</v>
      </c>
      <c r="C186" s="241" t="s">
        <v>21</v>
      </c>
      <c r="D186" s="240" t="s">
        <v>18</v>
      </c>
      <c r="E186" s="240" t="s">
        <v>73</v>
      </c>
      <c r="F186" s="384" t="s">
        <v>10</v>
      </c>
    </row>
    <row r="187" spans="1:9" ht="15.75" x14ac:dyDescent="0.25">
      <c r="A187" s="376"/>
      <c r="B187" s="385">
        <v>46055</v>
      </c>
      <c r="C187" s="45">
        <v>1324</v>
      </c>
      <c r="D187" s="46" t="s">
        <v>2747</v>
      </c>
      <c r="E187" s="134" t="s">
        <v>2662</v>
      </c>
      <c r="F187" s="386">
        <v>100</v>
      </c>
    </row>
    <row r="188" spans="1:9" ht="15.75" x14ac:dyDescent="0.25">
      <c r="A188" s="376"/>
      <c r="B188" s="385">
        <v>46065</v>
      </c>
      <c r="C188" s="45">
        <v>1325</v>
      </c>
      <c r="D188" s="46" t="s">
        <v>2748</v>
      </c>
      <c r="E188" s="134" t="s">
        <v>2663</v>
      </c>
      <c r="F188" s="386">
        <v>150</v>
      </c>
    </row>
    <row r="189" spans="1:9" ht="15.75" x14ac:dyDescent="0.25">
      <c r="A189" s="376"/>
      <c r="B189" s="385">
        <v>46065</v>
      </c>
      <c r="C189" s="45">
        <v>1326</v>
      </c>
      <c r="D189" s="46" t="s">
        <v>2749</v>
      </c>
      <c r="E189" s="134" t="s">
        <v>2663</v>
      </c>
      <c r="F189" s="386">
        <v>150</v>
      </c>
    </row>
    <row r="190" spans="1:9" ht="15.75" x14ac:dyDescent="0.25">
      <c r="A190" s="376"/>
      <c r="B190" s="385">
        <v>46065</v>
      </c>
      <c r="C190" s="45">
        <v>1327</v>
      </c>
      <c r="D190" s="46" t="s">
        <v>2750</v>
      </c>
      <c r="E190" s="134" t="s">
        <v>2663</v>
      </c>
      <c r="F190" s="386">
        <v>150</v>
      </c>
    </row>
    <row r="191" spans="1:9" ht="15.75" x14ac:dyDescent="0.25">
      <c r="A191" s="376"/>
      <c r="B191" s="385">
        <v>46070</v>
      </c>
      <c r="C191" s="45">
        <v>1329</v>
      </c>
      <c r="D191" s="46" t="s">
        <v>2753</v>
      </c>
      <c r="E191" s="134" t="s">
        <v>2662</v>
      </c>
      <c r="F191" s="386">
        <v>150</v>
      </c>
    </row>
    <row r="192" spans="1:9" ht="15.75" x14ac:dyDescent="0.25">
      <c r="A192" s="376"/>
      <c r="B192" s="385"/>
      <c r="C192" s="45"/>
      <c r="D192" s="46"/>
      <c r="E192" s="134"/>
      <c r="F192" s="386"/>
    </row>
    <row r="193" spans="1:9" ht="15.75" x14ac:dyDescent="0.25">
      <c r="A193" s="376"/>
      <c r="B193" s="385"/>
      <c r="C193" s="45"/>
      <c r="D193" s="46"/>
      <c r="E193" s="134"/>
      <c r="F193" s="386"/>
    </row>
    <row r="194" spans="1:9" ht="15.75" x14ac:dyDescent="0.25">
      <c r="A194" s="376"/>
      <c r="B194" s="385"/>
      <c r="C194" s="45"/>
      <c r="D194" s="46"/>
      <c r="E194" s="134"/>
      <c r="F194" s="386"/>
    </row>
    <row r="195" spans="1:9" ht="15.75" thickBot="1" x14ac:dyDescent="0.3">
      <c r="A195" s="376"/>
      <c r="B195" s="387"/>
      <c r="C195" s="388"/>
      <c r="D195" s="389" t="s">
        <v>19</v>
      </c>
      <c r="E195" s="389"/>
      <c r="F195" s="390">
        <f>SUM(F187:F194)</f>
        <v>700</v>
      </c>
    </row>
    <row r="196" spans="1:9" x14ac:dyDescent="0.25">
      <c r="A196" s="3"/>
      <c r="B196" s="163"/>
      <c r="C196" s="163"/>
      <c r="D196" s="377"/>
      <c r="E196" s="377"/>
      <c r="F196" s="378"/>
    </row>
    <row r="197" spans="1:9" x14ac:dyDescent="0.25">
      <c r="A197" s="3"/>
      <c r="B197" s="159"/>
      <c r="C197" s="159"/>
      <c r="D197" s="242"/>
      <c r="E197" s="242"/>
      <c r="F197" s="375"/>
    </row>
    <row r="198" spans="1:9" ht="15.75" thickBot="1" x14ac:dyDescent="0.3">
      <c r="A198" s="3"/>
      <c r="B198" s="236"/>
      <c r="C198" s="236"/>
      <c r="D198" s="236"/>
      <c r="E198" s="236"/>
      <c r="F198" s="236"/>
    </row>
    <row r="199" spans="1:9" ht="15.75" x14ac:dyDescent="0.25">
      <c r="A199" s="376"/>
      <c r="B199" s="391"/>
      <c r="C199" s="392"/>
      <c r="D199" s="393" t="s">
        <v>2801</v>
      </c>
      <c r="E199" s="393"/>
      <c r="F199" s="394"/>
    </row>
    <row r="200" spans="1:9" ht="15.75" x14ac:dyDescent="0.25">
      <c r="A200" s="376"/>
      <c r="B200" s="395" t="s">
        <v>20</v>
      </c>
      <c r="C200" s="244" t="s">
        <v>21</v>
      </c>
      <c r="D200" s="243" t="s">
        <v>18</v>
      </c>
      <c r="E200" s="243" t="s">
        <v>73</v>
      </c>
      <c r="F200" s="396" t="s">
        <v>10</v>
      </c>
    </row>
    <row r="201" spans="1:9" ht="15.75" x14ac:dyDescent="0.25">
      <c r="A201" s="376"/>
      <c r="B201" s="385">
        <v>46069</v>
      </c>
      <c r="C201" s="45">
        <v>1328</v>
      </c>
      <c r="D201" s="46" t="s">
        <v>2752</v>
      </c>
      <c r="E201" s="134" t="s">
        <v>2751</v>
      </c>
      <c r="F201" s="386">
        <v>26</v>
      </c>
      <c r="G201" s="182"/>
    </row>
    <row r="202" spans="1:9" ht="28.5" customHeight="1" x14ac:dyDescent="0.25">
      <c r="A202" s="376"/>
      <c r="B202" s="385">
        <v>46073</v>
      </c>
      <c r="C202" s="45">
        <v>1330</v>
      </c>
      <c r="D202" s="46" t="s">
        <v>2754</v>
      </c>
      <c r="E202" s="134" t="s">
        <v>2751</v>
      </c>
      <c r="F202" s="386">
        <v>419</v>
      </c>
      <c r="G202" s="182"/>
      <c r="I202" t="s">
        <v>51</v>
      </c>
    </row>
    <row r="203" spans="1:9" ht="31.5" x14ac:dyDescent="0.25">
      <c r="A203" s="376"/>
      <c r="B203" s="385">
        <v>46079</v>
      </c>
      <c r="C203" s="45">
        <v>1331</v>
      </c>
      <c r="D203" s="46" t="s">
        <v>2755</v>
      </c>
      <c r="E203" s="134" t="s">
        <v>2751</v>
      </c>
      <c r="F203" s="386">
        <v>51.3</v>
      </c>
    </row>
    <row r="204" spans="1:9" ht="14.25" customHeight="1" thickBot="1" x14ac:dyDescent="0.3">
      <c r="A204" s="376"/>
      <c r="B204" s="385"/>
      <c r="C204" s="45"/>
      <c r="D204" s="46"/>
      <c r="E204" s="134"/>
      <c r="F204" s="386"/>
      <c r="G204" s="182"/>
    </row>
    <row r="205" spans="1:9" ht="15.75" thickBot="1" x14ac:dyDescent="0.3">
      <c r="B205" s="21"/>
      <c r="C205" s="22"/>
      <c r="D205" s="133" t="s">
        <v>19</v>
      </c>
      <c r="E205" s="16"/>
      <c r="F205" s="93">
        <f>SUM(F201:F204)</f>
        <v>496.3</v>
      </c>
    </row>
    <row r="206" spans="1:9" x14ac:dyDescent="0.25">
      <c r="B206" s="68"/>
      <c r="C206" s="68"/>
      <c r="D206" s="397"/>
      <c r="E206" s="397"/>
      <c r="F206" s="398"/>
    </row>
    <row r="207" spans="1:9" x14ac:dyDescent="0.25">
      <c r="B207" s="68"/>
      <c r="C207" s="68"/>
      <c r="D207" s="397"/>
      <c r="E207" s="397"/>
      <c r="F207" s="398"/>
    </row>
    <row r="208" spans="1:9" ht="15.75" thickBot="1" x14ac:dyDescent="0.3"/>
    <row r="209" spans="2:6" ht="15.75" x14ac:dyDescent="0.25">
      <c r="B209" s="399"/>
      <c r="C209" s="400"/>
      <c r="D209" s="401" t="s">
        <v>2802</v>
      </c>
      <c r="E209" s="401"/>
      <c r="F209" s="402"/>
    </row>
    <row r="210" spans="2:6" ht="15.75" x14ac:dyDescent="0.25">
      <c r="B210" s="403"/>
      <c r="C210" s="150"/>
      <c r="D210" s="151" t="s">
        <v>18</v>
      </c>
      <c r="E210" s="152"/>
      <c r="F210" s="404" t="s">
        <v>10</v>
      </c>
    </row>
    <row r="211" spans="2:6" ht="15.75" x14ac:dyDescent="0.25">
      <c r="B211" s="405" t="s">
        <v>3</v>
      </c>
      <c r="C211" s="91">
        <f>COUNTIF(RECIBOS!$D$4:$D$1057,INGRESOS!D211)</f>
        <v>94</v>
      </c>
      <c r="D211" s="129" t="s">
        <v>12</v>
      </c>
      <c r="E211" s="12"/>
      <c r="F211" s="406">
        <f>SUMIF(RECIBOS!D$4:D$1057,"CHAUPI",RECIBOS!L$4:L$1057)</f>
        <v>2291</v>
      </c>
    </row>
    <row r="212" spans="2:6" ht="15.75" x14ac:dyDescent="0.25">
      <c r="B212" s="405" t="s">
        <v>3</v>
      </c>
      <c r="C212" s="91">
        <f>COUNTIF(RECIBOS!$D$4:$D$1057,INGRESOS!D212)</f>
        <v>76</v>
      </c>
      <c r="D212" s="130" t="s">
        <v>0</v>
      </c>
      <c r="E212" s="52"/>
      <c r="F212" s="406">
        <f>SUMIF(RECIBOS!D$4:D$1057,"PACHAYZA",RECIBOS!L$4:L$1057)</f>
        <v>2237.5</v>
      </c>
    </row>
    <row r="213" spans="2:6" ht="15.75" x14ac:dyDescent="0.25">
      <c r="B213" s="405" t="s">
        <v>3</v>
      </c>
      <c r="C213" s="91">
        <f>COUNTIF(RECIBOS!$D$4:$D$1057,INGRESOS!D213)</f>
        <v>17</v>
      </c>
      <c r="D213" s="129" t="s">
        <v>13</v>
      </c>
      <c r="E213" s="12"/>
      <c r="F213" s="406">
        <f>SUMIF(RECIBOS!D$4:D$1057,"LUCMANI",RECIBOS!L$4:L$1057)</f>
        <v>451.5</v>
      </c>
    </row>
    <row r="214" spans="2:6" ht="15.75" x14ac:dyDescent="0.25">
      <c r="B214" s="405" t="s">
        <v>3</v>
      </c>
      <c r="C214" s="91">
        <f>COUNTIF(RECIBOS!$D$4:$D$1057,INGRESOS!D214)</f>
        <v>15</v>
      </c>
      <c r="D214" s="130" t="s">
        <v>14</v>
      </c>
      <c r="E214" s="52"/>
      <c r="F214" s="406">
        <f>SUMIF(RECIBOS!D$4:D$1057,"HUAQUILLO",RECIBOS!L$4:L$1057)</f>
        <v>196.5</v>
      </c>
    </row>
    <row r="215" spans="2:6" ht="15.75" x14ac:dyDescent="0.25">
      <c r="B215" s="405" t="s">
        <v>3</v>
      </c>
      <c r="C215" s="91">
        <f>COUNTIF(RECIBOS!$D$4:$D$1057,INGRESOS!D215)</f>
        <v>1</v>
      </c>
      <c r="D215" s="131" t="s">
        <v>16</v>
      </c>
      <c r="E215" s="13"/>
      <c r="F215" s="406">
        <f>SUMIF(RECIBOS!D$4:D$1057,"AYACUCHO",RECIBOS!L$4:L$1057)</f>
        <v>6.5</v>
      </c>
    </row>
    <row r="216" spans="2:6" ht="16.5" thickBot="1" x14ac:dyDescent="0.3">
      <c r="B216" s="407" t="s">
        <v>3</v>
      </c>
      <c r="C216" s="91">
        <f>COUNTIF(RECIBOS!$D$4:$D$1057,INGRESOS!D216)</f>
        <v>5</v>
      </c>
      <c r="D216" s="132" t="s">
        <v>17</v>
      </c>
      <c r="E216" s="127"/>
      <c r="F216" s="406">
        <f>SUMIF(RECIBOS!D$4:D$1057,"CHAUPICERCA",RECIBOS!L$4:L$1057)</f>
        <v>93.5</v>
      </c>
    </row>
    <row r="217" spans="2:6" ht="15.75" thickBot="1" x14ac:dyDescent="0.3">
      <c r="B217" s="15"/>
      <c r="C217" s="92">
        <f>SUM(C211:C216)</f>
        <v>208</v>
      </c>
      <c r="D217" s="133" t="s">
        <v>19</v>
      </c>
      <c r="E217" s="16"/>
      <c r="F217" s="90">
        <f>SUM(F211:F216)</f>
        <v>5276.5</v>
      </c>
    </row>
  </sheetData>
  <autoFilter ref="B12:F12" xr:uid="{5DC1803A-8EE9-4219-8901-F4BAB2D34F6C}"/>
  <mergeCells count="27">
    <mergeCell ref="A166:A169"/>
    <mergeCell ref="A170:A174"/>
    <mergeCell ref="A177:A178"/>
    <mergeCell ref="A179:A180"/>
    <mergeCell ref="A158:A162"/>
    <mergeCell ref="A163:A165"/>
    <mergeCell ref="A120:A125"/>
    <mergeCell ref="A126:A132"/>
    <mergeCell ref="A133:A141"/>
    <mergeCell ref="A142:A148"/>
    <mergeCell ref="A149:A157"/>
    <mergeCell ref="I40:J40"/>
    <mergeCell ref="A48:A59"/>
    <mergeCell ref="A76:A81"/>
    <mergeCell ref="A82:A85"/>
    <mergeCell ref="A86:A89"/>
    <mergeCell ref="A114:A116"/>
    <mergeCell ref="A117:A119"/>
    <mergeCell ref="A43:A47"/>
    <mergeCell ref="A60:A65"/>
    <mergeCell ref="A72:A75"/>
    <mergeCell ref="A66:A71"/>
    <mergeCell ref="A90:A97"/>
    <mergeCell ref="A98:A101"/>
    <mergeCell ref="A102:A105"/>
    <mergeCell ref="A106:A108"/>
    <mergeCell ref="A109:A113"/>
  </mergeCells>
  <phoneticPr fontId="24" type="noConversion"/>
  <pageMargins left="0.25" right="0.25" top="0.75" bottom="0.75" header="0.3" footer="0.3"/>
  <pageSetup scale="51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793A-DF25-46E5-931F-57DEC44AE431}">
  <sheetPr>
    <tabColor rgb="FF9966FF"/>
    <pageSetUpPr fitToPage="1"/>
  </sheetPr>
  <dimension ref="A2:N69"/>
  <sheetViews>
    <sheetView topLeftCell="A25" zoomScaleNormal="100" workbookViewId="0">
      <selection activeCell="K21" sqref="K21"/>
    </sheetView>
  </sheetViews>
  <sheetFormatPr baseColWidth="10" defaultRowHeight="15" x14ac:dyDescent="0.25"/>
  <cols>
    <col min="1" max="1" width="0.85546875" customWidth="1"/>
    <col min="2" max="2" width="11.85546875" bestFit="1" customWidth="1"/>
    <col min="3" max="3" width="10.7109375" customWidth="1"/>
    <col min="4" max="4" width="70.28515625" customWidth="1"/>
    <col min="5" max="5" width="19.42578125" customWidth="1"/>
    <col min="6" max="6" width="13.42578125" bestFit="1" customWidth="1"/>
  </cols>
  <sheetData>
    <row r="2" spans="2:7" ht="18.75" x14ac:dyDescent="0.25">
      <c r="B2" s="420" t="s">
        <v>2697</v>
      </c>
      <c r="C2" s="421"/>
      <c r="D2" s="421"/>
      <c r="E2" s="421"/>
      <c r="F2" s="422"/>
    </row>
    <row r="3" spans="2:7" ht="15.75" x14ac:dyDescent="0.25">
      <c r="B3" s="24" t="s">
        <v>22</v>
      </c>
      <c r="C3" s="24" t="s">
        <v>72</v>
      </c>
      <c r="D3" s="24" t="s">
        <v>23</v>
      </c>
      <c r="E3" s="24" t="s">
        <v>73</v>
      </c>
      <c r="F3" s="25" t="s">
        <v>10</v>
      </c>
    </row>
    <row r="4" spans="2:7" ht="32.25" customHeight="1" x14ac:dyDescent="0.25">
      <c r="B4" s="124">
        <v>46059</v>
      </c>
      <c r="C4" s="125">
        <v>204</v>
      </c>
      <c r="D4" s="46" t="s">
        <v>2698</v>
      </c>
      <c r="E4" s="349" t="s">
        <v>2774</v>
      </c>
      <c r="F4" s="209">
        <v>179</v>
      </c>
      <c r="G4" s="7"/>
    </row>
    <row r="5" spans="2:7" ht="31.5" x14ac:dyDescent="0.25">
      <c r="B5" s="124">
        <v>46059</v>
      </c>
      <c r="C5" s="125">
        <v>205</v>
      </c>
      <c r="D5" s="46" t="s">
        <v>2699</v>
      </c>
      <c r="E5" s="350" t="s">
        <v>2775</v>
      </c>
      <c r="F5" s="209">
        <v>200</v>
      </c>
      <c r="G5" s="7"/>
    </row>
    <row r="6" spans="2:7" ht="15.75" x14ac:dyDescent="0.25">
      <c r="B6" s="124">
        <v>46063</v>
      </c>
      <c r="C6" s="125">
        <v>206</v>
      </c>
      <c r="D6" s="46" t="s">
        <v>2700</v>
      </c>
      <c r="E6" s="349" t="s">
        <v>2774</v>
      </c>
      <c r="F6" s="209">
        <v>130</v>
      </c>
      <c r="G6" s="7"/>
    </row>
    <row r="7" spans="2:7" ht="30" x14ac:dyDescent="0.25">
      <c r="B7" s="124">
        <v>46063</v>
      </c>
      <c r="C7" s="125">
        <v>207</v>
      </c>
      <c r="D7" s="26" t="s">
        <v>2701</v>
      </c>
      <c r="E7" s="352" t="s">
        <v>2776</v>
      </c>
      <c r="F7" s="209">
        <v>42</v>
      </c>
    </row>
    <row r="8" spans="2:7" ht="15.75" x14ac:dyDescent="0.25">
      <c r="B8" s="124">
        <v>46063</v>
      </c>
      <c r="C8" s="125">
        <v>208</v>
      </c>
      <c r="D8" s="46" t="s">
        <v>2702</v>
      </c>
      <c r="E8" s="349" t="s">
        <v>2774</v>
      </c>
      <c r="F8" s="137">
        <v>340</v>
      </c>
      <c r="G8" s="7"/>
    </row>
    <row r="9" spans="2:7" ht="15.75" x14ac:dyDescent="0.25">
      <c r="B9" s="215">
        <v>46063</v>
      </c>
      <c r="C9" s="200">
        <v>209</v>
      </c>
      <c r="D9" s="46" t="s">
        <v>2703</v>
      </c>
      <c r="E9" s="354" t="s">
        <v>2777</v>
      </c>
      <c r="F9" s="221">
        <v>250</v>
      </c>
      <c r="G9" s="7"/>
    </row>
    <row r="10" spans="2:7" ht="31.5" x14ac:dyDescent="0.25">
      <c r="B10" s="124">
        <v>46065</v>
      </c>
      <c r="C10" s="125">
        <v>210</v>
      </c>
      <c r="D10" s="46" t="s">
        <v>2708</v>
      </c>
      <c r="E10" s="350" t="s">
        <v>2775</v>
      </c>
      <c r="F10" s="209">
        <v>200</v>
      </c>
      <c r="G10" s="7"/>
    </row>
    <row r="11" spans="2:7" ht="31.5" x14ac:dyDescent="0.25">
      <c r="B11" s="215">
        <v>46065</v>
      </c>
      <c r="C11" s="200">
        <v>211</v>
      </c>
      <c r="D11" s="46" t="s">
        <v>2709</v>
      </c>
      <c r="E11" s="350" t="s">
        <v>2775</v>
      </c>
      <c r="F11" s="221">
        <v>200</v>
      </c>
      <c r="G11" s="7"/>
    </row>
    <row r="12" spans="2:7" ht="30" x14ac:dyDescent="0.25">
      <c r="B12" s="124">
        <v>46065</v>
      </c>
      <c r="C12" s="125">
        <v>212</v>
      </c>
      <c r="D12" s="26" t="s">
        <v>2705</v>
      </c>
      <c r="E12" s="353" t="s">
        <v>2778</v>
      </c>
      <c r="F12" s="209">
        <v>100</v>
      </c>
      <c r="G12" s="7"/>
    </row>
    <row r="13" spans="2:7" ht="31.5" x14ac:dyDescent="0.25">
      <c r="B13" s="124">
        <v>46065</v>
      </c>
      <c r="C13" s="125">
        <v>213</v>
      </c>
      <c r="D13" s="46" t="s">
        <v>2704</v>
      </c>
      <c r="E13" s="353" t="s">
        <v>2778</v>
      </c>
      <c r="F13" s="209">
        <v>200</v>
      </c>
      <c r="G13" s="7"/>
    </row>
    <row r="14" spans="2:7" ht="31.5" x14ac:dyDescent="0.25">
      <c r="B14" s="124">
        <v>46065</v>
      </c>
      <c r="C14" s="125">
        <v>214</v>
      </c>
      <c r="D14" s="46" t="s">
        <v>2706</v>
      </c>
      <c r="E14" s="353" t="s">
        <v>2778</v>
      </c>
      <c r="F14" s="209">
        <v>200</v>
      </c>
    </row>
    <row r="15" spans="2:7" ht="31.5" x14ac:dyDescent="0.25">
      <c r="B15" s="124">
        <v>46065</v>
      </c>
      <c r="C15" s="125">
        <v>216</v>
      </c>
      <c r="D15" s="46" t="s">
        <v>2707</v>
      </c>
      <c r="E15" s="353" t="s">
        <v>2778</v>
      </c>
      <c r="F15" s="209">
        <v>400</v>
      </c>
    </row>
    <row r="16" spans="2:7" ht="15.75" x14ac:dyDescent="0.25">
      <c r="B16" s="28">
        <v>46065</v>
      </c>
      <c r="C16" s="271">
        <v>217</v>
      </c>
      <c r="D16" s="30" t="s">
        <v>2710</v>
      </c>
      <c r="E16" s="351" t="s">
        <v>2775</v>
      </c>
      <c r="F16" s="209">
        <v>200</v>
      </c>
      <c r="G16" s="7"/>
    </row>
    <row r="17" spans="1:9" ht="31.5" x14ac:dyDescent="0.25">
      <c r="B17" s="124">
        <v>46065</v>
      </c>
      <c r="C17" s="125">
        <v>218</v>
      </c>
      <c r="D17" s="46" t="s">
        <v>2711</v>
      </c>
      <c r="E17" s="354" t="s">
        <v>2777</v>
      </c>
      <c r="F17" s="209">
        <v>50</v>
      </c>
    </row>
    <row r="18" spans="1:9" ht="31.5" x14ac:dyDescent="0.25">
      <c r="B18" s="124">
        <v>46069</v>
      </c>
      <c r="C18" s="125">
        <v>219</v>
      </c>
      <c r="D18" s="46" t="s">
        <v>2712</v>
      </c>
      <c r="E18" s="355" t="s">
        <v>2779</v>
      </c>
      <c r="F18" s="209">
        <v>100</v>
      </c>
      <c r="G18" s="7"/>
    </row>
    <row r="19" spans="1:9" ht="31.5" x14ac:dyDescent="0.25">
      <c r="B19" s="124">
        <v>46070</v>
      </c>
      <c r="C19" s="125">
        <v>220</v>
      </c>
      <c r="D19" s="46" t="s">
        <v>2713</v>
      </c>
      <c r="E19" s="349" t="s">
        <v>2780</v>
      </c>
      <c r="F19" s="209">
        <v>384</v>
      </c>
      <c r="G19" s="7"/>
    </row>
    <row r="20" spans="1:9" ht="31.5" x14ac:dyDescent="0.25">
      <c r="B20" s="124">
        <v>46070</v>
      </c>
      <c r="C20" s="125">
        <v>221</v>
      </c>
      <c r="D20" s="46" t="s">
        <v>2714</v>
      </c>
      <c r="E20" s="352" t="s">
        <v>2776</v>
      </c>
      <c r="F20" s="209">
        <v>45</v>
      </c>
      <c r="G20" s="7"/>
    </row>
    <row r="21" spans="1:9" ht="15.75" x14ac:dyDescent="0.25">
      <c r="B21" s="124">
        <v>46070</v>
      </c>
      <c r="C21" s="125">
        <v>222</v>
      </c>
      <c r="D21" s="46" t="s">
        <v>2715</v>
      </c>
      <c r="E21" s="354" t="s">
        <v>2777</v>
      </c>
      <c r="F21" s="209">
        <v>40</v>
      </c>
    </row>
    <row r="22" spans="1:9" ht="29.25" customHeight="1" x14ac:dyDescent="0.25">
      <c r="B22" s="124">
        <v>46070</v>
      </c>
      <c r="C22" s="125">
        <v>223</v>
      </c>
      <c r="D22" s="46" t="s">
        <v>2716</v>
      </c>
      <c r="E22" s="354" t="s">
        <v>2777</v>
      </c>
      <c r="F22" s="209">
        <v>30</v>
      </c>
    </row>
    <row r="23" spans="1:9" ht="30.75" customHeight="1" x14ac:dyDescent="0.25">
      <c r="B23" s="124">
        <v>46071</v>
      </c>
      <c r="C23" s="125">
        <v>224</v>
      </c>
      <c r="D23" s="46" t="s">
        <v>2717</v>
      </c>
      <c r="E23" s="356" t="s">
        <v>2781</v>
      </c>
      <c r="F23" s="209">
        <v>30</v>
      </c>
      <c r="G23" s="7"/>
    </row>
    <row r="24" spans="1:9" ht="30" customHeight="1" x14ac:dyDescent="0.25">
      <c r="B24" s="124">
        <v>46073</v>
      </c>
      <c r="C24" s="125">
        <v>225</v>
      </c>
      <c r="D24" s="46" t="s">
        <v>2718</v>
      </c>
      <c r="E24" s="44" t="s">
        <v>2782</v>
      </c>
      <c r="F24" s="209">
        <v>558</v>
      </c>
      <c r="G24" s="7"/>
    </row>
    <row r="25" spans="1:9" ht="15.75" x14ac:dyDescent="0.25">
      <c r="B25" s="124">
        <v>46073</v>
      </c>
      <c r="C25" s="125">
        <v>226</v>
      </c>
      <c r="D25" s="46" t="s">
        <v>2719</v>
      </c>
      <c r="E25" s="354" t="s">
        <v>2777</v>
      </c>
      <c r="F25" s="209">
        <v>33.5</v>
      </c>
    </row>
    <row r="26" spans="1:9" ht="31.5" x14ac:dyDescent="0.25">
      <c r="B26" s="124">
        <v>46074</v>
      </c>
      <c r="C26" s="125">
        <v>227</v>
      </c>
      <c r="D26" s="46" t="s">
        <v>2720</v>
      </c>
      <c r="E26" s="353" t="s">
        <v>2778</v>
      </c>
      <c r="F26" s="230">
        <v>100</v>
      </c>
      <c r="G26" s="7"/>
    </row>
    <row r="27" spans="1:9" ht="31.5" x14ac:dyDescent="0.25">
      <c r="B27" s="124">
        <v>46074</v>
      </c>
      <c r="C27" s="125">
        <v>228</v>
      </c>
      <c r="D27" s="46" t="s">
        <v>2721</v>
      </c>
      <c r="E27" s="353" t="s">
        <v>2778</v>
      </c>
      <c r="F27" s="209">
        <v>200</v>
      </c>
      <c r="I27" s="7"/>
    </row>
    <row r="28" spans="1:9" ht="31.5" x14ac:dyDescent="0.25">
      <c r="B28" s="124">
        <v>46074</v>
      </c>
      <c r="C28" s="125">
        <v>229</v>
      </c>
      <c r="D28" s="46" t="s">
        <v>2721</v>
      </c>
      <c r="E28" s="353" t="s">
        <v>2778</v>
      </c>
      <c r="F28" s="209">
        <v>100</v>
      </c>
      <c r="G28" s="7"/>
      <c r="I28" s="7"/>
    </row>
    <row r="29" spans="1:9" ht="15.75" x14ac:dyDescent="0.25">
      <c r="B29" s="124">
        <v>46074</v>
      </c>
      <c r="C29" s="125">
        <v>230</v>
      </c>
      <c r="D29" s="46" t="s">
        <v>2722</v>
      </c>
      <c r="E29" s="358" t="s">
        <v>2777</v>
      </c>
      <c r="F29" s="209">
        <v>210</v>
      </c>
    </row>
    <row r="30" spans="1:9" ht="15.75" x14ac:dyDescent="0.25">
      <c r="B30" s="124">
        <v>46074</v>
      </c>
      <c r="C30" s="125">
        <v>231</v>
      </c>
      <c r="D30" s="46" t="s">
        <v>2723</v>
      </c>
      <c r="E30" s="357" t="s">
        <v>2787</v>
      </c>
      <c r="F30" s="209">
        <v>160</v>
      </c>
    </row>
    <row r="31" spans="1:9" ht="31.5" x14ac:dyDescent="0.25">
      <c r="A31" s="141"/>
      <c r="B31" s="124">
        <v>46074</v>
      </c>
      <c r="C31" s="125">
        <v>232</v>
      </c>
      <c r="D31" s="46" t="s">
        <v>2756</v>
      </c>
      <c r="E31" s="349" t="s">
        <v>2774</v>
      </c>
      <c r="F31" s="209">
        <v>69</v>
      </c>
    </row>
    <row r="32" spans="1:9" ht="31.5" x14ac:dyDescent="0.25">
      <c r="B32" s="124">
        <v>46078</v>
      </c>
      <c r="C32" s="125">
        <v>233</v>
      </c>
      <c r="D32" s="46" t="s">
        <v>2757</v>
      </c>
      <c r="E32" s="124" t="s">
        <v>2783</v>
      </c>
      <c r="F32" s="209">
        <v>400</v>
      </c>
    </row>
    <row r="33" spans="2:7" ht="15.75" x14ac:dyDescent="0.25">
      <c r="B33" s="124">
        <v>46078</v>
      </c>
      <c r="C33" s="125">
        <v>235</v>
      </c>
      <c r="D33" s="46" t="s">
        <v>2758</v>
      </c>
      <c r="E33" s="352" t="s">
        <v>2784</v>
      </c>
      <c r="F33" s="209">
        <v>38</v>
      </c>
    </row>
    <row r="34" spans="2:7" ht="15.75" x14ac:dyDescent="0.25">
      <c r="B34" s="124">
        <v>46078</v>
      </c>
      <c r="C34" s="125">
        <v>236</v>
      </c>
      <c r="D34" s="46" t="s">
        <v>2759</v>
      </c>
      <c r="E34" s="357" t="s">
        <v>2787</v>
      </c>
      <c r="F34" s="209">
        <v>125</v>
      </c>
    </row>
    <row r="35" spans="2:7" ht="15.75" x14ac:dyDescent="0.25">
      <c r="B35" s="124">
        <v>46078</v>
      </c>
      <c r="C35" s="125">
        <v>237</v>
      </c>
      <c r="D35" s="46" t="s">
        <v>2760</v>
      </c>
      <c r="E35" s="349" t="s">
        <v>2774</v>
      </c>
      <c r="F35" s="209">
        <v>25</v>
      </c>
      <c r="G35" s="7"/>
    </row>
    <row r="36" spans="2:7" ht="31.5" x14ac:dyDescent="0.25">
      <c r="B36" s="124">
        <v>46078</v>
      </c>
      <c r="C36" s="125">
        <v>238</v>
      </c>
      <c r="D36" s="46" t="s">
        <v>2761</v>
      </c>
      <c r="E36" s="357" t="s">
        <v>2787</v>
      </c>
      <c r="F36" s="209">
        <v>30</v>
      </c>
    </row>
    <row r="37" spans="2:7" ht="15.75" x14ac:dyDescent="0.25">
      <c r="B37" s="124">
        <v>46081</v>
      </c>
      <c r="C37" s="125">
        <v>239</v>
      </c>
      <c r="D37" s="46" t="s">
        <v>2762</v>
      </c>
      <c r="E37" s="349" t="s">
        <v>2774</v>
      </c>
      <c r="F37" s="209">
        <v>1800</v>
      </c>
      <c r="G37" s="7"/>
    </row>
    <row r="38" spans="2:7" ht="15.75" x14ac:dyDescent="0.25">
      <c r="B38" s="124"/>
      <c r="C38" s="125"/>
      <c r="D38" s="26"/>
      <c r="E38" s="124"/>
      <c r="F38" s="27"/>
    </row>
    <row r="39" spans="2:7" ht="18" thickBot="1" x14ac:dyDescent="0.3">
      <c r="B39" s="171"/>
      <c r="C39" s="172"/>
      <c r="D39" s="173" t="s">
        <v>24</v>
      </c>
      <c r="E39" s="172"/>
      <c r="F39" s="174">
        <f>SUM(F4:F38)</f>
        <v>7168.5</v>
      </c>
    </row>
    <row r="40" spans="2:7" x14ac:dyDescent="0.25">
      <c r="F40" s="7"/>
    </row>
    <row r="44" spans="2:7" ht="15.75" x14ac:dyDescent="0.25">
      <c r="B44" s="423" t="s">
        <v>2388</v>
      </c>
      <c r="C44" s="423"/>
      <c r="D44" s="423"/>
      <c r="E44" s="423"/>
      <c r="F44" s="423"/>
    </row>
    <row r="45" spans="2:7" ht="15.75" x14ac:dyDescent="0.25">
      <c r="B45" s="207" t="s">
        <v>22</v>
      </c>
      <c r="C45" s="207" t="s">
        <v>72</v>
      </c>
      <c r="D45" s="207" t="s">
        <v>23</v>
      </c>
      <c r="E45" s="207" t="s">
        <v>73</v>
      </c>
      <c r="F45" s="208" t="s">
        <v>10</v>
      </c>
    </row>
    <row r="46" spans="2:7" ht="15.75" x14ac:dyDescent="0.25">
      <c r="B46" s="124"/>
      <c r="C46" s="125"/>
      <c r="D46" s="46"/>
      <c r="E46" s="124"/>
      <c r="F46" s="209"/>
    </row>
    <row r="47" spans="2:7" ht="15.75" x14ac:dyDescent="0.25">
      <c r="B47" s="124"/>
      <c r="C47" s="125"/>
      <c r="D47" s="46"/>
      <c r="E47" s="124"/>
      <c r="F47" s="209"/>
    </row>
    <row r="48" spans="2:7" ht="15.75" x14ac:dyDescent="0.25">
      <c r="B48" s="124"/>
      <c r="C48" s="125"/>
      <c r="D48" s="46"/>
      <c r="E48" s="124"/>
      <c r="F48" s="27"/>
    </row>
    <row r="49" spans="2:14" ht="15.75" x14ac:dyDescent="0.25">
      <c r="B49" s="124"/>
      <c r="C49" s="125"/>
      <c r="D49" s="46"/>
      <c r="E49" s="124"/>
      <c r="F49" s="27"/>
    </row>
    <row r="50" spans="2:14" ht="15.75" x14ac:dyDescent="0.25">
      <c r="B50" s="124"/>
      <c r="C50" s="125"/>
      <c r="D50" s="46"/>
      <c r="E50" s="124"/>
      <c r="F50" s="209"/>
    </row>
    <row r="51" spans="2:14" ht="15.75" x14ac:dyDescent="0.25">
      <c r="B51" s="124"/>
      <c r="C51" s="125"/>
      <c r="D51" s="46"/>
      <c r="E51" s="124"/>
      <c r="F51" s="209"/>
    </row>
    <row r="52" spans="2:14" ht="15.75" x14ac:dyDescent="0.25">
      <c r="B52" s="124"/>
      <c r="C52" s="125"/>
      <c r="D52" s="46"/>
      <c r="E52" s="124"/>
      <c r="F52" s="209"/>
    </row>
    <row r="53" spans="2:14" ht="15.75" x14ac:dyDescent="0.25">
      <c r="B53" s="124"/>
      <c r="C53" s="125"/>
      <c r="D53" s="46"/>
      <c r="E53" s="124"/>
      <c r="F53" s="209"/>
    </row>
    <row r="54" spans="2:14" ht="15.75" x14ac:dyDescent="0.25">
      <c r="B54" s="124"/>
      <c r="C54" s="125"/>
      <c r="D54" s="46"/>
      <c r="E54" s="124"/>
      <c r="F54" s="27"/>
    </row>
    <row r="55" spans="2:14" ht="15.75" x14ac:dyDescent="0.25">
      <c r="B55" s="124"/>
      <c r="C55" s="125"/>
      <c r="D55" s="46"/>
      <c r="E55" s="124"/>
      <c r="F55" s="27"/>
    </row>
    <row r="56" spans="2:14" ht="15.75" x14ac:dyDescent="0.25">
      <c r="B56" s="124"/>
      <c r="C56" s="125"/>
      <c r="D56" s="46"/>
      <c r="E56" s="124"/>
      <c r="F56" s="27"/>
    </row>
    <row r="57" spans="2:14" ht="15.75" x14ac:dyDescent="0.25">
      <c r="B57" s="124"/>
      <c r="C57" s="125"/>
      <c r="D57" s="46"/>
      <c r="E57" s="124"/>
      <c r="F57" s="27"/>
      <c r="N57" t="s">
        <v>51</v>
      </c>
    </row>
    <row r="58" spans="2:14" ht="15.75" x14ac:dyDescent="0.25">
      <c r="B58" s="124"/>
      <c r="C58" s="125"/>
      <c r="D58" s="46"/>
      <c r="E58" s="124"/>
      <c r="F58" s="27"/>
    </row>
    <row r="59" spans="2:14" ht="15.75" x14ac:dyDescent="0.25">
      <c r="B59" s="124"/>
      <c r="C59" s="125"/>
      <c r="D59" s="46"/>
      <c r="E59" s="124"/>
      <c r="F59" s="27"/>
    </row>
    <row r="60" spans="2:14" ht="17.25" x14ac:dyDescent="0.3">
      <c r="B60" s="41"/>
      <c r="C60" s="87"/>
      <c r="D60" s="42" t="s">
        <v>2386</v>
      </c>
      <c r="E60" s="87"/>
      <c r="F60" s="94">
        <f>SUBTOTAL(109,F46:F59)</f>
        <v>0</v>
      </c>
    </row>
    <row r="63" spans="2:14" ht="15.75" x14ac:dyDescent="0.25">
      <c r="B63" s="49"/>
      <c r="C63" s="50"/>
      <c r="D63" s="50" t="s">
        <v>2773</v>
      </c>
      <c r="E63" s="50"/>
      <c r="F63" s="51"/>
    </row>
    <row r="64" spans="2:14" ht="15.75" x14ac:dyDescent="0.25">
      <c r="B64" s="29" t="s">
        <v>22</v>
      </c>
      <c r="C64" s="29" t="s">
        <v>2392</v>
      </c>
      <c r="D64" s="29" t="s">
        <v>23</v>
      </c>
      <c r="E64" s="29" t="s">
        <v>73</v>
      </c>
      <c r="F64" s="40" t="s">
        <v>10</v>
      </c>
    </row>
    <row r="65" spans="2:6" ht="15.75" x14ac:dyDescent="0.25">
      <c r="B65" s="28" t="s">
        <v>51</v>
      </c>
      <c r="C65" s="271" t="s">
        <v>51</v>
      </c>
      <c r="D65" s="30" t="s">
        <v>51</v>
      </c>
      <c r="E65" s="28" t="s">
        <v>51</v>
      </c>
      <c r="F65" s="31" t="s">
        <v>51</v>
      </c>
    </row>
    <row r="66" spans="2:6" ht="15.75" x14ac:dyDescent="0.25">
      <c r="B66" s="28"/>
      <c r="C66" s="28"/>
      <c r="D66" s="30"/>
      <c r="E66" s="28"/>
      <c r="F66" s="31"/>
    </row>
    <row r="67" spans="2:6" ht="15.75" x14ac:dyDescent="0.25">
      <c r="B67" s="28"/>
      <c r="C67" s="28"/>
      <c r="D67" s="30"/>
      <c r="E67" s="28"/>
      <c r="F67" s="31"/>
    </row>
    <row r="68" spans="2:6" ht="15.75" x14ac:dyDescent="0.25">
      <c r="B68" s="28"/>
      <c r="C68" s="28"/>
      <c r="D68" s="30"/>
      <c r="E68" s="28"/>
      <c r="F68" s="31"/>
    </row>
    <row r="69" spans="2:6" ht="17.25" x14ac:dyDescent="0.3">
      <c r="B69" s="43"/>
      <c r="C69" s="88"/>
      <c r="D69" s="42" t="s">
        <v>25</v>
      </c>
      <c r="E69" s="88"/>
      <c r="F69" s="94">
        <f>SUBTOTAL(109,F65:F68)</f>
        <v>0</v>
      </c>
    </row>
  </sheetData>
  <autoFilter ref="B3:F39" xr:uid="{54C2793A-DF25-46E5-931F-57DEC44AE431}"/>
  <mergeCells count="2">
    <mergeCell ref="B2:F2"/>
    <mergeCell ref="B44:F44"/>
  </mergeCells>
  <pageMargins left="0.25" right="0.25" top="0.75" bottom="0.75" header="0.3" footer="0.3"/>
  <pageSetup scale="46" fitToHeight="0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EE2E-6F42-4688-AC50-591934050E0A}">
  <sheetPr>
    <pageSetUpPr fitToPage="1"/>
  </sheetPr>
  <dimension ref="B1:I36"/>
  <sheetViews>
    <sheetView workbookViewId="0">
      <selection activeCell="B1" sqref="B1:H37"/>
    </sheetView>
  </sheetViews>
  <sheetFormatPr baseColWidth="10" defaultRowHeight="15" x14ac:dyDescent="0.25"/>
  <cols>
    <col min="1" max="1" width="2.28515625" customWidth="1"/>
    <col min="2" max="2" width="3.85546875" customWidth="1"/>
    <col min="3" max="3" width="12.5703125" customWidth="1"/>
    <col min="4" max="4" width="12.140625" customWidth="1"/>
    <col min="6" max="6" width="55.28515625" customWidth="1"/>
    <col min="7" max="7" width="15.42578125" bestFit="1" customWidth="1"/>
    <col min="8" max="8" width="3.85546875" customWidth="1"/>
  </cols>
  <sheetData>
    <row r="1" spans="2:9" ht="21" x14ac:dyDescent="0.25">
      <c r="D1" s="56" t="s">
        <v>2771</v>
      </c>
    </row>
    <row r="2" spans="2:9" ht="10.5" customHeight="1" x14ac:dyDescent="0.25">
      <c r="D2" s="56"/>
    </row>
    <row r="3" spans="2:9" x14ac:dyDescent="0.25">
      <c r="B3" s="57"/>
      <c r="C3" s="58"/>
      <c r="D3" s="58"/>
      <c r="E3" s="58"/>
      <c r="F3" s="58"/>
      <c r="G3" s="58"/>
      <c r="H3" s="59"/>
    </row>
    <row r="4" spans="2:9" ht="18.75" x14ac:dyDescent="0.3">
      <c r="B4" s="60"/>
      <c r="C4" s="62"/>
      <c r="D4" s="63"/>
      <c r="E4" s="64" t="s">
        <v>58</v>
      </c>
      <c r="F4" s="64"/>
      <c r="G4" s="64" t="s">
        <v>10</v>
      </c>
      <c r="H4" s="61"/>
      <c r="I4" t="s">
        <v>51</v>
      </c>
    </row>
    <row r="5" spans="2:9" ht="18.75" x14ac:dyDescent="0.25">
      <c r="B5" s="60"/>
      <c r="C5" s="65" t="s">
        <v>59</v>
      </c>
      <c r="D5" s="66"/>
      <c r="E5" s="66"/>
      <c r="F5" s="66"/>
      <c r="H5" s="61"/>
    </row>
    <row r="6" spans="2:9" ht="14.25" customHeight="1" x14ac:dyDescent="0.25">
      <c r="B6" s="60"/>
      <c r="D6" s="67" t="s">
        <v>60</v>
      </c>
      <c r="E6" s="68">
        <v>94</v>
      </c>
      <c r="F6" s="69">
        <v>2291</v>
      </c>
      <c r="G6" s="428">
        <f>SUM(F6:F11)</f>
        <v>5276.5</v>
      </c>
      <c r="H6" s="61"/>
    </row>
    <row r="7" spans="2:9" ht="14.25" customHeight="1" x14ac:dyDescent="0.25">
      <c r="B7" s="60"/>
      <c r="D7" s="70" t="s">
        <v>61</v>
      </c>
      <c r="E7" s="68">
        <v>76</v>
      </c>
      <c r="F7" s="69">
        <v>2237.5</v>
      </c>
      <c r="G7" s="428"/>
      <c r="H7" s="61"/>
    </row>
    <row r="8" spans="2:9" ht="14.25" customHeight="1" x14ac:dyDescent="0.25">
      <c r="B8" s="60"/>
      <c r="D8" s="67" t="s">
        <v>62</v>
      </c>
      <c r="E8" s="68">
        <v>17</v>
      </c>
      <c r="F8" s="69">
        <v>451.5</v>
      </c>
      <c r="G8" s="428"/>
      <c r="H8" s="61"/>
    </row>
    <row r="9" spans="2:9" ht="14.25" customHeight="1" x14ac:dyDescent="0.25">
      <c r="B9" s="60"/>
      <c r="D9" s="67" t="s">
        <v>63</v>
      </c>
      <c r="E9" s="68">
        <v>15</v>
      </c>
      <c r="F9" s="69">
        <v>196.5</v>
      </c>
      <c r="G9" s="428"/>
      <c r="H9" s="61"/>
    </row>
    <row r="10" spans="2:9" ht="14.25" customHeight="1" x14ac:dyDescent="0.25">
      <c r="B10" s="60"/>
      <c r="D10" s="67" t="s">
        <v>64</v>
      </c>
      <c r="E10" s="68">
        <v>1</v>
      </c>
      <c r="F10" s="69">
        <v>6.5</v>
      </c>
      <c r="G10" s="428"/>
      <c r="H10" s="61"/>
    </row>
    <row r="11" spans="2:9" ht="14.25" customHeight="1" x14ac:dyDescent="0.25">
      <c r="B11" s="60"/>
      <c r="D11" s="67" t="s">
        <v>65</v>
      </c>
      <c r="E11" s="68">
        <v>5</v>
      </c>
      <c r="F11" s="69">
        <v>93.5</v>
      </c>
      <c r="G11" s="428"/>
      <c r="H11" s="61"/>
    </row>
    <row r="12" spans="2:9" ht="14.25" customHeight="1" x14ac:dyDescent="0.25">
      <c r="B12" s="60"/>
      <c r="C12" s="66"/>
      <c r="D12" s="65" t="s">
        <v>1347</v>
      </c>
      <c r="E12" s="65">
        <f>SUM(E6:E11)</f>
        <v>208</v>
      </c>
      <c r="F12" s="83"/>
      <c r="G12" s="71"/>
      <c r="H12" s="61"/>
    </row>
    <row r="13" spans="2:9" ht="18.75" x14ac:dyDescent="0.25">
      <c r="B13" s="60"/>
      <c r="C13" s="429" t="s">
        <v>1350</v>
      </c>
      <c r="D13" s="429"/>
      <c r="E13" s="429"/>
      <c r="F13" s="429"/>
      <c r="G13" s="71">
        <v>0</v>
      </c>
      <c r="H13" s="61"/>
    </row>
    <row r="14" spans="2:9" ht="18.75" x14ac:dyDescent="0.25">
      <c r="B14" s="60"/>
      <c r="C14" s="65" t="s">
        <v>2790</v>
      </c>
      <c r="D14" s="66"/>
      <c r="E14" s="66"/>
      <c r="F14" s="66"/>
      <c r="G14" s="71">
        <v>700</v>
      </c>
      <c r="H14" s="61"/>
    </row>
    <row r="15" spans="2:9" ht="18.75" x14ac:dyDescent="0.25">
      <c r="B15" s="60"/>
      <c r="C15" s="65" t="s">
        <v>1349</v>
      </c>
      <c r="D15" s="66"/>
      <c r="E15" s="66"/>
      <c r="F15" s="66"/>
      <c r="G15" s="71">
        <v>496.3</v>
      </c>
      <c r="H15" s="61"/>
    </row>
    <row r="16" spans="2:9" ht="18.75" x14ac:dyDescent="0.25">
      <c r="B16" s="60"/>
      <c r="C16" s="65" t="s">
        <v>2357</v>
      </c>
      <c r="D16" s="66"/>
      <c r="E16" s="66"/>
      <c r="F16" s="66"/>
      <c r="G16" s="71">
        <v>7860</v>
      </c>
      <c r="H16" s="61"/>
    </row>
    <row r="17" spans="2:8" ht="18.75" x14ac:dyDescent="0.25">
      <c r="B17" s="60"/>
      <c r="C17" s="65" t="s">
        <v>66</v>
      </c>
      <c r="D17" s="66"/>
      <c r="E17" s="66"/>
      <c r="F17" s="66"/>
      <c r="G17" s="71">
        <v>5</v>
      </c>
      <c r="H17" s="61"/>
    </row>
    <row r="18" spans="2:8" ht="18.75" x14ac:dyDescent="0.25">
      <c r="B18" s="60"/>
      <c r="C18" s="66"/>
      <c r="D18" s="66"/>
      <c r="E18" s="66"/>
      <c r="F18" s="72" t="s">
        <v>67</v>
      </c>
      <c r="G18" s="73">
        <f>SUM(G6:G17)</f>
        <v>14337.8</v>
      </c>
      <c r="H18" s="61"/>
    </row>
    <row r="19" spans="2:8" ht="18.75" x14ac:dyDescent="0.25">
      <c r="B19" s="60"/>
      <c r="C19" s="66"/>
      <c r="D19" s="66"/>
      <c r="E19" s="66"/>
      <c r="F19" s="66"/>
      <c r="G19" s="66"/>
      <c r="H19" s="61"/>
    </row>
    <row r="20" spans="2:8" ht="18.75" x14ac:dyDescent="0.25">
      <c r="B20" s="60"/>
      <c r="C20" s="74"/>
      <c r="D20" s="75"/>
      <c r="E20" s="74" t="s">
        <v>68</v>
      </c>
      <c r="F20" s="75"/>
      <c r="G20" s="64" t="s">
        <v>10</v>
      </c>
      <c r="H20" s="61"/>
    </row>
    <row r="21" spans="2:8" ht="18.75" x14ac:dyDescent="0.25">
      <c r="B21" s="60"/>
      <c r="C21" s="427" t="s">
        <v>2791</v>
      </c>
      <c r="D21" s="427"/>
      <c r="E21" s="427"/>
      <c r="F21" s="427"/>
      <c r="G21" s="82">
        <v>315</v>
      </c>
      <c r="H21" s="61"/>
    </row>
    <row r="22" spans="2:8" ht="23.25" customHeight="1" x14ac:dyDescent="0.25">
      <c r="B22" s="60"/>
      <c r="C22" s="427" t="s">
        <v>2792</v>
      </c>
      <c r="D22" s="427"/>
      <c r="E22" s="427"/>
      <c r="F22" s="427"/>
      <c r="G22" s="82">
        <v>1800</v>
      </c>
      <c r="H22" s="61"/>
    </row>
    <row r="23" spans="2:8" ht="30.75" customHeight="1" x14ac:dyDescent="0.25">
      <c r="B23" s="60"/>
      <c r="C23" s="426" t="s">
        <v>2793</v>
      </c>
      <c r="D23" s="426"/>
      <c r="E23" s="426"/>
      <c r="F23" s="426"/>
      <c r="G23" s="82">
        <v>900</v>
      </c>
      <c r="H23" s="61"/>
    </row>
    <row r="24" spans="2:8" ht="18.75" x14ac:dyDescent="0.25">
      <c r="B24" s="60"/>
      <c r="C24" s="374" t="s">
        <v>2794</v>
      </c>
      <c r="D24" s="345"/>
      <c r="E24" s="345"/>
      <c r="F24" s="345"/>
      <c r="G24" s="82">
        <v>583.5</v>
      </c>
      <c r="H24" s="61"/>
    </row>
    <row r="25" spans="2:8" ht="18.75" x14ac:dyDescent="0.25">
      <c r="B25" s="60"/>
      <c r="C25" s="427" t="s">
        <v>2795</v>
      </c>
      <c r="D25" s="427"/>
      <c r="E25" s="427"/>
      <c r="F25" s="427"/>
      <c r="G25" s="82">
        <v>130</v>
      </c>
      <c r="H25" s="61"/>
    </row>
    <row r="26" spans="2:8" ht="18.75" x14ac:dyDescent="0.25">
      <c r="B26" s="60"/>
      <c r="C26" s="424" t="s">
        <v>2796</v>
      </c>
      <c r="D26" s="424"/>
      <c r="E26" s="424"/>
      <c r="F26" s="424"/>
      <c r="G26" s="82">
        <v>1027</v>
      </c>
      <c r="H26" s="61"/>
    </row>
    <row r="27" spans="2:8" ht="18.75" x14ac:dyDescent="0.25">
      <c r="B27" s="60"/>
      <c r="C27" s="425" t="s">
        <v>2789</v>
      </c>
      <c r="D27" s="425"/>
      <c r="E27" s="425"/>
      <c r="F27" s="425"/>
      <c r="G27" s="82">
        <v>558</v>
      </c>
      <c r="H27" s="61"/>
    </row>
    <row r="28" spans="2:8" ht="18.75" x14ac:dyDescent="0.25">
      <c r="B28" s="60"/>
      <c r="C28" s="76" t="s">
        <v>2797</v>
      </c>
      <c r="D28" s="76"/>
      <c r="E28" s="76"/>
      <c r="F28" s="76"/>
      <c r="G28" s="82">
        <v>1300</v>
      </c>
      <c r="H28" s="61"/>
    </row>
    <row r="29" spans="2:8" ht="18.75" x14ac:dyDescent="0.25">
      <c r="B29" s="60"/>
      <c r="C29" s="76" t="s">
        <v>2798</v>
      </c>
      <c r="D29" s="76"/>
      <c r="E29" s="76"/>
      <c r="F29" s="76" t="s">
        <v>2788</v>
      </c>
      <c r="G29" s="82">
        <v>400</v>
      </c>
      <c r="H29" s="61"/>
    </row>
    <row r="30" spans="2:8" ht="27.75" customHeight="1" x14ac:dyDescent="0.25">
      <c r="B30" s="60"/>
      <c r="C30" s="426" t="s">
        <v>2799</v>
      </c>
      <c r="D30" s="426"/>
      <c r="E30" s="426"/>
      <c r="F30" s="426"/>
      <c r="G30" s="82">
        <v>30</v>
      </c>
      <c r="H30" s="61"/>
    </row>
    <row r="31" spans="2:8" ht="18.75" x14ac:dyDescent="0.25">
      <c r="B31" s="60"/>
      <c r="C31" s="427" t="s">
        <v>2800</v>
      </c>
      <c r="D31" s="427"/>
      <c r="E31" s="427"/>
      <c r="F31" s="427"/>
      <c r="G31" s="82">
        <v>125</v>
      </c>
      <c r="H31" s="61"/>
    </row>
    <row r="32" spans="2:8" ht="18.75" x14ac:dyDescent="0.25">
      <c r="B32" s="60"/>
      <c r="C32" s="76"/>
      <c r="D32" s="76"/>
      <c r="E32" s="76"/>
      <c r="F32" s="76"/>
      <c r="G32" s="71"/>
      <c r="H32" s="61"/>
    </row>
    <row r="33" spans="2:8" ht="18.75" x14ac:dyDescent="0.25">
      <c r="B33" s="60"/>
      <c r="C33" s="76"/>
      <c r="D33" s="76"/>
      <c r="E33" s="76"/>
      <c r="F33" s="72" t="s">
        <v>27</v>
      </c>
      <c r="G33" s="73">
        <f>SUM(G21:G31)</f>
        <v>7168.5</v>
      </c>
      <c r="H33" s="61"/>
    </row>
    <row r="34" spans="2:8" ht="18.75" x14ac:dyDescent="0.25">
      <c r="B34" s="60"/>
      <c r="C34" s="76"/>
      <c r="D34" s="76"/>
      <c r="E34" s="76"/>
      <c r="F34" s="76"/>
      <c r="G34" s="71"/>
      <c r="H34" s="61"/>
    </row>
    <row r="35" spans="2:8" ht="21" x14ac:dyDescent="0.25">
      <c r="B35" s="60"/>
      <c r="C35" s="67"/>
      <c r="D35" s="66"/>
      <c r="E35" s="66"/>
      <c r="F35" s="77" t="s">
        <v>70</v>
      </c>
      <c r="G35" s="78">
        <f>G18-G33</f>
        <v>7169.2999999999993</v>
      </c>
      <c r="H35" s="61"/>
    </row>
    <row r="36" spans="2:8" x14ac:dyDescent="0.25">
      <c r="B36" s="79"/>
      <c r="C36" s="80"/>
      <c r="D36" s="80"/>
      <c r="E36" s="80"/>
      <c r="F36" s="80"/>
      <c r="G36" s="80"/>
      <c r="H36" s="81"/>
    </row>
  </sheetData>
  <mergeCells count="10">
    <mergeCell ref="G6:G11"/>
    <mergeCell ref="C13:F13"/>
    <mergeCell ref="C21:F21"/>
    <mergeCell ref="C22:F22"/>
    <mergeCell ref="C23:F23"/>
    <mergeCell ref="C26:F26"/>
    <mergeCell ref="C27:F27"/>
    <mergeCell ref="C30:F30"/>
    <mergeCell ref="C31:F31"/>
    <mergeCell ref="C25:F25"/>
  </mergeCells>
  <pageMargins left="0.25" right="0.25" top="0.75" bottom="0.75" header="0.3" footer="0.3"/>
  <pageSetup scale="79" fitToHeight="0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A4D-ED63-45EC-96F0-139DB423D847}">
  <sheetPr>
    <pageSetUpPr fitToPage="1"/>
  </sheetPr>
  <dimension ref="B2:N46"/>
  <sheetViews>
    <sheetView zoomScale="77" zoomScaleNormal="77" workbookViewId="0">
      <selection activeCell="Q26" sqref="Q26"/>
    </sheetView>
  </sheetViews>
  <sheetFormatPr baseColWidth="10" defaultRowHeight="15" x14ac:dyDescent="0.25"/>
  <cols>
    <col min="1" max="1" width="2.7109375" customWidth="1"/>
    <col min="2" max="2" width="5.140625" customWidth="1"/>
    <col min="3" max="3" width="6.7109375" customWidth="1"/>
    <col min="4" max="4" width="17.7109375" customWidth="1"/>
    <col min="5" max="5" width="8.28515625" customWidth="1"/>
    <col min="6" max="6" width="34.140625" customWidth="1"/>
    <col min="7" max="7" width="21" customWidth="1"/>
    <col min="8" max="8" width="5.42578125" customWidth="1"/>
    <col min="10" max="10" width="15" customWidth="1"/>
    <col min="11" max="11" width="19.5703125" customWidth="1"/>
    <col min="14" max="14" width="14.7109375" customWidth="1"/>
  </cols>
  <sheetData>
    <row r="2" spans="2:9" ht="21" x14ac:dyDescent="0.25">
      <c r="B2" s="434" t="s">
        <v>2389</v>
      </c>
      <c r="C2" s="434"/>
      <c r="D2" s="434"/>
      <c r="E2" s="434"/>
      <c r="F2" s="434"/>
      <c r="G2" s="434"/>
      <c r="H2" s="434"/>
    </row>
    <row r="3" spans="2:9" ht="6.75" customHeight="1" x14ac:dyDescent="0.25">
      <c r="D3" s="56"/>
    </row>
    <row r="4" spans="2:9" x14ac:dyDescent="0.25">
      <c r="B4" s="57"/>
      <c r="C4" s="58"/>
      <c r="D4" s="58"/>
      <c r="E4" s="58"/>
      <c r="F4" s="58"/>
      <c r="G4" s="58"/>
      <c r="H4" s="59"/>
    </row>
    <row r="5" spans="2:9" ht="21" customHeight="1" x14ac:dyDescent="0.25">
      <c r="B5" s="60"/>
      <c r="C5" s="441" t="s">
        <v>2356</v>
      </c>
      <c r="D5" s="441"/>
      <c r="E5" s="441"/>
      <c r="F5" s="441"/>
      <c r="G5" s="196">
        <v>67908.5</v>
      </c>
      <c r="H5" s="61"/>
    </row>
    <row r="6" spans="2:9" ht="13.5" customHeight="1" x14ac:dyDescent="0.25">
      <c r="B6" s="60"/>
      <c r="C6" s="58"/>
      <c r="D6" s="58"/>
      <c r="E6" s="58"/>
      <c r="F6" s="58"/>
      <c r="G6" s="58"/>
      <c r="H6" s="61"/>
    </row>
    <row r="7" spans="2:9" ht="15.75" customHeight="1" x14ac:dyDescent="0.25">
      <c r="B7" s="60"/>
      <c r="C7" s="438" t="s">
        <v>2335</v>
      </c>
      <c r="D7" s="439"/>
      <c r="E7" s="439"/>
      <c r="F7" s="440"/>
      <c r="G7" s="186" t="s">
        <v>10</v>
      </c>
      <c r="H7" s="61"/>
      <c r="I7" s="185"/>
    </row>
    <row r="8" spans="2:9" ht="15.75" customHeight="1" x14ac:dyDescent="0.25">
      <c r="B8" s="60"/>
      <c r="C8" s="443" t="s">
        <v>2336</v>
      </c>
      <c r="D8" s="444"/>
      <c r="E8" s="444"/>
      <c r="F8" s="444"/>
      <c r="G8" s="445"/>
      <c r="H8" s="61"/>
      <c r="I8" s="185"/>
    </row>
    <row r="9" spans="2:9" ht="16.5" customHeight="1" x14ac:dyDescent="0.25">
      <c r="B9" s="60"/>
      <c r="C9" s="431" t="s">
        <v>2337</v>
      </c>
      <c r="D9" s="432"/>
      <c r="E9" s="433"/>
      <c r="F9" s="189">
        <v>12853.5</v>
      </c>
      <c r="G9" s="449">
        <f>SUM(F9:F14)</f>
        <v>24881.1</v>
      </c>
      <c r="H9" s="61"/>
      <c r="I9" s="185"/>
    </row>
    <row r="10" spans="2:9" ht="18" customHeight="1" x14ac:dyDescent="0.25">
      <c r="B10" s="60"/>
      <c r="C10" s="446" t="s">
        <v>2338</v>
      </c>
      <c r="D10" s="447"/>
      <c r="E10" s="448"/>
      <c r="F10" s="189">
        <v>5632.1</v>
      </c>
      <c r="G10" s="450"/>
      <c r="H10" s="61"/>
    </row>
    <row r="11" spans="2:9" ht="16.5" customHeight="1" x14ac:dyDescent="0.25">
      <c r="B11" s="60"/>
      <c r="C11" s="431" t="s">
        <v>2339</v>
      </c>
      <c r="D11" s="432"/>
      <c r="E11" s="433"/>
      <c r="F11" s="189">
        <v>6395.5</v>
      </c>
      <c r="G11" s="451"/>
      <c r="H11" s="61"/>
    </row>
    <row r="12" spans="2:9" ht="2.25" customHeight="1" x14ac:dyDescent="0.25">
      <c r="B12" s="60"/>
      <c r="D12" s="67"/>
      <c r="E12" s="68"/>
      <c r="F12" s="69"/>
      <c r="G12" s="71"/>
      <c r="H12" s="61"/>
    </row>
    <row r="13" spans="2:9" ht="6.75" customHeight="1" x14ac:dyDescent="0.25">
      <c r="B13" s="60"/>
      <c r="D13" s="67"/>
      <c r="E13" s="68"/>
      <c r="F13" s="69"/>
      <c r="G13" s="71"/>
      <c r="H13" s="61"/>
    </row>
    <row r="14" spans="2:9" ht="6" customHeight="1" x14ac:dyDescent="0.25">
      <c r="B14" s="60"/>
      <c r="D14" s="67"/>
      <c r="E14" s="68"/>
      <c r="F14" s="69"/>
      <c r="G14" s="71"/>
      <c r="H14" s="61"/>
    </row>
    <row r="15" spans="2:9" ht="18.75" x14ac:dyDescent="0.25">
      <c r="B15" s="60"/>
      <c r="C15" s="66"/>
      <c r="D15" s="66"/>
      <c r="E15" s="66"/>
      <c r="F15" s="72" t="s">
        <v>67</v>
      </c>
      <c r="G15" s="190">
        <f>SUM(G9:G14)</f>
        <v>24881.1</v>
      </c>
      <c r="H15" s="61"/>
    </row>
    <row r="16" spans="2:9" ht="7.5" customHeight="1" x14ac:dyDescent="0.25">
      <c r="B16" s="60"/>
      <c r="C16" s="66"/>
      <c r="D16" s="66"/>
      <c r="E16" s="66"/>
      <c r="F16" s="66"/>
      <c r="G16" s="66"/>
      <c r="H16" s="61"/>
    </row>
    <row r="17" spans="2:12" ht="18" customHeight="1" x14ac:dyDescent="0.25">
      <c r="B17" s="60"/>
      <c r="C17" s="436" t="s">
        <v>2390</v>
      </c>
      <c r="D17" s="436"/>
      <c r="E17" s="436"/>
      <c r="F17" s="436"/>
      <c r="G17" s="184" t="s">
        <v>10</v>
      </c>
      <c r="H17" s="61"/>
      <c r="I17" s="185"/>
    </row>
    <row r="18" spans="2:12" ht="7.5" customHeight="1" x14ac:dyDescent="0.25">
      <c r="B18" s="60"/>
      <c r="C18" s="435"/>
      <c r="D18" s="435"/>
      <c r="E18" s="435"/>
      <c r="H18" s="61"/>
      <c r="I18" s="185"/>
    </row>
    <row r="19" spans="2:12" ht="27.75" customHeight="1" x14ac:dyDescent="0.25">
      <c r="B19" s="60"/>
      <c r="C19" s="442" t="s">
        <v>69</v>
      </c>
      <c r="D19" s="442"/>
      <c r="E19" s="442"/>
      <c r="F19" s="442"/>
      <c r="G19" s="191">
        <v>479</v>
      </c>
      <c r="H19" s="61"/>
      <c r="I19" s="185"/>
      <c r="L19" s="194"/>
    </row>
    <row r="20" spans="2:12" ht="18.75" customHeight="1" x14ac:dyDescent="0.25">
      <c r="B20" s="60"/>
      <c r="C20" s="442" t="s">
        <v>2340</v>
      </c>
      <c r="D20" s="442"/>
      <c r="E20" s="442"/>
      <c r="F20" s="442"/>
      <c r="G20" s="191">
        <v>9000</v>
      </c>
      <c r="H20" s="61"/>
      <c r="I20" s="185"/>
    </row>
    <row r="21" spans="2:12" ht="39.75" customHeight="1" x14ac:dyDescent="0.25">
      <c r="B21" s="60"/>
      <c r="C21" s="430" t="s">
        <v>2341</v>
      </c>
      <c r="D21" s="430"/>
      <c r="E21" s="430"/>
      <c r="F21" s="430"/>
      <c r="G21" s="191">
        <v>200</v>
      </c>
      <c r="H21" s="61"/>
      <c r="I21" s="185"/>
    </row>
    <row r="22" spans="2:12" ht="18.75" x14ac:dyDescent="0.25">
      <c r="B22" s="60"/>
      <c r="C22" s="442" t="s">
        <v>2342</v>
      </c>
      <c r="D22" s="442"/>
      <c r="E22" s="442"/>
      <c r="F22" s="442"/>
      <c r="G22" s="191">
        <v>1100</v>
      </c>
      <c r="H22" s="61"/>
      <c r="I22" s="185"/>
    </row>
    <row r="23" spans="2:12" ht="25.5" customHeight="1" x14ac:dyDescent="0.25">
      <c r="B23" s="60"/>
      <c r="C23" s="442" t="s">
        <v>2343</v>
      </c>
      <c r="D23" s="442"/>
      <c r="E23" s="442"/>
      <c r="F23" s="442"/>
      <c r="G23" s="191">
        <v>132</v>
      </c>
      <c r="H23" s="61"/>
      <c r="I23" s="185"/>
    </row>
    <row r="24" spans="2:12" ht="27.75" customHeight="1" x14ac:dyDescent="0.25">
      <c r="B24" s="60"/>
      <c r="C24" s="442" t="s">
        <v>2344</v>
      </c>
      <c r="D24" s="442"/>
      <c r="E24" s="442"/>
      <c r="F24" s="442"/>
      <c r="G24" s="191">
        <v>495</v>
      </c>
      <c r="H24" s="61"/>
      <c r="I24" s="183"/>
    </row>
    <row r="25" spans="2:12" ht="31.5" customHeight="1" x14ac:dyDescent="0.25">
      <c r="B25" s="60"/>
      <c r="C25" s="430" t="s">
        <v>2346</v>
      </c>
      <c r="D25" s="430"/>
      <c r="E25" s="430"/>
      <c r="F25" s="430"/>
      <c r="G25" s="191">
        <v>60</v>
      </c>
      <c r="H25" s="61"/>
      <c r="I25" s="185"/>
    </row>
    <row r="26" spans="2:12" ht="137.25" customHeight="1" x14ac:dyDescent="0.25">
      <c r="B26" s="60"/>
      <c r="C26" s="430" t="s">
        <v>2347</v>
      </c>
      <c r="D26" s="430"/>
      <c r="E26" s="430"/>
      <c r="F26" s="430"/>
      <c r="G26" s="191">
        <v>27878</v>
      </c>
      <c r="H26" s="61"/>
      <c r="I26" s="185"/>
    </row>
    <row r="27" spans="2:12" ht="34.5" customHeight="1" x14ac:dyDescent="0.25">
      <c r="B27" s="60"/>
      <c r="C27" s="187" t="s">
        <v>2345</v>
      </c>
      <c r="D27" s="187"/>
      <c r="E27" s="187"/>
      <c r="F27" s="187"/>
      <c r="G27" s="191">
        <v>64</v>
      </c>
      <c r="H27" s="61"/>
    </row>
    <row r="28" spans="2:12" ht="58.5" customHeight="1" x14ac:dyDescent="0.25">
      <c r="B28" s="60"/>
      <c r="C28" s="430" t="s">
        <v>2348</v>
      </c>
      <c r="D28" s="430"/>
      <c r="E28" s="430"/>
      <c r="F28" s="430"/>
      <c r="G28" s="191">
        <v>209</v>
      </c>
      <c r="H28" s="61"/>
    </row>
    <row r="29" spans="2:12" ht="16.5" customHeight="1" x14ac:dyDescent="0.25">
      <c r="B29" s="60"/>
      <c r="C29" s="142"/>
      <c r="D29" s="142"/>
      <c r="E29" s="142"/>
      <c r="F29" s="72" t="s">
        <v>2353</v>
      </c>
      <c r="G29" s="190">
        <f>SUM(G19:G28)</f>
        <v>39617</v>
      </c>
      <c r="H29" s="61"/>
    </row>
    <row r="30" spans="2:12" ht="9.75" customHeight="1" x14ac:dyDescent="0.25">
      <c r="B30" s="60"/>
      <c r="C30" s="142"/>
      <c r="D30" s="142"/>
      <c r="E30" s="142"/>
      <c r="F30" s="142"/>
      <c r="G30" s="142"/>
      <c r="H30" s="61"/>
      <c r="I30" s="185"/>
    </row>
    <row r="31" spans="2:12" ht="9.75" customHeight="1" x14ac:dyDescent="0.25">
      <c r="B31" s="60"/>
      <c r="C31" s="142"/>
      <c r="D31" s="142"/>
      <c r="E31" s="142"/>
      <c r="F31" s="142"/>
      <c r="G31" s="142"/>
      <c r="H31" s="61"/>
    </row>
    <row r="32" spans="2:12" ht="9" customHeight="1" x14ac:dyDescent="0.25">
      <c r="B32" s="60"/>
      <c r="C32" s="426"/>
      <c r="D32" s="426"/>
      <c r="E32" s="426"/>
      <c r="F32" s="426"/>
      <c r="G32" s="82"/>
      <c r="H32" s="61"/>
      <c r="I32" s="185"/>
    </row>
    <row r="33" spans="2:14" ht="27.75" customHeight="1" x14ac:dyDescent="0.25">
      <c r="B33" s="60"/>
      <c r="C33" s="437" t="s">
        <v>2391</v>
      </c>
      <c r="D33" s="437"/>
      <c r="E33" s="437"/>
      <c r="F33" s="437"/>
      <c r="G33" s="188" t="s">
        <v>10</v>
      </c>
      <c r="H33" s="61"/>
      <c r="I33" s="185"/>
    </row>
    <row r="34" spans="2:14" ht="33.75" customHeight="1" x14ac:dyDescent="0.25">
      <c r="B34" s="60"/>
      <c r="C34" s="430" t="s">
        <v>2352</v>
      </c>
      <c r="D34" s="430"/>
      <c r="E34" s="430"/>
      <c r="F34" s="430"/>
      <c r="G34" s="191">
        <v>16757</v>
      </c>
      <c r="H34" s="61"/>
    </row>
    <row r="35" spans="2:14" ht="100.5" customHeight="1" x14ac:dyDescent="0.25">
      <c r="B35" s="60"/>
      <c r="C35" s="430" t="s">
        <v>2355</v>
      </c>
      <c r="D35" s="430"/>
      <c r="E35" s="430"/>
      <c r="F35" s="430"/>
      <c r="G35" s="191">
        <v>251.5</v>
      </c>
      <c r="H35" s="61"/>
    </row>
    <row r="36" spans="2:14" ht="66.75" customHeight="1" x14ac:dyDescent="0.25">
      <c r="B36" s="60"/>
      <c r="C36" s="430" t="s">
        <v>2349</v>
      </c>
      <c r="D36" s="430"/>
      <c r="E36" s="430"/>
      <c r="F36" s="430"/>
      <c r="G36" s="191">
        <v>60</v>
      </c>
      <c r="H36" s="61"/>
    </row>
    <row r="37" spans="2:14" ht="18.75" x14ac:dyDescent="0.25">
      <c r="B37" s="60"/>
      <c r="C37" s="430" t="s">
        <v>2350</v>
      </c>
      <c r="D37" s="430"/>
      <c r="E37" s="430"/>
      <c r="F37" s="430"/>
      <c r="G37" s="191">
        <v>156</v>
      </c>
      <c r="H37" s="61"/>
    </row>
    <row r="38" spans="2:14" ht="48.75" customHeight="1" x14ac:dyDescent="0.25">
      <c r="B38" s="60"/>
      <c r="C38" s="430" t="s">
        <v>2351</v>
      </c>
      <c r="D38" s="430"/>
      <c r="E38" s="430"/>
      <c r="F38" s="430"/>
      <c r="G38" s="191">
        <v>3950</v>
      </c>
      <c r="H38" s="61"/>
      <c r="I38" s="185"/>
    </row>
    <row r="39" spans="2:14" ht="9.75" customHeight="1" x14ac:dyDescent="0.25">
      <c r="B39" s="60"/>
      <c r="C39" s="76"/>
      <c r="D39" s="76"/>
      <c r="E39" s="76"/>
      <c r="F39" s="76"/>
      <c r="G39" s="71"/>
      <c r="H39" s="61"/>
      <c r="I39" s="185"/>
    </row>
    <row r="40" spans="2:14" ht="18.75" x14ac:dyDescent="0.25">
      <c r="B40" s="60"/>
      <c r="C40" s="76"/>
      <c r="D40" s="76"/>
      <c r="E40" s="76"/>
      <c r="F40" s="72" t="s">
        <v>2354</v>
      </c>
      <c r="G40" s="190">
        <f>SUM(G34:G39)</f>
        <v>21174.5</v>
      </c>
      <c r="H40" s="61"/>
      <c r="I40" s="185"/>
      <c r="J40" s="7"/>
    </row>
    <row r="41" spans="2:14" ht="15" customHeight="1" x14ac:dyDescent="0.25">
      <c r="B41" s="60"/>
      <c r="C41" s="76"/>
      <c r="D41" s="76"/>
      <c r="E41" s="76"/>
      <c r="F41" s="76"/>
      <c r="G41" s="71"/>
      <c r="H41" s="61"/>
    </row>
    <row r="42" spans="2:14" ht="14.25" customHeight="1" thickBot="1" x14ac:dyDescent="0.3">
      <c r="B42" s="60"/>
      <c r="C42" s="76"/>
      <c r="D42" s="76"/>
      <c r="E42" s="76"/>
      <c r="F42" s="76"/>
      <c r="G42" s="71"/>
      <c r="H42" s="61"/>
    </row>
    <row r="43" spans="2:14" ht="21.75" thickBot="1" x14ac:dyDescent="0.3">
      <c r="B43" s="60"/>
      <c r="C43" s="76"/>
      <c r="D43" s="66"/>
      <c r="E43" s="66"/>
      <c r="F43" s="192" t="s">
        <v>70</v>
      </c>
      <c r="G43" s="193">
        <f>SUM(G5+G9-G29-G40)</f>
        <v>31998.100000000006</v>
      </c>
      <c r="H43" s="61"/>
    </row>
    <row r="44" spans="2:14" ht="15.75" x14ac:dyDescent="0.25">
      <c r="B44" s="79"/>
      <c r="C44" s="195"/>
      <c r="D44" s="80"/>
      <c r="E44" s="80"/>
      <c r="F44" s="80"/>
      <c r="G44" s="80"/>
      <c r="H44" s="81"/>
      <c r="N44" s="7"/>
    </row>
    <row r="46" spans="2:14" x14ac:dyDescent="0.25">
      <c r="N46" s="7"/>
    </row>
  </sheetData>
  <mergeCells count="26">
    <mergeCell ref="C8:G8"/>
    <mergeCell ref="C9:E9"/>
    <mergeCell ref="C10:E10"/>
    <mergeCell ref="C35:F35"/>
    <mergeCell ref="C36:F36"/>
    <mergeCell ref="G9:G11"/>
    <mergeCell ref="C34:F34"/>
    <mergeCell ref="C20:F20"/>
    <mergeCell ref="C21:F21"/>
    <mergeCell ref="C22:F22"/>
    <mergeCell ref="C37:F37"/>
    <mergeCell ref="C38:F38"/>
    <mergeCell ref="C11:E11"/>
    <mergeCell ref="C32:F32"/>
    <mergeCell ref="B2:H2"/>
    <mergeCell ref="C18:E18"/>
    <mergeCell ref="C17:F17"/>
    <mergeCell ref="C33:F33"/>
    <mergeCell ref="C28:F28"/>
    <mergeCell ref="C7:F7"/>
    <mergeCell ref="C5:F5"/>
    <mergeCell ref="C23:F23"/>
    <mergeCell ref="C24:F24"/>
    <mergeCell ref="C25:F25"/>
    <mergeCell ref="C26:F26"/>
    <mergeCell ref="C19:F19"/>
  </mergeCells>
  <pageMargins left="0.23622047244094491" right="0.23622047244094491" top="0.94488188976377963" bottom="0.74803149606299213" header="0.31496062992125984" footer="0.31496062992125984"/>
  <pageSetup scale="64" fitToHeight="0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924-9405-41F3-A0B4-D84FCB0E97A8}">
  <dimension ref="A1:F23"/>
  <sheetViews>
    <sheetView workbookViewId="0">
      <selection activeCell="H33" sqref="H33"/>
    </sheetView>
  </sheetViews>
  <sheetFormatPr baseColWidth="10" defaultRowHeight="15" x14ac:dyDescent="0.25"/>
  <cols>
    <col min="1" max="1" width="7.5703125" customWidth="1"/>
    <col min="2" max="2" width="9.85546875" customWidth="1"/>
    <col min="4" max="4" width="34.85546875" customWidth="1"/>
    <col min="5" max="5" width="19.7109375" customWidth="1"/>
    <col min="6" max="6" width="15.140625" customWidth="1"/>
  </cols>
  <sheetData>
    <row r="1" spans="1:6" x14ac:dyDescent="0.25">
      <c r="D1" s="175" t="s">
        <v>1358</v>
      </c>
    </row>
    <row r="3" spans="1:6" ht="45" x14ac:dyDescent="0.25">
      <c r="A3" s="86" t="s">
        <v>1</v>
      </c>
      <c r="B3" s="84" t="s">
        <v>2</v>
      </c>
      <c r="C3" s="85" t="s">
        <v>3</v>
      </c>
      <c r="D3" s="85" t="s">
        <v>4</v>
      </c>
      <c r="E3" s="85" t="s">
        <v>5</v>
      </c>
      <c r="F3" s="85" t="s">
        <v>1359</v>
      </c>
    </row>
    <row r="4" spans="1:6" x14ac:dyDescent="0.25">
      <c r="A4" s="176" t="s">
        <v>1360</v>
      </c>
      <c r="B4" s="176" t="s">
        <v>1361</v>
      </c>
      <c r="C4" s="159" t="s">
        <v>13</v>
      </c>
      <c r="D4" s="159" t="s">
        <v>1362</v>
      </c>
      <c r="E4" s="159" t="s">
        <v>43</v>
      </c>
      <c r="F4" s="177" t="s">
        <v>1363</v>
      </c>
    </row>
    <row r="5" spans="1:6" x14ac:dyDescent="0.25">
      <c r="A5" s="176" t="s">
        <v>1364</v>
      </c>
      <c r="B5" s="176" t="s">
        <v>1365</v>
      </c>
      <c r="C5" s="159" t="s">
        <v>13</v>
      </c>
      <c r="D5" s="159" t="s">
        <v>1366</v>
      </c>
      <c r="E5" s="159" t="s">
        <v>43</v>
      </c>
      <c r="F5" s="177" t="s">
        <v>1363</v>
      </c>
    </row>
    <row r="6" spans="1:6" ht="30" x14ac:dyDescent="0.25">
      <c r="A6" s="176" t="s">
        <v>1367</v>
      </c>
      <c r="B6" s="176" t="s">
        <v>1368</v>
      </c>
      <c r="C6" s="159" t="s">
        <v>13</v>
      </c>
      <c r="D6" s="159" t="s">
        <v>1369</v>
      </c>
      <c r="E6" s="159" t="s">
        <v>45</v>
      </c>
      <c r="F6" s="178" t="s">
        <v>1370</v>
      </c>
    </row>
    <row r="7" spans="1:6" x14ac:dyDescent="0.25">
      <c r="A7" s="176" t="s">
        <v>1371</v>
      </c>
      <c r="B7" s="176" t="s">
        <v>1372</v>
      </c>
      <c r="C7" s="159" t="s">
        <v>13</v>
      </c>
      <c r="D7" s="159" t="s">
        <v>1373</v>
      </c>
      <c r="E7" s="159" t="s">
        <v>43</v>
      </c>
      <c r="F7" s="177" t="s">
        <v>1374</v>
      </c>
    </row>
    <row r="8" spans="1:6" x14ac:dyDescent="0.25">
      <c r="A8" s="176" t="s">
        <v>1375</v>
      </c>
      <c r="B8" s="176" t="s">
        <v>1376</v>
      </c>
      <c r="C8" s="159" t="s">
        <v>13</v>
      </c>
      <c r="D8" s="159" t="s">
        <v>1377</v>
      </c>
      <c r="E8" s="159" t="s">
        <v>43</v>
      </c>
      <c r="F8" s="177" t="s">
        <v>1363</v>
      </c>
    </row>
    <row r="9" spans="1:6" x14ac:dyDescent="0.25">
      <c r="A9" s="176" t="s">
        <v>1378</v>
      </c>
      <c r="B9" s="176" t="s">
        <v>1379</v>
      </c>
      <c r="C9" s="159" t="s">
        <v>12</v>
      </c>
      <c r="D9" s="159" t="s">
        <v>1380</v>
      </c>
      <c r="E9" s="159" t="s">
        <v>51</v>
      </c>
      <c r="F9" s="177" t="s">
        <v>1363</v>
      </c>
    </row>
    <row r="10" spans="1:6" x14ac:dyDescent="0.25">
      <c r="A10" s="176" t="s">
        <v>1381</v>
      </c>
      <c r="B10" s="176" t="s">
        <v>1382</v>
      </c>
      <c r="C10" s="159" t="s">
        <v>12</v>
      </c>
      <c r="D10" s="159" t="s">
        <v>1383</v>
      </c>
      <c r="E10" s="159"/>
      <c r="F10" s="177" t="s">
        <v>1374</v>
      </c>
    </row>
    <row r="11" spans="1:6" x14ac:dyDescent="0.25">
      <c r="A11" s="176" t="s">
        <v>1384</v>
      </c>
      <c r="B11" s="176" t="s">
        <v>1385</v>
      </c>
      <c r="C11" s="159" t="s">
        <v>12</v>
      </c>
      <c r="D11" s="159" t="s">
        <v>50</v>
      </c>
      <c r="E11" s="159" t="s">
        <v>49</v>
      </c>
      <c r="F11" s="177" t="s">
        <v>1363</v>
      </c>
    </row>
    <row r="12" spans="1:6" x14ac:dyDescent="0.25">
      <c r="A12" s="176" t="s">
        <v>1386</v>
      </c>
      <c r="B12" s="176" t="s">
        <v>1387</v>
      </c>
      <c r="C12" s="159" t="s">
        <v>12</v>
      </c>
      <c r="D12" s="159" t="s">
        <v>1388</v>
      </c>
      <c r="E12" s="159" t="s">
        <v>48</v>
      </c>
      <c r="F12" s="177" t="s">
        <v>1363</v>
      </c>
    </row>
    <row r="13" spans="1:6" x14ac:dyDescent="0.25">
      <c r="A13" s="176" t="s">
        <v>1389</v>
      </c>
      <c r="B13" s="176" t="s">
        <v>1390</v>
      </c>
      <c r="C13" s="159" t="s">
        <v>12</v>
      </c>
      <c r="D13" s="159" t="s">
        <v>1391</v>
      </c>
      <c r="E13" s="159" t="s">
        <v>46</v>
      </c>
      <c r="F13" s="177" t="s">
        <v>1374</v>
      </c>
    </row>
    <row r="14" spans="1:6" x14ac:dyDescent="0.25">
      <c r="A14" s="176" t="s">
        <v>1392</v>
      </c>
      <c r="B14" s="176" t="s">
        <v>1393</v>
      </c>
      <c r="C14" s="159" t="s">
        <v>12</v>
      </c>
      <c r="D14" s="159" t="s">
        <v>1394</v>
      </c>
      <c r="E14" s="159" t="s">
        <v>44</v>
      </c>
      <c r="F14" s="177" t="s">
        <v>1363</v>
      </c>
    </row>
    <row r="15" spans="1:6" x14ac:dyDescent="0.25">
      <c r="A15" s="176" t="s">
        <v>1395</v>
      </c>
      <c r="B15" s="176" t="s">
        <v>1396</v>
      </c>
      <c r="C15" s="159" t="s">
        <v>12</v>
      </c>
      <c r="D15" s="159" t="s">
        <v>1397</v>
      </c>
      <c r="E15" s="159" t="s">
        <v>43</v>
      </c>
      <c r="F15" s="177" t="s">
        <v>1363</v>
      </c>
    </row>
    <row r="16" spans="1:6" x14ac:dyDescent="0.25">
      <c r="A16" s="176" t="s">
        <v>1398</v>
      </c>
      <c r="B16" s="176" t="s">
        <v>1399</v>
      </c>
      <c r="C16" s="159" t="s">
        <v>0</v>
      </c>
      <c r="D16" s="159" t="s">
        <v>1400</v>
      </c>
      <c r="E16" s="159" t="s">
        <v>1428</v>
      </c>
      <c r="F16" s="177" t="s">
        <v>1363</v>
      </c>
    </row>
    <row r="17" spans="1:6" x14ac:dyDescent="0.25">
      <c r="A17" s="176" t="s">
        <v>1401</v>
      </c>
      <c r="B17" s="176" t="s">
        <v>1402</v>
      </c>
      <c r="C17" s="159" t="s">
        <v>0</v>
      </c>
      <c r="D17" s="159" t="s">
        <v>1403</v>
      </c>
      <c r="E17" s="159" t="s">
        <v>1404</v>
      </c>
      <c r="F17" s="177" t="s">
        <v>1363</v>
      </c>
    </row>
    <row r="18" spans="1:6" x14ac:dyDescent="0.25">
      <c r="A18" s="176" t="s">
        <v>1405</v>
      </c>
      <c r="B18" s="176" t="s">
        <v>1406</v>
      </c>
      <c r="C18" s="159" t="s">
        <v>0</v>
      </c>
      <c r="D18" s="159" t="s">
        <v>1407</v>
      </c>
      <c r="E18" s="159" t="s">
        <v>1427</v>
      </c>
      <c r="F18" s="177" t="s">
        <v>1374</v>
      </c>
    </row>
    <row r="19" spans="1:6" x14ac:dyDescent="0.25">
      <c r="A19" s="176" t="s">
        <v>1408</v>
      </c>
      <c r="B19" s="176" t="s">
        <v>1409</v>
      </c>
      <c r="C19" s="159" t="s">
        <v>0</v>
      </c>
      <c r="D19" s="159" t="s">
        <v>1410</v>
      </c>
      <c r="E19" s="159" t="s">
        <v>1427</v>
      </c>
      <c r="F19" s="177" t="s">
        <v>1411</v>
      </c>
    </row>
    <row r="20" spans="1:6" x14ac:dyDescent="0.25">
      <c r="A20" s="176" t="s">
        <v>1412</v>
      </c>
      <c r="B20" s="176" t="s">
        <v>1413</v>
      </c>
      <c r="C20" s="159" t="s">
        <v>0</v>
      </c>
      <c r="D20" s="159" t="s">
        <v>1414</v>
      </c>
      <c r="E20" s="159" t="s">
        <v>1427</v>
      </c>
      <c r="F20" s="177" t="s">
        <v>1363</v>
      </c>
    </row>
    <row r="21" spans="1:6" x14ac:dyDescent="0.25">
      <c r="A21" s="176" t="s">
        <v>1415</v>
      </c>
      <c r="B21" s="176" t="s">
        <v>1416</v>
      </c>
      <c r="C21" s="159" t="s">
        <v>0</v>
      </c>
      <c r="D21" s="159" t="s">
        <v>1417</v>
      </c>
      <c r="E21" s="159" t="s">
        <v>1427</v>
      </c>
      <c r="F21" s="177" t="s">
        <v>1363</v>
      </c>
    </row>
    <row r="22" spans="1:6" x14ac:dyDescent="0.25">
      <c r="A22" s="159" t="s">
        <v>1418</v>
      </c>
      <c r="B22" s="159" t="s">
        <v>1419</v>
      </c>
      <c r="C22" s="159" t="s">
        <v>14</v>
      </c>
      <c r="D22" s="159" t="s">
        <v>1420</v>
      </c>
      <c r="E22" s="159" t="s">
        <v>32</v>
      </c>
      <c r="F22" s="177" t="s">
        <v>1421</v>
      </c>
    </row>
    <row r="23" spans="1:6" x14ac:dyDescent="0.25">
      <c r="A23" s="159" t="s">
        <v>1422</v>
      </c>
      <c r="B23" s="159" t="s">
        <v>1423</v>
      </c>
      <c r="C23" s="159" t="s">
        <v>14</v>
      </c>
      <c r="D23" s="159" t="s">
        <v>1424</v>
      </c>
      <c r="E23" s="159" t="s">
        <v>32</v>
      </c>
      <c r="F23" s="177" t="s">
        <v>1421</v>
      </c>
    </row>
  </sheetData>
  <pageMargins left="0.25" right="0.25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5AB3-FCF3-4DBC-ACF1-230B664BEC23}">
  <dimension ref="B5:D14"/>
  <sheetViews>
    <sheetView workbookViewId="0">
      <selection activeCell="I18" sqref="I18"/>
    </sheetView>
  </sheetViews>
  <sheetFormatPr baseColWidth="10" defaultRowHeight="15" x14ac:dyDescent="0.25"/>
  <cols>
    <col min="1" max="1" width="5.140625" customWidth="1"/>
    <col min="2" max="2" width="29.5703125" bestFit="1" customWidth="1"/>
    <col min="3" max="3" width="35.5703125" bestFit="1" customWidth="1"/>
  </cols>
  <sheetData>
    <row r="5" spans="2:4" x14ac:dyDescent="0.25">
      <c r="C5" s="38" t="s">
        <v>1351</v>
      </c>
    </row>
    <row r="6" spans="2:4" ht="15.75" thickBot="1" x14ac:dyDescent="0.3"/>
    <row r="7" spans="2:4" ht="32.25" customHeight="1" thickBot="1" x14ac:dyDescent="0.3">
      <c r="B7" s="166" t="s">
        <v>1356</v>
      </c>
      <c r="C7" s="167" t="s">
        <v>23</v>
      </c>
      <c r="D7" s="168" t="s">
        <v>1357</v>
      </c>
    </row>
    <row r="8" spans="2:4" ht="30" x14ac:dyDescent="0.25">
      <c r="B8" s="163" t="s">
        <v>1425</v>
      </c>
      <c r="C8" s="164" t="s">
        <v>1354</v>
      </c>
      <c r="D8" s="165">
        <v>48</v>
      </c>
    </row>
    <row r="9" spans="2:4" ht="30" x14ac:dyDescent="0.25">
      <c r="B9" s="159" t="s">
        <v>1352</v>
      </c>
      <c r="C9" s="160" t="s">
        <v>1353</v>
      </c>
      <c r="D9" s="161">
        <v>60.5</v>
      </c>
    </row>
    <row r="10" spans="2:4" x14ac:dyDescent="0.25">
      <c r="B10" s="159" t="s">
        <v>1426</v>
      </c>
      <c r="C10" s="159" t="s">
        <v>1355</v>
      </c>
      <c r="D10" s="161">
        <v>19</v>
      </c>
    </row>
    <row r="11" spans="2:4" ht="45" x14ac:dyDescent="0.25">
      <c r="B11" s="159" t="s">
        <v>1429</v>
      </c>
      <c r="C11" s="160" t="s">
        <v>1430</v>
      </c>
      <c r="D11" s="161"/>
    </row>
    <row r="12" spans="2:4" x14ac:dyDescent="0.25">
      <c r="B12" s="159"/>
      <c r="C12" s="160"/>
      <c r="D12" s="161"/>
    </row>
    <row r="13" spans="2:4" ht="15.75" thickBot="1" x14ac:dyDescent="0.3">
      <c r="D13" s="158"/>
    </row>
    <row r="14" spans="2:4" ht="15.75" thickBot="1" x14ac:dyDescent="0.3">
      <c r="C14" s="170" t="s">
        <v>15</v>
      </c>
      <c r="D14" s="162">
        <f>SUM(D8:D13)</f>
        <v>127.5</v>
      </c>
    </row>
  </sheetData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6B35-6D69-4CBB-BF79-C3146E223003}">
  <dimension ref="A3:I468"/>
  <sheetViews>
    <sheetView zoomScaleNormal="100" workbookViewId="0">
      <selection activeCell="L9" sqref="L9"/>
    </sheetView>
  </sheetViews>
  <sheetFormatPr baseColWidth="10" defaultRowHeight="15" x14ac:dyDescent="0.25"/>
  <cols>
    <col min="2" max="2" width="6.7109375" customWidth="1"/>
    <col min="3" max="3" width="10.140625" customWidth="1"/>
    <col min="5" max="5" width="32.7109375" customWidth="1"/>
    <col min="6" max="6" width="0" hidden="1" customWidth="1"/>
    <col min="8" max="8" width="0" hidden="1" customWidth="1"/>
  </cols>
  <sheetData>
    <row r="3" spans="1:9" ht="45" x14ac:dyDescent="0.25">
      <c r="A3" s="84" t="s">
        <v>71</v>
      </c>
      <c r="B3" s="86" t="s">
        <v>1</v>
      </c>
      <c r="C3" s="84" t="s">
        <v>2</v>
      </c>
      <c r="D3" s="85" t="s">
        <v>3</v>
      </c>
      <c r="E3" s="85" t="s">
        <v>4</v>
      </c>
      <c r="F3" s="85" t="s">
        <v>5</v>
      </c>
      <c r="G3" s="85" t="s">
        <v>8</v>
      </c>
      <c r="H3" s="85" t="s">
        <v>9</v>
      </c>
      <c r="I3" s="85" t="s">
        <v>10</v>
      </c>
    </row>
    <row r="4" spans="1:9" x14ac:dyDescent="0.25">
      <c r="A4" s="1">
        <v>45664</v>
      </c>
      <c r="B4" s="3" t="s">
        <v>169</v>
      </c>
      <c r="C4" s="3" t="s">
        <v>170</v>
      </c>
      <c r="D4" s="3" t="s">
        <v>16</v>
      </c>
      <c r="E4" s="3" t="s">
        <v>171</v>
      </c>
      <c r="F4" s="3" t="s">
        <v>56</v>
      </c>
      <c r="G4" s="3" t="s">
        <v>145</v>
      </c>
      <c r="H4" s="3">
        <v>1</v>
      </c>
      <c r="I4" s="5">
        <v>5</v>
      </c>
    </row>
    <row r="5" spans="1:9" x14ac:dyDescent="0.25">
      <c r="A5" s="1">
        <v>45686</v>
      </c>
      <c r="B5" s="3" t="s">
        <v>169</v>
      </c>
      <c r="C5" s="3" t="s">
        <v>170</v>
      </c>
      <c r="D5" s="3" t="s">
        <v>16</v>
      </c>
      <c r="E5" s="3" t="s">
        <v>171</v>
      </c>
      <c r="F5" s="3" t="s">
        <v>56</v>
      </c>
      <c r="G5" s="3" t="s">
        <v>1340</v>
      </c>
      <c r="H5" s="3">
        <v>1</v>
      </c>
      <c r="I5" s="5">
        <v>5</v>
      </c>
    </row>
    <row r="6" spans="1:9" ht="15.75" thickBot="1" x14ac:dyDescent="0.3"/>
    <row r="7" spans="1:9" ht="15.75" thickBot="1" x14ac:dyDescent="0.3">
      <c r="G7" s="37" t="s">
        <v>15</v>
      </c>
      <c r="H7" s="37"/>
      <c r="I7" s="169">
        <f>SUM(I4:I6)</f>
        <v>10</v>
      </c>
    </row>
    <row r="9" spans="1:9" ht="45" x14ac:dyDescent="0.25">
      <c r="A9" s="84" t="s">
        <v>71</v>
      </c>
      <c r="B9" s="86" t="s">
        <v>1</v>
      </c>
      <c r="C9" s="84" t="s">
        <v>2</v>
      </c>
      <c r="D9" s="85" t="s">
        <v>3</v>
      </c>
      <c r="E9" s="85" t="s">
        <v>4</v>
      </c>
      <c r="F9" s="85" t="s">
        <v>5</v>
      </c>
      <c r="G9" s="85" t="s">
        <v>8</v>
      </c>
      <c r="H9" s="85" t="s">
        <v>9</v>
      </c>
      <c r="I9" s="85" t="s">
        <v>10</v>
      </c>
    </row>
    <row r="10" spans="1:9" x14ac:dyDescent="0.25">
      <c r="A10" s="1">
        <v>45660</v>
      </c>
      <c r="B10" s="2" t="s">
        <v>75</v>
      </c>
      <c r="C10" s="2" t="s">
        <v>76</v>
      </c>
      <c r="D10" s="3" t="s">
        <v>12</v>
      </c>
      <c r="E10" s="3" t="s">
        <v>77</v>
      </c>
      <c r="F10" s="3"/>
      <c r="G10" s="3" t="s">
        <v>142</v>
      </c>
      <c r="H10" s="3">
        <v>4</v>
      </c>
      <c r="I10" s="5">
        <v>23.5</v>
      </c>
    </row>
    <row r="11" spans="1:9" x14ac:dyDescent="0.25">
      <c r="A11" s="1">
        <v>45660</v>
      </c>
      <c r="B11" s="2" t="s">
        <v>78</v>
      </c>
      <c r="C11" s="2" t="s">
        <v>79</v>
      </c>
      <c r="D11" s="3" t="s">
        <v>12</v>
      </c>
      <c r="E11" s="3" t="s">
        <v>80</v>
      </c>
      <c r="F11" s="3" t="s">
        <v>52</v>
      </c>
      <c r="G11" s="3" t="s">
        <v>143</v>
      </c>
      <c r="H11" s="3">
        <v>3</v>
      </c>
      <c r="I11" s="140">
        <v>30.5</v>
      </c>
    </row>
    <row r="12" spans="1:9" x14ac:dyDescent="0.25">
      <c r="A12" s="1">
        <v>45660</v>
      </c>
      <c r="B12" s="2" t="s">
        <v>81</v>
      </c>
      <c r="C12" s="2" t="s">
        <v>82</v>
      </c>
      <c r="D12" s="3" t="s">
        <v>12</v>
      </c>
      <c r="E12" s="3" t="s">
        <v>80</v>
      </c>
      <c r="F12" s="3" t="s">
        <v>49</v>
      </c>
      <c r="G12" s="3" t="s">
        <v>143</v>
      </c>
      <c r="H12" s="3">
        <v>3</v>
      </c>
      <c r="I12" s="5">
        <v>26</v>
      </c>
    </row>
    <row r="13" spans="1:9" x14ac:dyDescent="0.25">
      <c r="A13" s="1">
        <v>45660</v>
      </c>
      <c r="B13" s="2" t="s">
        <v>91</v>
      </c>
      <c r="C13" t="s">
        <v>146</v>
      </c>
      <c r="D13" s="3" t="s">
        <v>12</v>
      </c>
      <c r="E13" s="3" t="s">
        <v>92</v>
      </c>
      <c r="F13" s="3" t="s">
        <v>93</v>
      </c>
      <c r="G13" s="3" t="s">
        <v>143</v>
      </c>
      <c r="H13" s="3">
        <v>3</v>
      </c>
      <c r="I13" s="5">
        <v>32.5</v>
      </c>
    </row>
    <row r="14" spans="1:9" x14ac:dyDescent="0.25">
      <c r="A14" s="1">
        <v>45660</v>
      </c>
      <c r="B14" s="2" t="s">
        <v>94</v>
      </c>
      <c r="C14" s="2" t="s">
        <v>95</v>
      </c>
      <c r="D14" s="3" t="s">
        <v>12</v>
      </c>
      <c r="E14" s="3" t="s">
        <v>96</v>
      </c>
      <c r="F14" s="3" t="s">
        <v>46</v>
      </c>
      <c r="G14" s="3" t="s">
        <v>144</v>
      </c>
      <c r="H14" s="3">
        <v>2</v>
      </c>
      <c r="I14" s="140">
        <v>10</v>
      </c>
    </row>
    <row r="15" spans="1:9" x14ac:dyDescent="0.25">
      <c r="A15" s="1">
        <v>45660</v>
      </c>
      <c r="B15" s="2" t="s">
        <v>97</v>
      </c>
      <c r="C15" s="2" t="s">
        <v>98</v>
      </c>
      <c r="D15" s="3" t="s">
        <v>12</v>
      </c>
      <c r="E15" s="3" t="s">
        <v>99</v>
      </c>
      <c r="F15" s="3" t="s">
        <v>100</v>
      </c>
      <c r="G15" s="3" t="s">
        <v>144</v>
      </c>
      <c r="H15" s="3">
        <v>2</v>
      </c>
      <c r="I15" s="140">
        <v>18</v>
      </c>
    </row>
    <row r="16" spans="1:9" x14ac:dyDescent="0.25">
      <c r="A16" s="1">
        <v>45660</v>
      </c>
      <c r="B16" s="2" t="s">
        <v>101</v>
      </c>
      <c r="C16" s="2" t="s">
        <v>102</v>
      </c>
      <c r="D16" s="3" t="s">
        <v>12</v>
      </c>
      <c r="E16" s="3" t="s">
        <v>103</v>
      </c>
      <c r="F16" s="3" t="s">
        <v>46</v>
      </c>
      <c r="G16" s="3" t="s">
        <v>144</v>
      </c>
      <c r="H16" s="3">
        <v>2</v>
      </c>
      <c r="I16" s="5">
        <v>10</v>
      </c>
    </row>
    <row r="17" spans="1:9" x14ac:dyDescent="0.25">
      <c r="A17" s="1">
        <v>45660</v>
      </c>
      <c r="B17" s="2" t="s">
        <v>114</v>
      </c>
      <c r="C17" s="2" t="s">
        <v>115</v>
      </c>
      <c r="D17" s="3" t="s">
        <v>12</v>
      </c>
      <c r="E17" s="3" t="s">
        <v>113</v>
      </c>
      <c r="F17" s="3" t="s">
        <v>116</v>
      </c>
      <c r="G17" s="3" t="s">
        <v>145</v>
      </c>
      <c r="H17" s="3">
        <v>1</v>
      </c>
      <c r="I17" s="5">
        <v>5</v>
      </c>
    </row>
    <row r="18" spans="1:9" x14ac:dyDescent="0.25">
      <c r="A18" s="1">
        <v>45660</v>
      </c>
      <c r="B18" s="2" t="s">
        <v>120</v>
      </c>
      <c r="C18" s="2" t="s">
        <v>121</v>
      </c>
      <c r="D18" s="3" t="s">
        <v>12</v>
      </c>
      <c r="E18" s="3" t="s">
        <v>122</v>
      </c>
      <c r="F18" s="3" t="s">
        <v>48</v>
      </c>
      <c r="G18" s="3" t="s">
        <v>145</v>
      </c>
      <c r="H18" s="3">
        <v>1</v>
      </c>
      <c r="I18" s="5">
        <v>11.5</v>
      </c>
    </row>
    <row r="19" spans="1:9" x14ac:dyDescent="0.25">
      <c r="A19" s="1">
        <v>45660</v>
      </c>
      <c r="B19" s="2" t="s">
        <v>123</v>
      </c>
      <c r="C19" s="2" t="s">
        <v>124</v>
      </c>
      <c r="D19" s="3" t="s">
        <v>12</v>
      </c>
      <c r="E19" s="3" t="s">
        <v>125</v>
      </c>
      <c r="F19" s="3" t="s">
        <v>46</v>
      </c>
      <c r="G19" s="3" t="s">
        <v>145</v>
      </c>
      <c r="H19" s="3">
        <v>1</v>
      </c>
      <c r="I19" s="5">
        <v>5</v>
      </c>
    </row>
    <row r="20" spans="1:9" x14ac:dyDescent="0.25">
      <c r="A20" s="1">
        <v>45660</v>
      </c>
      <c r="B20" s="2" t="s">
        <v>126</v>
      </c>
      <c r="C20" s="2" t="s">
        <v>127</v>
      </c>
      <c r="D20" s="3" t="s">
        <v>12</v>
      </c>
      <c r="E20" s="3" t="s">
        <v>128</v>
      </c>
      <c r="F20" s="3" t="s">
        <v>129</v>
      </c>
      <c r="G20" s="3" t="s">
        <v>145</v>
      </c>
      <c r="H20" s="3">
        <v>1</v>
      </c>
      <c r="I20" s="5">
        <v>10.5</v>
      </c>
    </row>
    <row r="21" spans="1:9" x14ac:dyDescent="0.25">
      <c r="A21" s="1">
        <v>45661</v>
      </c>
      <c r="B21" s="2" t="s">
        <v>147</v>
      </c>
      <c r="C21" s="2" t="s">
        <v>148</v>
      </c>
      <c r="D21" s="3" t="s">
        <v>12</v>
      </c>
      <c r="E21" s="3" t="s">
        <v>149</v>
      </c>
      <c r="F21" s="3" t="s">
        <v>150</v>
      </c>
      <c r="G21" s="3" t="s">
        <v>143</v>
      </c>
      <c r="H21" s="3">
        <v>3</v>
      </c>
      <c r="I21" s="5">
        <v>26.5</v>
      </c>
    </row>
    <row r="22" spans="1:9" x14ac:dyDescent="0.25">
      <c r="A22" s="1">
        <v>45661</v>
      </c>
      <c r="B22" s="2" t="s">
        <v>165</v>
      </c>
      <c r="C22" s="2" t="s">
        <v>166</v>
      </c>
      <c r="D22" s="3" t="s">
        <v>12</v>
      </c>
      <c r="E22" s="3" t="s">
        <v>167</v>
      </c>
      <c r="F22" s="3" t="s">
        <v>168</v>
      </c>
      <c r="G22" s="3" t="s">
        <v>145</v>
      </c>
      <c r="H22" s="3">
        <v>1</v>
      </c>
      <c r="I22" s="5">
        <v>5</v>
      </c>
    </row>
    <row r="23" spans="1:9" x14ac:dyDescent="0.25">
      <c r="A23" s="1">
        <v>45663</v>
      </c>
      <c r="B23" s="3" t="s">
        <v>688</v>
      </c>
      <c r="C23" s="3" t="s">
        <v>689</v>
      </c>
      <c r="D23" s="3" t="s">
        <v>12</v>
      </c>
      <c r="E23" s="3" t="s">
        <v>690</v>
      </c>
      <c r="F23" s="3" t="s">
        <v>43</v>
      </c>
      <c r="G23" s="3" t="s">
        <v>1333</v>
      </c>
      <c r="H23" s="3">
        <v>5</v>
      </c>
      <c r="I23" s="5">
        <v>26.5</v>
      </c>
    </row>
    <row r="24" spans="1:9" x14ac:dyDescent="0.25">
      <c r="A24" s="1">
        <v>45663</v>
      </c>
      <c r="B24" s="3" t="s">
        <v>614</v>
      </c>
      <c r="C24" s="3" t="s">
        <v>615</v>
      </c>
      <c r="D24" s="3" t="s">
        <v>12</v>
      </c>
      <c r="E24" s="3" t="s">
        <v>273</v>
      </c>
      <c r="F24" s="3" t="s">
        <v>340</v>
      </c>
      <c r="G24" s="3" t="s">
        <v>1335</v>
      </c>
      <c r="H24" s="3">
        <v>4</v>
      </c>
      <c r="I24" s="5">
        <v>54.5</v>
      </c>
    </row>
    <row r="25" spans="1:9" x14ac:dyDescent="0.25">
      <c r="A25" s="1">
        <v>45663</v>
      </c>
      <c r="B25" s="3" t="s">
        <v>471</v>
      </c>
      <c r="C25" s="3" t="s">
        <v>472</v>
      </c>
      <c r="D25" s="3" t="s">
        <v>12</v>
      </c>
      <c r="E25" s="3" t="s">
        <v>473</v>
      </c>
      <c r="F25" s="3" t="s">
        <v>43</v>
      </c>
      <c r="G25" s="3" t="s">
        <v>1335</v>
      </c>
      <c r="H25" s="3">
        <v>4</v>
      </c>
      <c r="I25" s="140">
        <v>91</v>
      </c>
    </row>
    <row r="26" spans="1:9" x14ac:dyDescent="0.25">
      <c r="A26" s="1">
        <v>45663</v>
      </c>
      <c r="B26" s="3" t="s">
        <v>655</v>
      </c>
      <c r="C26" s="3" t="s">
        <v>656</v>
      </c>
      <c r="D26" s="3" t="s">
        <v>12</v>
      </c>
      <c r="E26" s="3" t="s">
        <v>657</v>
      </c>
      <c r="F26" s="3" t="s">
        <v>327</v>
      </c>
      <c r="G26" s="3" t="s">
        <v>1335</v>
      </c>
      <c r="H26" s="3">
        <v>4</v>
      </c>
      <c r="I26" s="140">
        <v>129</v>
      </c>
    </row>
    <row r="27" spans="1:9" x14ac:dyDescent="0.25">
      <c r="A27" s="1">
        <v>45663</v>
      </c>
      <c r="B27" s="3" t="s">
        <v>685</v>
      </c>
      <c r="C27" s="3" t="s">
        <v>686</v>
      </c>
      <c r="D27" s="3" t="s">
        <v>12</v>
      </c>
      <c r="E27" s="3" t="s">
        <v>687</v>
      </c>
      <c r="F27" s="3" t="s">
        <v>12</v>
      </c>
      <c r="G27" s="3" t="s">
        <v>143</v>
      </c>
      <c r="H27" s="3">
        <v>3</v>
      </c>
      <c r="I27" s="5">
        <v>15</v>
      </c>
    </row>
    <row r="28" spans="1:9" x14ac:dyDescent="0.25">
      <c r="A28" s="1">
        <v>45663</v>
      </c>
      <c r="B28" s="3" t="s">
        <v>356</v>
      </c>
      <c r="C28" s="3" t="s">
        <v>357</v>
      </c>
      <c r="D28" s="3" t="s">
        <v>12</v>
      </c>
      <c r="E28" s="3" t="s">
        <v>358</v>
      </c>
      <c r="F28" s="3" t="s">
        <v>46</v>
      </c>
      <c r="G28" s="3" t="s">
        <v>143</v>
      </c>
      <c r="H28" s="3">
        <v>3</v>
      </c>
      <c r="I28" s="5">
        <v>31.5</v>
      </c>
    </row>
    <row r="29" spans="1:9" x14ac:dyDescent="0.25">
      <c r="A29" s="1">
        <v>45663</v>
      </c>
      <c r="B29" s="3" t="s">
        <v>305</v>
      </c>
      <c r="C29" s="3" t="s">
        <v>306</v>
      </c>
      <c r="D29" s="3" t="s">
        <v>12</v>
      </c>
      <c r="E29" s="3" t="s">
        <v>303</v>
      </c>
      <c r="F29" s="3" t="s">
        <v>307</v>
      </c>
      <c r="G29" s="3" t="s">
        <v>143</v>
      </c>
      <c r="H29" s="3">
        <v>3</v>
      </c>
      <c r="I29" s="5">
        <v>114.5</v>
      </c>
    </row>
    <row r="30" spans="1:9" x14ac:dyDescent="0.25">
      <c r="A30" s="1">
        <v>45663</v>
      </c>
      <c r="B30" s="3" t="s">
        <v>468</v>
      </c>
      <c r="C30" s="3" t="s">
        <v>469</v>
      </c>
      <c r="D30" s="3" t="s">
        <v>12</v>
      </c>
      <c r="E30" s="3" t="s">
        <v>470</v>
      </c>
      <c r="F30" s="3" t="s">
        <v>43</v>
      </c>
      <c r="G30" s="3" t="s">
        <v>143</v>
      </c>
      <c r="H30" s="3">
        <v>3</v>
      </c>
      <c r="I30" s="5">
        <v>56.5</v>
      </c>
    </row>
    <row r="31" spans="1:9" x14ac:dyDescent="0.25">
      <c r="A31" s="1">
        <v>45663</v>
      </c>
      <c r="B31" s="3" t="s">
        <v>382</v>
      </c>
      <c r="C31" s="3" t="s">
        <v>383</v>
      </c>
      <c r="D31" s="3" t="s">
        <v>12</v>
      </c>
      <c r="E31" s="3" t="s">
        <v>384</v>
      </c>
      <c r="F31" s="3" t="s">
        <v>43</v>
      </c>
      <c r="G31" s="3" t="s">
        <v>143</v>
      </c>
      <c r="H31" s="3">
        <v>3</v>
      </c>
      <c r="I31" s="5">
        <v>37.5</v>
      </c>
    </row>
    <row r="32" spans="1:9" x14ac:dyDescent="0.25">
      <c r="A32" s="1">
        <v>45663</v>
      </c>
      <c r="B32" s="3" t="s">
        <v>694</v>
      </c>
      <c r="C32" s="3" t="s">
        <v>695</v>
      </c>
      <c r="D32" s="3" t="s">
        <v>12</v>
      </c>
      <c r="E32" s="3" t="s">
        <v>696</v>
      </c>
      <c r="F32" s="3" t="s">
        <v>44</v>
      </c>
      <c r="G32" s="3" t="s">
        <v>143</v>
      </c>
      <c r="H32" s="3">
        <v>3</v>
      </c>
      <c r="I32" s="5">
        <v>63.5</v>
      </c>
    </row>
    <row r="33" spans="1:9" x14ac:dyDescent="0.25">
      <c r="A33" s="1">
        <v>45663</v>
      </c>
      <c r="B33" s="3" t="s">
        <v>700</v>
      </c>
      <c r="C33" s="3" t="s">
        <v>701</v>
      </c>
      <c r="D33" s="3" t="s">
        <v>12</v>
      </c>
      <c r="E33" s="3" t="s">
        <v>702</v>
      </c>
      <c r="F33" s="3" t="s">
        <v>44</v>
      </c>
      <c r="G33" s="3" t="s">
        <v>144</v>
      </c>
      <c r="H33" s="3">
        <v>2</v>
      </c>
      <c r="I33" s="5">
        <v>50</v>
      </c>
    </row>
    <row r="34" spans="1:9" x14ac:dyDescent="0.25">
      <c r="A34" s="1">
        <v>45663</v>
      </c>
      <c r="B34" s="3" t="s">
        <v>444</v>
      </c>
      <c r="C34" s="3" t="s">
        <v>445</v>
      </c>
      <c r="D34" s="3" t="s">
        <v>12</v>
      </c>
      <c r="E34" s="3" t="s">
        <v>446</v>
      </c>
      <c r="F34" s="3" t="s">
        <v>44</v>
      </c>
      <c r="G34" s="3" t="s">
        <v>145</v>
      </c>
      <c r="H34" s="3">
        <v>1</v>
      </c>
      <c r="I34" s="5">
        <v>11.5</v>
      </c>
    </row>
    <row r="35" spans="1:9" x14ac:dyDescent="0.25">
      <c r="A35" s="1">
        <v>45663</v>
      </c>
      <c r="B35" s="3" t="s">
        <v>485</v>
      </c>
      <c r="C35" s="3" t="s">
        <v>486</v>
      </c>
      <c r="D35" s="3" t="s">
        <v>12</v>
      </c>
      <c r="E35" s="3" t="s">
        <v>487</v>
      </c>
      <c r="F35" s="3" t="s">
        <v>44</v>
      </c>
      <c r="G35" s="3" t="s">
        <v>145</v>
      </c>
      <c r="H35" s="3">
        <v>1</v>
      </c>
      <c r="I35" s="5">
        <v>10.5</v>
      </c>
    </row>
    <row r="36" spans="1:9" x14ac:dyDescent="0.25">
      <c r="A36" s="1">
        <v>45663</v>
      </c>
      <c r="B36" s="3" t="s">
        <v>545</v>
      </c>
      <c r="C36" s="3" t="s">
        <v>546</v>
      </c>
      <c r="D36" s="3" t="s">
        <v>12</v>
      </c>
      <c r="E36" s="3" t="s">
        <v>547</v>
      </c>
      <c r="F36" s="3" t="s">
        <v>49</v>
      </c>
      <c r="G36" s="3" t="s">
        <v>145</v>
      </c>
      <c r="H36" s="3">
        <v>1</v>
      </c>
      <c r="I36" s="5">
        <v>11.5</v>
      </c>
    </row>
    <row r="37" spans="1:9" x14ac:dyDescent="0.25">
      <c r="A37" s="1">
        <v>45664</v>
      </c>
      <c r="B37" s="3" t="s">
        <v>373</v>
      </c>
      <c r="C37" s="3" t="s">
        <v>374</v>
      </c>
      <c r="D37" s="3" t="s">
        <v>12</v>
      </c>
      <c r="E37" s="3" t="s">
        <v>375</v>
      </c>
      <c r="F37" s="3" t="s">
        <v>311</v>
      </c>
      <c r="G37" s="3" t="s">
        <v>143</v>
      </c>
      <c r="H37" s="3">
        <v>3</v>
      </c>
      <c r="I37" s="5">
        <v>15</v>
      </c>
    </row>
    <row r="38" spans="1:9" x14ac:dyDescent="0.25">
      <c r="A38" s="1">
        <v>45664</v>
      </c>
      <c r="B38" s="3" t="s">
        <v>385</v>
      </c>
      <c r="C38" s="3" t="s">
        <v>386</v>
      </c>
      <c r="D38" s="3" t="s">
        <v>12</v>
      </c>
      <c r="E38" s="3" t="s">
        <v>387</v>
      </c>
      <c r="F38" s="3" t="s">
        <v>129</v>
      </c>
      <c r="G38" s="3" t="s">
        <v>144</v>
      </c>
      <c r="H38" s="3">
        <v>2</v>
      </c>
      <c r="I38" s="140">
        <v>34</v>
      </c>
    </row>
    <row r="39" spans="1:9" x14ac:dyDescent="0.25">
      <c r="A39" s="1">
        <v>45664</v>
      </c>
      <c r="B39" s="3" t="s">
        <v>780</v>
      </c>
      <c r="C39" s="3" t="s">
        <v>781</v>
      </c>
      <c r="D39" s="3" t="s">
        <v>12</v>
      </c>
      <c r="E39" s="3" t="s">
        <v>782</v>
      </c>
      <c r="F39" s="3" t="s">
        <v>46</v>
      </c>
      <c r="G39" s="3" t="s">
        <v>145</v>
      </c>
      <c r="H39" s="3">
        <v>1</v>
      </c>
      <c r="I39" s="5">
        <v>5</v>
      </c>
    </row>
    <row r="40" spans="1:9" x14ac:dyDescent="0.25">
      <c r="A40" s="1">
        <v>45664</v>
      </c>
      <c r="B40" s="3" t="s">
        <v>628</v>
      </c>
      <c r="C40" s="3" t="s">
        <v>629</v>
      </c>
      <c r="D40" s="3" t="s">
        <v>12</v>
      </c>
      <c r="E40" s="3" t="s">
        <v>630</v>
      </c>
      <c r="F40" s="3" t="s">
        <v>631</v>
      </c>
      <c r="G40" s="3" t="s">
        <v>145</v>
      </c>
      <c r="H40" s="3">
        <v>1</v>
      </c>
      <c r="I40" s="5">
        <v>5</v>
      </c>
    </row>
    <row r="41" spans="1:9" x14ac:dyDescent="0.25">
      <c r="A41" s="1">
        <v>45664</v>
      </c>
      <c r="B41" s="3" t="s">
        <v>777</v>
      </c>
      <c r="C41" s="3" t="s">
        <v>778</v>
      </c>
      <c r="D41" s="3" t="s">
        <v>12</v>
      </c>
      <c r="E41" s="3" t="s">
        <v>779</v>
      </c>
      <c r="F41" s="3" t="s">
        <v>46</v>
      </c>
      <c r="G41" s="3" t="s">
        <v>145</v>
      </c>
      <c r="H41" s="3">
        <v>1</v>
      </c>
      <c r="I41" s="140">
        <v>11.5</v>
      </c>
    </row>
    <row r="42" spans="1:9" x14ac:dyDescent="0.25">
      <c r="A42" s="1">
        <v>45664</v>
      </c>
      <c r="B42" s="3" t="s">
        <v>488</v>
      </c>
      <c r="C42" s="3" t="s">
        <v>489</v>
      </c>
      <c r="D42" s="3" t="s">
        <v>12</v>
      </c>
      <c r="E42" s="3" t="s">
        <v>490</v>
      </c>
      <c r="F42" s="3" t="s">
        <v>93</v>
      </c>
      <c r="G42" s="3" t="s">
        <v>145</v>
      </c>
      <c r="H42" s="3">
        <v>1</v>
      </c>
      <c r="I42" s="5">
        <v>20.5</v>
      </c>
    </row>
    <row r="43" spans="1:9" x14ac:dyDescent="0.25">
      <c r="A43" s="1">
        <v>45664</v>
      </c>
      <c r="B43" s="3" t="s">
        <v>786</v>
      </c>
      <c r="C43" s="3" t="s">
        <v>787</v>
      </c>
      <c r="D43" s="3" t="s">
        <v>12</v>
      </c>
      <c r="E43" s="3" t="s">
        <v>788</v>
      </c>
      <c r="F43" s="3" t="s">
        <v>46</v>
      </c>
      <c r="G43" s="3" t="s">
        <v>145</v>
      </c>
      <c r="H43" s="3">
        <v>1</v>
      </c>
      <c r="I43" s="140">
        <v>5</v>
      </c>
    </row>
    <row r="44" spans="1:9" x14ac:dyDescent="0.25">
      <c r="A44" s="1">
        <v>45664</v>
      </c>
      <c r="B44" s="3" t="s">
        <v>753</v>
      </c>
      <c r="C44" s="3" t="s">
        <v>754</v>
      </c>
      <c r="D44" s="3" t="s">
        <v>12</v>
      </c>
      <c r="E44" s="3" t="s">
        <v>755</v>
      </c>
      <c r="F44" s="3" t="s">
        <v>12</v>
      </c>
      <c r="G44" s="3" t="s">
        <v>145</v>
      </c>
      <c r="H44" s="3">
        <v>1</v>
      </c>
      <c r="I44" s="5">
        <v>10.5</v>
      </c>
    </row>
    <row r="45" spans="1:9" x14ac:dyDescent="0.25">
      <c r="A45" s="1">
        <v>45665</v>
      </c>
      <c r="B45" s="3" t="s">
        <v>320</v>
      </c>
      <c r="C45" s="3" t="s">
        <v>321</v>
      </c>
      <c r="D45" s="3" t="s">
        <v>12</v>
      </c>
      <c r="E45" s="3" t="s">
        <v>322</v>
      </c>
      <c r="F45" s="3" t="s">
        <v>43</v>
      </c>
      <c r="G45" s="3" t="s">
        <v>145</v>
      </c>
      <c r="H45" s="3">
        <v>1</v>
      </c>
      <c r="I45" s="5">
        <v>9.5</v>
      </c>
    </row>
    <row r="46" spans="1:9" x14ac:dyDescent="0.25">
      <c r="A46" s="1">
        <v>45665</v>
      </c>
      <c r="B46" s="3" t="s">
        <v>789</v>
      </c>
      <c r="C46" s="3" t="s">
        <v>790</v>
      </c>
      <c r="D46" s="3" t="s">
        <v>12</v>
      </c>
      <c r="E46" s="3" t="s">
        <v>791</v>
      </c>
      <c r="F46" s="3" t="s">
        <v>327</v>
      </c>
      <c r="G46" s="3" t="s">
        <v>145</v>
      </c>
      <c r="H46" s="3">
        <v>1</v>
      </c>
      <c r="I46" s="5">
        <v>5</v>
      </c>
    </row>
    <row r="47" spans="1:9" x14ac:dyDescent="0.25">
      <c r="A47" s="1">
        <v>45666</v>
      </c>
      <c r="B47" s="3" t="s">
        <v>506</v>
      </c>
      <c r="C47" s="3" t="s">
        <v>507</v>
      </c>
      <c r="D47" s="3" t="s">
        <v>12</v>
      </c>
      <c r="E47" s="3" t="s">
        <v>508</v>
      </c>
      <c r="F47" s="3" t="s">
        <v>116</v>
      </c>
      <c r="G47" s="3" t="s">
        <v>144</v>
      </c>
      <c r="H47" s="3">
        <v>2</v>
      </c>
      <c r="I47" s="5">
        <v>13.5</v>
      </c>
    </row>
    <row r="48" spans="1:9" x14ac:dyDescent="0.25">
      <c r="A48" s="1">
        <v>45667</v>
      </c>
      <c r="B48" s="3" t="s">
        <v>474</v>
      </c>
      <c r="C48" s="3" t="s">
        <v>475</v>
      </c>
      <c r="D48" s="3" t="s">
        <v>12</v>
      </c>
      <c r="E48" s="3" t="s">
        <v>476</v>
      </c>
      <c r="F48" s="3" t="s">
        <v>46</v>
      </c>
      <c r="G48" s="3" t="s">
        <v>143</v>
      </c>
      <c r="H48" s="3">
        <v>3</v>
      </c>
      <c r="I48" s="5">
        <v>56</v>
      </c>
    </row>
    <row r="49" spans="1:9" x14ac:dyDescent="0.25">
      <c r="A49" s="1">
        <v>45667</v>
      </c>
      <c r="B49" s="3" t="s">
        <v>450</v>
      </c>
      <c r="C49" s="3" t="s">
        <v>451</v>
      </c>
      <c r="D49" s="3" t="s">
        <v>12</v>
      </c>
      <c r="E49" s="3" t="s">
        <v>452</v>
      </c>
      <c r="F49" s="3" t="s">
        <v>49</v>
      </c>
      <c r="G49" s="3" t="s">
        <v>143</v>
      </c>
      <c r="H49" s="3">
        <v>3</v>
      </c>
      <c r="I49" s="5">
        <v>15</v>
      </c>
    </row>
    <row r="50" spans="1:9" x14ac:dyDescent="0.25">
      <c r="A50" s="1">
        <v>45667</v>
      </c>
      <c r="B50" s="3" t="s">
        <v>477</v>
      </c>
      <c r="C50" s="3" t="s">
        <v>478</v>
      </c>
      <c r="D50" s="3" t="s">
        <v>12</v>
      </c>
      <c r="E50" s="3" t="s">
        <v>476</v>
      </c>
      <c r="F50" s="3" t="s">
        <v>46</v>
      </c>
      <c r="G50" s="3" t="s">
        <v>143</v>
      </c>
      <c r="H50" s="3">
        <v>3</v>
      </c>
      <c r="I50" s="5">
        <v>15</v>
      </c>
    </row>
    <row r="51" spans="1:9" x14ac:dyDescent="0.25">
      <c r="A51" s="1">
        <v>45667</v>
      </c>
      <c r="B51" s="3" t="s">
        <v>709</v>
      </c>
      <c r="C51" s="3" t="s">
        <v>710</v>
      </c>
      <c r="D51" s="3" t="s">
        <v>12</v>
      </c>
      <c r="E51" s="3" t="s">
        <v>711</v>
      </c>
      <c r="F51" s="3" t="s">
        <v>712</v>
      </c>
      <c r="G51" s="3" t="s">
        <v>144</v>
      </c>
      <c r="H51" s="3">
        <v>2</v>
      </c>
      <c r="I51" s="140">
        <v>97</v>
      </c>
    </row>
    <row r="52" spans="1:9" x14ac:dyDescent="0.25">
      <c r="A52" s="1">
        <v>45667</v>
      </c>
      <c r="B52" s="3" t="s">
        <v>308</v>
      </c>
      <c r="C52" s="3" t="s">
        <v>309</v>
      </c>
      <c r="D52" s="3" t="s">
        <v>12</v>
      </c>
      <c r="E52" s="3" t="s">
        <v>310</v>
      </c>
      <c r="F52" s="3" t="s">
        <v>311</v>
      </c>
      <c r="G52" s="3" t="s">
        <v>144</v>
      </c>
      <c r="H52" s="3">
        <v>2</v>
      </c>
      <c r="I52" s="5">
        <v>22</v>
      </c>
    </row>
    <row r="53" spans="1:9" x14ac:dyDescent="0.25">
      <c r="A53" s="1">
        <v>45667</v>
      </c>
      <c r="B53" s="3" t="s">
        <v>394</v>
      </c>
      <c r="C53" s="3" t="s">
        <v>395</v>
      </c>
      <c r="D53" s="3" t="s">
        <v>12</v>
      </c>
      <c r="E53" s="3" t="s">
        <v>396</v>
      </c>
      <c r="F53" s="3" t="s">
        <v>327</v>
      </c>
      <c r="G53" s="3" t="s">
        <v>144</v>
      </c>
      <c r="H53" s="3">
        <v>2</v>
      </c>
      <c r="I53" s="5">
        <v>26</v>
      </c>
    </row>
    <row r="54" spans="1:9" x14ac:dyDescent="0.25">
      <c r="A54" s="1">
        <v>45667</v>
      </c>
      <c r="B54" s="3" t="s">
        <v>728</v>
      </c>
      <c r="C54" s="3" t="s">
        <v>729</v>
      </c>
      <c r="D54" s="3" t="s">
        <v>12</v>
      </c>
      <c r="E54" s="3" t="s">
        <v>730</v>
      </c>
      <c r="F54" s="3" t="s">
        <v>46</v>
      </c>
      <c r="G54" s="3" t="s">
        <v>145</v>
      </c>
      <c r="H54" s="3">
        <v>1</v>
      </c>
      <c r="I54" s="5">
        <v>10.5</v>
      </c>
    </row>
    <row r="55" spans="1:9" x14ac:dyDescent="0.25">
      <c r="A55" s="1">
        <v>45667</v>
      </c>
      <c r="B55" s="3" t="s">
        <v>456</v>
      </c>
      <c r="C55" s="3" t="s">
        <v>457</v>
      </c>
      <c r="D55" s="3" t="s">
        <v>12</v>
      </c>
      <c r="E55" s="3" t="s">
        <v>458</v>
      </c>
      <c r="F55" s="3" t="s">
        <v>129</v>
      </c>
      <c r="G55" s="3" t="s">
        <v>145</v>
      </c>
      <c r="H55" s="3">
        <v>1</v>
      </c>
      <c r="I55" s="5">
        <v>13.5</v>
      </c>
    </row>
    <row r="56" spans="1:9" x14ac:dyDescent="0.25">
      <c r="A56" s="1">
        <v>45667</v>
      </c>
      <c r="B56" s="3" t="s">
        <v>719</v>
      </c>
      <c r="C56" s="3" t="s">
        <v>720</v>
      </c>
      <c r="D56" s="3" t="s">
        <v>12</v>
      </c>
      <c r="E56" s="3" t="s">
        <v>721</v>
      </c>
      <c r="F56" s="3" t="s">
        <v>46</v>
      </c>
      <c r="G56" s="3" t="s">
        <v>145</v>
      </c>
      <c r="H56" s="3">
        <v>1</v>
      </c>
      <c r="I56" s="140">
        <v>5</v>
      </c>
    </row>
    <row r="57" spans="1:9" x14ac:dyDescent="0.25">
      <c r="A57" s="1">
        <v>45667</v>
      </c>
      <c r="B57" s="3" t="s">
        <v>391</v>
      </c>
      <c r="C57" s="3" t="s">
        <v>392</v>
      </c>
      <c r="D57" s="3" t="s">
        <v>12</v>
      </c>
      <c r="E57" s="3" t="s">
        <v>393</v>
      </c>
      <c r="F57" s="3" t="s">
        <v>129</v>
      </c>
      <c r="G57" s="3" t="s">
        <v>1340</v>
      </c>
      <c r="H57" s="3">
        <v>1</v>
      </c>
      <c r="I57" s="5">
        <v>5</v>
      </c>
    </row>
    <row r="58" spans="1:9" x14ac:dyDescent="0.25">
      <c r="A58" s="1">
        <v>45668</v>
      </c>
      <c r="B58" s="3" t="s">
        <v>479</v>
      </c>
      <c r="C58" s="3" t="s">
        <v>480</v>
      </c>
      <c r="D58" s="3" t="s">
        <v>12</v>
      </c>
      <c r="E58" s="3" t="s">
        <v>481</v>
      </c>
      <c r="F58" s="3" t="s">
        <v>46</v>
      </c>
      <c r="G58" s="3" t="s">
        <v>1341</v>
      </c>
      <c r="H58" s="3">
        <v>4</v>
      </c>
      <c r="I58" s="5">
        <v>60</v>
      </c>
    </row>
    <row r="59" spans="1:9" x14ac:dyDescent="0.25">
      <c r="A59" s="1">
        <v>45668</v>
      </c>
      <c r="B59" s="3" t="s">
        <v>619</v>
      </c>
      <c r="C59" s="3" t="s">
        <v>620</v>
      </c>
      <c r="D59" s="3" t="s">
        <v>12</v>
      </c>
      <c r="E59" s="3" t="s">
        <v>621</v>
      </c>
      <c r="F59" s="3" t="s">
        <v>327</v>
      </c>
      <c r="G59" s="3" t="s">
        <v>1343</v>
      </c>
      <c r="H59" s="3">
        <v>2</v>
      </c>
      <c r="I59" s="5">
        <v>10</v>
      </c>
    </row>
    <row r="60" spans="1:9" x14ac:dyDescent="0.25">
      <c r="A60" s="1">
        <v>45668</v>
      </c>
      <c r="B60" s="3" t="s">
        <v>661</v>
      </c>
      <c r="C60" s="3" t="s">
        <v>662</v>
      </c>
      <c r="D60" s="3" t="s">
        <v>12</v>
      </c>
      <c r="E60" s="3" t="s">
        <v>663</v>
      </c>
      <c r="F60" s="3" t="s">
        <v>43</v>
      </c>
      <c r="G60" s="3" t="s">
        <v>1343</v>
      </c>
      <c r="H60" s="3">
        <v>2</v>
      </c>
      <c r="I60" s="5">
        <v>26</v>
      </c>
    </row>
    <row r="61" spans="1:9" x14ac:dyDescent="0.25">
      <c r="A61" s="1">
        <v>45668</v>
      </c>
      <c r="B61" s="3" t="s">
        <v>365</v>
      </c>
      <c r="C61" s="3" t="s">
        <v>366</v>
      </c>
      <c r="D61" s="3" t="s">
        <v>12</v>
      </c>
      <c r="E61" s="3" t="s">
        <v>207</v>
      </c>
      <c r="F61" s="3" t="s">
        <v>336</v>
      </c>
      <c r="G61" s="3" t="s">
        <v>1343</v>
      </c>
      <c r="H61" s="3">
        <v>2</v>
      </c>
      <c r="I61" s="5">
        <v>10</v>
      </c>
    </row>
    <row r="62" spans="1:9" x14ac:dyDescent="0.25">
      <c r="A62" s="1">
        <v>45668</v>
      </c>
      <c r="B62" s="3" t="s">
        <v>795</v>
      </c>
      <c r="C62" s="3" t="s">
        <v>796</v>
      </c>
      <c r="D62" s="3" t="s">
        <v>12</v>
      </c>
      <c r="E62" s="3" t="s">
        <v>797</v>
      </c>
      <c r="F62" s="3" t="s">
        <v>49</v>
      </c>
      <c r="G62" s="3" t="s">
        <v>1343</v>
      </c>
      <c r="H62" s="3">
        <v>2</v>
      </c>
      <c r="I62" s="5">
        <v>16</v>
      </c>
    </row>
    <row r="63" spans="1:9" x14ac:dyDescent="0.25">
      <c r="A63" s="1">
        <v>45668</v>
      </c>
      <c r="B63" s="3" t="s">
        <v>447</v>
      </c>
      <c r="C63" s="3" t="s">
        <v>448</v>
      </c>
      <c r="D63" s="3" t="s">
        <v>12</v>
      </c>
      <c r="E63" s="3" t="s">
        <v>449</v>
      </c>
      <c r="F63" s="3" t="s">
        <v>45</v>
      </c>
      <c r="G63" s="3" t="s">
        <v>1340</v>
      </c>
      <c r="H63" s="3">
        <v>1</v>
      </c>
      <c r="I63" s="5">
        <v>5</v>
      </c>
    </row>
    <row r="64" spans="1:9" x14ac:dyDescent="0.25">
      <c r="A64" s="1">
        <v>45670</v>
      </c>
      <c r="B64" s="3" t="s">
        <v>583</v>
      </c>
      <c r="C64" s="3" t="s">
        <v>584</v>
      </c>
      <c r="D64" s="3" t="s">
        <v>12</v>
      </c>
      <c r="E64" s="3" t="s">
        <v>585</v>
      </c>
      <c r="F64" s="3" t="s">
        <v>46</v>
      </c>
      <c r="G64" s="3" t="s">
        <v>1342</v>
      </c>
      <c r="H64" s="3">
        <v>3</v>
      </c>
      <c r="I64" s="5">
        <v>15</v>
      </c>
    </row>
    <row r="65" spans="1:9" x14ac:dyDescent="0.25">
      <c r="A65" s="1">
        <v>45670</v>
      </c>
      <c r="B65" s="3" t="s">
        <v>722</v>
      </c>
      <c r="C65" s="3" t="s">
        <v>723</v>
      </c>
      <c r="D65" s="3" t="s">
        <v>12</v>
      </c>
      <c r="E65" s="3" t="s">
        <v>724</v>
      </c>
      <c r="F65" s="3" t="s">
        <v>129</v>
      </c>
      <c r="G65" s="3" t="s">
        <v>1342</v>
      </c>
      <c r="H65" s="3">
        <v>3</v>
      </c>
      <c r="I65" s="5">
        <v>15</v>
      </c>
    </row>
    <row r="66" spans="1:9" x14ac:dyDescent="0.25">
      <c r="A66" s="1">
        <v>45670</v>
      </c>
      <c r="B66" s="3" t="s">
        <v>527</v>
      </c>
      <c r="C66" s="3" t="s">
        <v>528</v>
      </c>
      <c r="D66" s="3" t="s">
        <v>12</v>
      </c>
      <c r="E66" s="3" t="s">
        <v>529</v>
      </c>
      <c r="F66" s="3" t="s">
        <v>129</v>
      </c>
      <c r="G66" s="3" t="s">
        <v>1342</v>
      </c>
      <c r="H66" s="3">
        <v>3</v>
      </c>
      <c r="I66" s="5">
        <v>16.5</v>
      </c>
    </row>
    <row r="67" spans="1:9" x14ac:dyDescent="0.25">
      <c r="A67" s="1">
        <v>45670</v>
      </c>
      <c r="B67" s="3" t="s">
        <v>491</v>
      </c>
      <c r="C67" s="3" t="s">
        <v>492</v>
      </c>
      <c r="D67" s="3" t="s">
        <v>12</v>
      </c>
      <c r="E67" s="3" t="s">
        <v>493</v>
      </c>
      <c r="F67" s="3" t="s">
        <v>48</v>
      </c>
      <c r="G67" s="3" t="s">
        <v>1342</v>
      </c>
      <c r="H67" s="3">
        <v>3</v>
      </c>
      <c r="I67" s="5">
        <v>41.5</v>
      </c>
    </row>
    <row r="68" spans="1:9" x14ac:dyDescent="0.25">
      <c r="A68" s="1">
        <v>45670</v>
      </c>
      <c r="B68" s="3" t="s">
        <v>416</v>
      </c>
      <c r="C68" s="3" t="s">
        <v>417</v>
      </c>
      <c r="D68" s="3" t="s">
        <v>12</v>
      </c>
      <c r="E68" s="3" t="s">
        <v>418</v>
      </c>
      <c r="F68" s="3" t="s">
        <v>419</v>
      </c>
      <c r="G68" s="3" t="s">
        <v>1343</v>
      </c>
      <c r="H68" s="3">
        <v>2</v>
      </c>
      <c r="I68" s="140">
        <v>37</v>
      </c>
    </row>
    <row r="69" spans="1:9" x14ac:dyDescent="0.25">
      <c r="A69" s="1">
        <v>45670</v>
      </c>
      <c r="B69" s="3" t="s">
        <v>649</v>
      </c>
      <c r="C69" s="3" t="s">
        <v>650</v>
      </c>
      <c r="D69" s="3" t="s">
        <v>12</v>
      </c>
      <c r="E69" s="3" t="s">
        <v>651</v>
      </c>
      <c r="F69" s="3" t="s">
        <v>48</v>
      </c>
      <c r="G69" s="3" t="s">
        <v>1343</v>
      </c>
      <c r="H69" s="3">
        <v>2</v>
      </c>
      <c r="I69" s="5">
        <v>14</v>
      </c>
    </row>
    <row r="70" spans="1:9" x14ac:dyDescent="0.25">
      <c r="A70" s="1">
        <v>45670</v>
      </c>
      <c r="B70" s="3" t="s">
        <v>341</v>
      </c>
      <c r="C70" s="3" t="s">
        <v>342</v>
      </c>
      <c r="D70" s="3" t="s">
        <v>12</v>
      </c>
      <c r="E70" s="3" t="s">
        <v>343</v>
      </c>
      <c r="F70" s="3" t="s">
        <v>93</v>
      </c>
      <c r="G70" s="3" t="s">
        <v>1340</v>
      </c>
      <c r="H70" s="3">
        <v>1</v>
      </c>
      <c r="I70" s="5">
        <v>5</v>
      </c>
    </row>
    <row r="71" spans="1:9" x14ac:dyDescent="0.25">
      <c r="A71" s="1">
        <v>45670</v>
      </c>
      <c r="B71" s="3" t="s">
        <v>792</v>
      </c>
      <c r="C71" s="3" t="s">
        <v>793</v>
      </c>
      <c r="D71" s="3" t="s">
        <v>12</v>
      </c>
      <c r="E71" s="3" t="s">
        <v>794</v>
      </c>
      <c r="F71" s="3" t="s">
        <v>43</v>
      </c>
      <c r="G71" s="3" t="s">
        <v>1340</v>
      </c>
      <c r="H71" s="3">
        <v>1</v>
      </c>
      <c r="I71" s="5">
        <v>5</v>
      </c>
    </row>
    <row r="72" spans="1:9" x14ac:dyDescent="0.25">
      <c r="A72" s="1">
        <v>45670</v>
      </c>
      <c r="B72" s="3" t="s">
        <v>697</v>
      </c>
      <c r="C72" s="3" t="s">
        <v>698</v>
      </c>
      <c r="D72" s="3" t="s">
        <v>12</v>
      </c>
      <c r="E72" s="3" t="s">
        <v>699</v>
      </c>
      <c r="F72" s="3" t="s">
        <v>43</v>
      </c>
      <c r="G72" s="3" t="s">
        <v>1340</v>
      </c>
      <c r="H72" s="3">
        <v>1</v>
      </c>
      <c r="I72" s="5">
        <v>9.5</v>
      </c>
    </row>
    <row r="73" spans="1:9" x14ac:dyDescent="0.25">
      <c r="A73" s="1">
        <v>45670</v>
      </c>
      <c r="B73" s="3" t="s">
        <v>592</v>
      </c>
      <c r="C73" s="3" t="s">
        <v>593</v>
      </c>
      <c r="D73" s="3" t="s">
        <v>12</v>
      </c>
      <c r="E73" s="3" t="s">
        <v>594</v>
      </c>
      <c r="F73" s="3" t="s">
        <v>44</v>
      </c>
      <c r="G73" s="3" t="s">
        <v>1340</v>
      </c>
      <c r="H73" s="3">
        <v>1</v>
      </c>
      <c r="I73" s="5">
        <v>8.5</v>
      </c>
    </row>
    <row r="74" spans="1:9" x14ac:dyDescent="0.25">
      <c r="A74" s="1">
        <v>45670</v>
      </c>
      <c r="B74" s="3" t="s">
        <v>554</v>
      </c>
      <c r="C74" s="3" t="s">
        <v>555</v>
      </c>
      <c r="D74" s="3" t="s">
        <v>12</v>
      </c>
      <c r="E74" s="3" t="s">
        <v>556</v>
      </c>
      <c r="F74" s="3" t="s">
        <v>47</v>
      </c>
      <c r="G74" s="3" t="s">
        <v>1340</v>
      </c>
      <c r="H74" s="3">
        <v>1</v>
      </c>
      <c r="I74" s="5">
        <v>7.5</v>
      </c>
    </row>
    <row r="75" spans="1:9" x14ac:dyDescent="0.25">
      <c r="A75" s="1">
        <v>45670</v>
      </c>
      <c r="B75" s="3" t="s">
        <v>533</v>
      </c>
      <c r="C75" s="3" t="s">
        <v>534</v>
      </c>
      <c r="D75" s="3" t="s">
        <v>12</v>
      </c>
      <c r="E75" s="3" t="s">
        <v>535</v>
      </c>
      <c r="F75" s="3" t="s">
        <v>47</v>
      </c>
      <c r="G75" s="3" t="s">
        <v>1340</v>
      </c>
      <c r="H75" s="3">
        <v>1</v>
      </c>
      <c r="I75" s="5">
        <v>5</v>
      </c>
    </row>
    <row r="76" spans="1:9" x14ac:dyDescent="0.25">
      <c r="A76" s="1">
        <v>45670</v>
      </c>
      <c r="B76" s="3" t="s">
        <v>459</v>
      </c>
      <c r="C76" s="3" t="s">
        <v>460</v>
      </c>
      <c r="D76" s="3" t="s">
        <v>12</v>
      </c>
      <c r="E76" s="3" t="s">
        <v>461</v>
      </c>
      <c r="F76" s="3" t="s">
        <v>43</v>
      </c>
      <c r="G76" s="3" t="s">
        <v>1340</v>
      </c>
      <c r="H76" s="3">
        <v>1</v>
      </c>
      <c r="I76" s="5">
        <v>5</v>
      </c>
    </row>
    <row r="77" spans="1:9" x14ac:dyDescent="0.25">
      <c r="A77" s="1">
        <v>45670</v>
      </c>
      <c r="B77" s="3" t="s">
        <v>756</v>
      </c>
      <c r="C77" s="3" t="s">
        <v>757</v>
      </c>
      <c r="D77" s="3" t="s">
        <v>12</v>
      </c>
      <c r="E77" s="3" t="s">
        <v>758</v>
      </c>
      <c r="F77" s="3" t="s">
        <v>327</v>
      </c>
      <c r="G77" s="3" t="s">
        <v>1340</v>
      </c>
      <c r="H77" s="3">
        <v>1</v>
      </c>
      <c r="I77" s="5">
        <v>16.5</v>
      </c>
    </row>
    <row r="78" spans="1:9" x14ac:dyDescent="0.25">
      <c r="A78" s="1">
        <v>45670</v>
      </c>
      <c r="B78" s="3" t="s">
        <v>512</v>
      </c>
      <c r="C78" s="3" t="s">
        <v>513</v>
      </c>
      <c r="D78" s="3" t="s">
        <v>12</v>
      </c>
      <c r="E78" s="3" t="s">
        <v>514</v>
      </c>
      <c r="F78" s="3" t="s">
        <v>311</v>
      </c>
      <c r="G78" s="3" t="s">
        <v>1340</v>
      </c>
      <c r="H78" s="3">
        <v>1</v>
      </c>
      <c r="I78" s="5">
        <v>5</v>
      </c>
    </row>
    <row r="79" spans="1:9" x14ac:dyDescent="0.25">
      <c r="A79" s="1">
        <v>45670</v>
      </c>
      <c r="B79" s="3" t="s">
        <v>423</v>
      </c>
      <c r="C79" s="3" t="s">
        <v>424</v>
      </c>
      <c r="D79" s="3" t="s">
        <v>12</v>
      </c>
      <c r="E79" s="3" t="s">
        <v>425</v>
      </c>
      <c r="F79" s="3" t="s">
        <v>327</v>
      </c>
      <c r="G79" s="3" t="s">
        <v>1340</v>
      </c>
      <c r="H79" s="3">
        <v>1</v>
      </c>
      <c r="I79" s="5">
        <v>5</v>
      </c>
    </row>
    <row r="80" spans="1:9" x14ac:dyDescent="0.25">
      <c r="A80" s="1">
        <v>45671</v>
      </c>
      <c r="B80" s="3" t="s">
        <v>771</v>
      </c>
      <c r="C80" s="3" t="s">
        <v>772</v>
      </c>
      <c r="D80" s="3" t="s">
        <v>12</v>
      </c>
      <c r="E80" s="3" t="s">
        <v>773</v>
      </c>
      <c r="F80" s="3" t="s">
        <v>129</v>
      </c>
      <c r="G80" s="3" t="s">
        <v>1342</v>
      </c>
      <c r="H80" s="3">
        <v>3</v>
      </c>
      <c r="I80" s="140">
        <v>21.5</v>
      </c>
    </row>
    <row r="81" spans="1:9" x14ac:dyDescent="0.25">
      <c r="A81" s="1">
        <v>45671</v>
      </c>
      <c r="B81" s="3" t="s">
        <v>403</v>
      </c>
      <c r="C81" s="3" t="s">
        <v>404</v>
      </c>
      <c r="D81" s="3" t="s">
        <v>12</v>
      </c>
      <c r="E81" s="3" t="s">
        <v>405</v>
      </c>
      <c r="F81" s="3" t="s">
        <v>406</v>
      </c>
      <c r="G81" s="3" t="s">
        <v>1342</v>
      </c>
      <c r="H81" s="3">
        <v>3</v>
      </c>
      <c r="I81" s="5">
        <v>39.5</v>
      </c>
    </row>
    <row r="82" spans="1:9" x14ac:dyDescent="0.25">
      <c r="A82" s="1">
        <v>45671</v>
      </c>
      <c r="B82" s="3" t="s">
        <v>542</v>
      </c>
      <c r="C82" s="3" t="s">
        <v>543</v>
      </c>
      <c r="D82" s="3" t="s">
        <v>12</v>
      </c>
      <c r="E82" s="3" t="s">
        <v>544</v>
      </c>
      <c r="F82" s="3" t="s">
        <v>43</v>
      </c>
      <c r="G82" s="3" t="s">
        <v>1343</v>
      </c>
      <c r="H82" s="3">
        <v>2</v>
      </c>
      <c r="I82" s="5">
        <v>44</v>
      </c>
    </row>
    <row r="83" spans="1:9" x14ac:dyDescent="0.25">
      <c r="A83" s="1">
        <v>45671</v>
      </c>
      <c r="B83" s="3" t="s">
        <v>539</v>
      </c>
      <c r="C83" s="3" t="s">
        <v>540</v>
      </c>
      <c r="D83" s="3" t="s">
        <v>12</v>
      </c>
      <c r="E83" s="3" t="s">
        <v>541</v>
      </c>
      <c r="F83" s="3" t="s">
        <v>43</v>
      </c>
      <c r="G83" s="3" t="s">
        <v>1343</v>
      </c>
      <c r="H83" s="3">
        <v>2</v>
      </c>
      <c r="I83" s="5">
        <v>30</v>
      </c>
    </row>
    <row r="84" spans="1:9" x14ac:dyDescent="0.25">
      <c r="A84" s="1">
        <v>45671</v>
      </c>
      <c r="B84" s="3" t="s">
        <v>595</v>
      </c>
      <c r="C84" s="3" t="s">
        <v>596</v>
      </c>
      <c r="D84" s="3" t="s">
        <v>12</v>
      </c>
      <c r="E84" s="3" t="s">
        <v>597</v>
      </c>
      <c r="F84" s="3" t="s">
        <v>47</v>
      </c>
      <c r="G84" s="3" t="s">
        <v>1343</v>
      </c>
      <c r="H84" s="3">
        <v>2</v>
      </c>
      <c r="I84" s="5">
        <v>20</v>
      </c>
    </row>
    <row r="85" spans="1:9" x14ac:dyDescent="0.25">
      <c r="A85" s="1">
        <v>45671</v>
      </c>
      <c r="B85" s="3" t="s">
        <v>429</v>
      </c>
      <c r="C85" s="3" t="s">
        <v>430</v>
      </c>
      <c r="D85" s="3" t="s">
        <v>12</v>
      </c>
      <c r="E85" s="3" t="s">
        <v>431</v>
      </c>
      <c r="F85" s="3" t="s">
        <v>44</v>
      </c>
      <c r="G85" s="3" t="s">
        <v>1343</v>
      </c>
      <c r="H85" s="3">
        <v>2</v>
      </c>
      <c r="I85" s="5">
        <v>16</v>
      </c>
    </row>
    <row r="86" spans="1:9" x14ac:dyDescent="0.25">
      <c r="A86" s="1">
        <v>45671</v>
      </c>
      <c r="B86" s="3" t="s">
        <v>465</v>
      </c>
      <c r="C86" s="3" t="s">
        <v>466</v>
      </c>
      <c r="D86" s="3" t="s">
        <v>12</v>
      </c>
      <c r="E86" s="3" t="s">
        <v>467</v>
      </c>
      <c r="F86" s="3" t="s">
        <v>44</v>
      </c>
      <c r="G86" s="3" t="s">
        <v>1340</v>
      </c>
      <c r="H86" s="3">
        <v>1</v>
      </c>
      <c r="I86" s="140">
        <v>10.5</v>
      </c>
    </row>
    <row r="87" spans="1:9" x14ac:dyDescent="0.25">
      <c r="A87" s="1">
        <v>45671</v>
      </c>
      <c r="B87" s="3" t="s">
        <v>674</v>
      </c>
      <c r="C87" s="3" t="s">
        <v>675</v>
      </c>
      <c r="D87" s="3" t="s">
        <v>12</v>
      </c>
      <c r="E87" s="3" t="s">
        <v>676</v>
      </c>
      <c r="F87" s="3" t="s">
        <v>44</v>
      </c>
      <c r="G87" s="3" t="s">
        <v>1340</v>
      </c>
      <c r="H87" s="3">
        <v>1</v>
      </c>
      <c r="I87" s="5">
        <v>9.5</v>
      </c>
    </row>
    <row r="88" spans="1:9" x14ac:dyDescent="0.25">
      <c r="A88" s="1">
        <v>45671</v>
      </c>
      <c r="B88" s="3" t="s">
        <v>783</v>
      </c>
      <c r="C88" s="3" t="s">
        <v>784</v>
      </c>
      <c r="D88" s="3" t="s">
        <v>12</v>
      </c>
      <c r="E88" s="3" t="s">
        <v>785</v>
      </c>
      <c r="F88" s="3" t="s">
        <v>44</v>
      </c>
      <c r="G88" s="3" t="s">
        <v>1340</v>
      </c>
      <c r="H88" s="3">
        <v>1</v>
      </c>
      <c r="I88" s="5">
        <v>6.5</v>
      </c>
    </row>
    <row r="89" spans="1:9" x14ac:dyDescent="0.25">
      <c r="A89" s="1">
        <v>45672</v>
      </c>
      <c r="B89" s="3" t="s">
        <v>580</v>
      </c>
      <c r="C89" s="3" t="s">
        <v>581</v>
      </c>
      <c r="D89" s="3" t="s">
        <v>12</v>
      </c>
      <c r="E89" s="3" t="s">
        <v>582</v>
      </c>
      <c r="F89" s="3" t="s">
        <v>48</v>
      </c>
      <c r="G89" s="3" t="s">
        <v>1343</v>
      </c>
      <c r="H89" s="3">
        <v>2</v>
      </c>
      <c r="I89" s="5">
        <v>10</v>
      </c>
    </row>
    <row r="90" spans="1:9" x14ac:dyDescent="0.25">
      <c r="A90" s="1">
        <v>45672</v>
      </c>
      <c r="B90" s="3" t="s">
        <v>610</v>
      </c>
      <c r="C90" s="3" t="s">
        <v>611</v>
      </c>
      <c r="D90" s="3" t="s">
        <v>12</v>
      </c>
      <c r="E90" s="3" t="s">
        <v>612</v>
      </c>
      <c r="F90" s="3" t="s">
        <v>613</v>
      </c>
      <c r="G90" s="3" t="s">
        <v>1343</v>
      </c>
      <c r="H90" s="3">
        <v>2</v>
      </c>
      <c r="I90" s="5">
        <v>10</v>
      </c>
    </row>
    <row r="91" spans="1:9" x14ac:dyDescent="0.25">
      <c r="A91" s="1">
        <v>45672</v>
      </c>
      <c r="B91" s="3" t="s">
        <v>482</v>
      </c>
      <c r="C91" s="3" t="s">
        <v>483</v>
      </c>
      <c r="D91" s="3" t="s">
        <v>12</v>
      </c>
      <c r="E91" s="3" t="s">
        <v>484</v>
      </c>
      <c r="F91" s="3" t="s">
        <v>100</v>
      </c>
      <c r="G91" s="3" t="s">
        <v>1343</v>
      </c>
      <c r="H91" s="3">
        <v>2</v>
      </c>
      <c r="I91" s="5">
        <v>10</v>
      </c>
    </row>
    <row r="92" spans="1:9" x14ac:dyDescent="0.25">
      <c r="A92" s="1">
        <v>45672</v>
      </c>
      <c r="B92" s="3" t="s">
        <v>598</v>
      </c>
      <c r="C92" s="3" t="s">
        <v>599</v>
      </c>
      <c r="D92" s="3" t="s">
        <v>12</v>
      </c>
      <c r="E92" s="3" t="s">
        <v>600</v>
      </c>
      <c r="F92" s="3" t="s">
        <v>601</v>
      </c>
      <c r="G92" s="3" t="s">
        <v>1343</v>
      </c>
      <c r="H92" s="3">
        <v>2</v>
      </c>
      <c r="I92" s="5">
        <v>29</v>
      </c>
    </row>
    <row r="93" spans="1:9" x14ac:dyDescent="0.25">
      <c r="A93" s="1">
        <v>45672</v>
      </c>
      <c r="B93" s="3" t="s">
        <v>312</v>
      </c>
      <c r="C93" s="3" t="s">
        <v>313</v>
      </c>
      <c r="D93" s="3" t="s">
        <v>12</v>
      </c>
      <c r="E93" s="3" t="s">
        <v>314</v>
      </c>
      <c r="F93" s="3" t="s">
        <v>315</v>
      </c>
      <c r="G93" s="3" t="s">
        <v>1340</v>
      </c>
      <c r="H93" s="3">
        <v>1</v>
      </c>
      <c r="I93" s="5">
        <v>5</v>
      </c>
    </row>
    <row r="94" spans="1:9" x14ac:dyDescent="0.25">
      <c r="A94" s="1">
        <v>45672</v>
      </c>
      <c r="B94" s="3" t="s">
        <v>608</v>
      </c>
      <c r="C94" s="3" t="s">
        <v>609</v>
      </c>
      <c r="D94" s="3" t="s">
        <v>12</v>
      </c>
      <c r="E94" s="3" t="s">
        <v>607</v>
      </c>
      <c r="F94" s="3" t="s">
        <v>327</v>
      </c>
      <c r="G94" s="3" t="s">
        <v>1340</v>
      </c>
      <c r="H94" s="3">
        <v>1</v>
      </c>
      <c r="I94" s="5">
        <v>14.5</v>
      </c>
    </row>
    <row r="95" spans="1:9" x14ac:dyDescent="0.25">
      <c r="A95" s="1">
        <v>45672</v>
      </c>
      <c r="B95" s="3" t="s">
        <v>605</v>
      </c>
      <c r="C95" s="3" t="s">
        <v>606</v>
      </c>
      <c r="D95" s="3" t="s">
        <v>12</v>
      </c>
      <c r="E95" s="3" t="s">
        <v>607</v>
      </c>
      <c r="F95" s="3" t="s">
        <v>129</v>
      </c>
      <c r="G95" s="3" t="s">
        <v>1340</v>
      </c>
      <c r="H95" s="3">
        <v>1</v>
      </c>
      <c r="I95" s="5">
        <v>14.5</v>
      </c>
    </row>
    <row r="96" spans="1:9" x14ac:dyDescent="0.25">
      <c r="A96" s="1">
        <v>45672</v>
      </c>
      <c r="B96" s="3" t="s">
        <v>563</v>
      </c>
      <c r="C96" s="3" t="s">
        <v>564</v>
      </c>
      <c r="D96" s="3" t="s">
        <v>12</v>
      </c>
      <c r="E96" s="3" t="s">
        <v>565</v>
      </c>
      <c r="F96" s="3" t="s">
        <v>44</v>
      </c>
      <c r="G96" s="3" t="s">
        <v>1340</v>
      </c>
      <c r="H96" s="3">
        <v>1</v>
      </c>
      <c r="I96" s="5">
        <v>18.5</v>
      </c>
    </row>
    <row r="97" spans="1:9" x14ac:dyDescent="0.25">
      <c r="A97" s="1">
        <v>45672</v>
      </c>
      <c r="B97" s="3" t="s">
        <v>566</v>
      </c>
      <c r="C97" s="3" t="s">
        <v>567</v>
      </c>
      <c r="D97" s="3" t="s">
        <v>12</v>
      </c>
      <c r="E97" s="3" t="s">
        <v>568</v>
      </c>
      <c r="F97" s="3" t="s">
        <v>569</v>
      </c>
      <c r="G97" s="3" t="s">
        <v>1340</v>
      </c>
      <c r="H97" s="3">
        <v>1</v>
      </c>
      <c r="I97" s="5">
        <v>9.5</v>
      </c>
    </row>
    <row r="98" spans="1:9" x14ac:dyDescent="0.25">
      <c r="A98" s="1">
        <v>45672</v>
      </c>
      <c r="B98" s="3" t="s">
        <v>680</v>
      </c>
      <c r="C98" s="3" t="s">
        <v>681</v>
      </c>
      <c r="D98" s="3" t="s">
        <v>12</v>
      </c>
      <c r="E98" s="3" t="s">
        <v>682</v>
      </c>
      <c r="F98" s="3" t="s">
        <v>43</v>
      </c>
      <c r="G98" s="3" t="s">
        <v>1340</v>
      </c>
      <c r="H98" s="3">
        <v>1</v>
      </c>
      <c r="I98" s="5">
        <v>11.5</v>
      </c>
    </row>
    <row r="99" spans="1:9" x14ac:dyDescent="0.25">
      <c r="A99" s="1">
        <v>45672</v>
      </c>
      <c r="B99" s="3" t="s">
        <v>344</v>
      </c>
      <c r="C99" s="3" t="s">
        <v>345</v>
      </c>
      <c r="D99" s="3" t="s">
        <v>12</v>
      </c>
      <c r="E99" s="3" t="s">
        <v>346</v>
      </c>
      <c r="F99" s="3" t="s">
        <v>150</v>
      </c>
      <c r="G99" s="3" t="s">
        <v>1340</v>
      </c>
      <c r="H99" s="3">
        <v>1</v>
      </c>
      <c r="I99" s="5">
        <v>7.5</v>
      </c>
    </row>
    <row r="100" spans="1:9" x14ac:dyDescent="0.25">
      <c r="A100" s="1">
        <v>45672</v>
      </c>
      <c r="B100" s="3" t="s">
        <v>388</v>
      </c>
      <c r="C100" s="3" t="s">
        <v>389</v>
      </c>
      <c r="D100" s="3" t="s">
        <v>12</v>
      </c>
      <c r="E100" s="3" t="s">
        <v>390</v>
      </c>
      <c r="F100" s="3" t="s">
        <v>129</v>
      </c>
      <c r="G100" s="3" t="s">
        <v>1340</v>
      </c>
      <c r="H100" s="3">
        <v>1</v>
      </c>
      <c r="I100" s="5">
        <v>15.5</v>
      </c>
    </row>
    <row r="101" spans="1:9" x14ac:dyDescent="0.25">
      <c r="A101" s="1">
        <v>45672</v>
      </c>
      <c r="B101" s="3" t="s">
        <v>557</v>
      </c>
      <c r="C101" s="3" t="s">
        <v>558</v>
      </c>
      <c r="D101" s="3" t="s">
        <v>12</v>
      </c>
      <c r="E101" s="3" t="s">
        <v>559</v>
      </c>
      <c r="F101" s="3" t="s">
        <v>46</v>
      </c>
      <c r="G101" s="3" t="s">
        <v>1340</v>
      </c>
      <c r="H101" s="3">
        <v>1</v>
      </c>
      <c r="I101" s="5">
        <v>6.5</v>
      </c>
    </row>
    <row r="102" spans="1:9" x14ac:dyDescent="0.25">
      <c r="A102" s="1">
        <v>45673</v>
      </c>
      <c r="B102" s="3" t="s">
        <v>716</v>
      </c>
      <c r="C102" s="3" t="s">
        <v>717</v>
      </c>
      <c r="D102" s="3" t="s">
        <v>12</v>
      </c>
      <c r="E102" s="3" t="s">
        <v>718</v>
      </c>
      <c r="F102" s="3" t="s">
        <v>93</v>
      </c>
      <c r="G102" s="3" t="s">
        <v>1341</v>
      </c>
      <c r="H102" s="3">
        <v>5</v>
      </c>
      <c r="I102" s="5">
        <v>26.5</v>
      </c>
    </row>
    <row r="103" spans="1:9" x14ac:dyDescent="0.25">
      <c r="A103" s="1">
        <v>45673</v>
      </c>
      <c r="B103" s="3" t="s">
        <v>759</v>
      </c>
      <c r="C103" s="3" t="s">
        <v>760</v>
      </c>
      <c r="D103" s="3" t="s">
        <v>12</v>
      </c>
      <c r="E103" s="3" t="s">
        <v>761</v>
      </c>
      <c r="F103" s="3" t="s">
        <v>46</v>
      </c>
      <c r="G103" s="3" t="s">
        <v>1343</v>
      </c>
      <c r="H103" s="3">
        <v>2</v>
      </c>
      <c r="I103" s="5">
        <v>74</v>
      </c>
    </row>
    <row r="104" spans="1:9" x14ac:dyDescent="0.25">
      <c r="A104" s="1">
        <v>45673</v>
      </c>
      <c r="B104" s="3" t="s">
        <v>337</v>
      </c>
      <c r="C104" s="3" t="s">
        <v>338</v>
      </c>
      <c r="D104" s="3" t="s">
        <v>12</v>
      </c>
      <c r="E104" s="3" t="s">
        <v>339</v>
      </c>
      <c r="F104" s="3" t="s">
        <v>46</v>
      </c>
      <c r="G104" s="3" t="s">
        <v>1343</v>
      </c>
      <c r="H104" s="3">
        <v>2</v>
      </c>
      <c r="I104" s="140">
        <v>31</v>
      </c>
    </row>
    <row r="105" spans="1:9" x14ac:dyDescent="0.25">
      <c r="A105" s="1">
        <v>45673</v>
      </c>
      <c r="B105" s="3" t="s">
        <v>521</v>
      </c>
      <c r="C105" s="3" t="s">
        <v>522</v>
      </c>
      <c r="D105" s="3" t="s">
        <v>12</v>
      </c>
      <c r="E105" s="3" t="s">
        <v>523</v>
      </c>
      <c r="F105" s="3" t="s">
        <v>319</v>
      </c>
      <c r="G105" s="3" t="s">
        <v>1343</v>
      </c>
      <c r="H105" s="3">
        <v>2</v>
      </c>
      <c r="I105" s="5">
        <v>50</v>
      </c>
    </row>
    <row r="106" spans="1:9" x14ac:dyDescent="0.25">
      <c r="A106" s="1">
        <v>45673</v>
      </c>
      <c r="B106" s="3" t="s">
        <v>500</v>
      </c>
      <c r="C106" s="3" t="s">
        <v>501</v>
      </c>
      <c r="D106" s="3" t="s">
        <v>12</v>
      </c>
      <c r="E106" s="3" t="s">
        <v>502</v>
      </c>
      <c r="F106" s="3" t="s">
        <v>129</v>
      </c>
      <c r="G106" s="3" t="s">
        <v>1340</v>
      </c>
      <c r="H106" s="3">
        <v>1</v>
      </c>
      <c r="I106" s="5">
        <v>7.5</v>
      </c>
    </row>
    <row r="107" spans="1:9" x14ac:dyDescent="0.25">
      <c r="A107" s="1">
        <v>45673</v>
      </c>
      <c r="B107" s="3" t="s">
        <v>407</v>
      </c>
      <c r="C107" s="3" t="s">
        <v>408</v>
      </c>
      <c r="D107" s="3" t="s">
        <v>12</v>
      </c>
      <c r="E107" s="3" t="s">
        <v>409</v>
      </c>
      <c r="F107" s="3" t="s">
        <v>44</v>
      </c>
      <c r="G107" s="3" t="s">
        <v>1340</v>
      </c>
      <c r="H107" s="3">
        <v>1</v>
      </c>
      <c r="I107" s="5">
        <v>5</v>
      </c>
    </row>
    <row r="108" spans="1:9" x14ac:dyDescent="0.25">
      <c r="A108" s="1">
        <v>45673</v>
      </c>
      <c r="B108" s="3" t="s">
        <v>328</v>
      </c>
      <c r="C108" s="3" t="s">
        <v>329</v>
      </c>
      <c r="D108" s="3" t="s">
        <v>12</v>
      </c>
      <c r="E108" s="3" t="s">
        <v>330</v>
      </c>
      <c r="F108" s="3" t="s">
        <v>46</v>
      </c>
      <c r="G108" s="3" t="s">
        <v>1340</v>
      </c>
      <c r="H108" s="3">
        <v>1</v>
      </c>
      <c r="I108" s="5">
        <v>11.5</v>
      </c>
    </row>
    <row r="109" spans="1:9" x14ac:dyDescent="0.25">
      <c r="A109" s="1">
        <v>45673</v>
      </c>
      <c r="B109" s="3" t="s">
        <v>370</v>
      </c>
      <c r="C109" s="3" t="s">
        <v>371</v>
      </c>
      <c r="D109" s="3" t="s">
        <v>12</v>
      </c>
      <c r="E109" s="3" t="s">
        <v>372</v>
      </c>
      <c r="F109" s="3" t="s">
        <v>46</v>
      </c>
      <c r="G109" s="3" t="s">
        <v>1340</v>
      </c>
      <c r="H109" s="3">
        <v>1</v>
      </c>
      <c r="I109" s="5">
        <v>5</v>
      </c>
    </row>
    <row r="110" spans="1:9" x14ac:dyDescent="0.25">
      <c r="A110" s="1">
        <v>45673</v>
      </c>
      <c r="B110" s="3" t="s">
        <v>768</v>
      </c>
      <c r="C110" s="3" t="s">
        <v>769</v>
      </c>
      <c r="D110" s="3" t="s">
        <v>12</v>
      </c>
      <c r="E110" s="3" t="s">
        <v>770</v>
      </c>
      <c r="F110" s="3" t="s">
        <v>327</v>
      </c>
      <c r="G110" s="3" t="s">
        <v>1340</v>
      </c>
      <c r="H110" s="3">
        <v>1</v>
      </c>
      <c r="I110" s="5">
        <v>5</v>
      </c>
    </row>
    <row r="111" spans="1:9" x14ac:dyDescent="0.25">
      <c r="A111" s="1">
        <v>45673</v>
      </c>
      <c r="B111" s="3" t="s">
        <v>765</v>
      </c>
      <c r="C111" s="3" t="s">
        <v>766</v>
      </c>
      <c r="D111" s="3" t="s">
        <v>12</v>
      </c>
      <c r="E111" s="3" t="s">
        <v>767</v>
      </c>
      <c r="F111" s="3" t="s">
        <v>340</v>
      </c>
      <c r="G111" s="3" t="s">
        <v>1340</v>
      </c>
      <c r="H111" s="3">
        <v>1</v>
      </c>
      <c r="I111" s="5">
        <v>11.5</v>
      </c>
    </row>
    <row r="112" spans="1:9" x14ac:dyDescent="0.25">
      <c r="A112" s="1">
        <v>45673</v>
      </c>
      <c r="B112" s="3" t="s">
        <v>494</v>
      </c>
      <c r="C112" s="3" t="s">
        <v>495</v>
      </c>
      <c r="D112" s="3" t="s">
        <v>12</v>
      </c>
      <c r="E112" s="3" t="s">
        <v>496</v>
      </c>
      <c r="F112" s="3" t="s">
        <v>311</v>
      </c>
      <c r="G112" s="3" t="s">
        <v>1340</v>
      </c>
      <c r="H112" s="3">
        <v>1</v>
      </c>
      <c r="I112" s="5">
        <v>31.5</v>
      </c>
    </row>
    <row r="113" spans="1:9" x14ac:dyDescent="0.25">
      <c r="A113" s="1">
        <v>45673</v>
      </c>
      <c r="B113" s="3" t="s">
        <v>641</v>
      </c>
      <c r="C113" s="3" t="s">
        <v>642</v>
      </c>
      <c r="D113" s="3" t="s">
        <v>12</v>
      </c>
      <c r="E113" s="3" t="s">
        <v>643</v>
      </c>
      <c r="F113" s="3" t="s">
        <v>49</v>
      </c>
      <c r="G113" s="3" t="s">
        <v>1340</v>
      </c>
      <c r="H113" s="3">
        <v>1</v>
      </c>
      <c r="I113" s="5">
        <v>17.5</v>
      </c>
    </row>
    <row r="114" spans="1:9" x14ac:dyDescent="0.25">
      <c r="A114" s="1">
        <v>45674</v>
      </c>
      <c r="B114" s="3" t="s">
        <v>462</v>
      </c>
      <c r="C114" s="3" t="s">
        <v>463</v>
      </c>
      <c r="D114" s="3" t="s">
        <v>12</v>
      </c>
      <c r="E114" s="3" t="s">
        <v>464</v>
      </c>
      <c r="F114" s="3" t="s">
        <v>46</v>
      </c>
      <c r="G114" s="3" t="s">
        <v>1342</v>
      </c>
      <c r="H114" s="3">
        <v>3</v>
      </c>
      <c r="I114" s="5">
        <v>15</v>
      </c>
    </row>
    <row r="115" spans="1:9" x14ac:dyDescent="0.25">
      <c r="A115" s="1">
        <v>45674</v>
      </c>
      <c r="B115" s="3" t="s">
        <v>625</v>
      </c>
      <c r="C115" s="3" t="s">
        <v>626</v>
      </c>
      <c r="D115" s="3" t="s">
        <v>12</v>
      </c>
      <c r="E115" s="3" t="s">
        <v>627</v>
      </c>
      <c r="F115" s="3" t="s">
        <v>48</v>
      </c>
      <c r="G115" s="3" t="s">
        <v>145</v>
      </c>
      <c r="H115" s="3">
        <v>1</v>
      </c>
      <c r="I115" s="5">
        <v>26.5</v>
      </c>
    </row>
    <row r="116" spans="1:9" x14ac:dyDescent="0.25">
      <c r="A116" s="1">
        <v>45674</v>
      </c>
      <c r="B116" s="3" t="s">
        <v>683</v>
      </c>
      <c r="C116" s="3" t="s">
        <v>684</v>
      </c>
      <c r="D116" s="3" t="s">
        <v>12</v>
      </c>
      <c r="E116" s="3" t="s">
        <v>50</v>
      </c>
      <c r="F116" s="3" t="s">
        <v>327</v>
      </c>
      <c r="G116" s="3" t="s">
        <v>1343</v>
      </c>
      <c r="H116" s="3">
        <v>2</v>
      </c>
      <c r="I116" s="140">
        <v>55</v>
      </c>
    </row>
    <row r="117" spans="1:9" x14ac:dyDescent="0.25">
      <c r="A117" s="1">
        <v>45674</v>
      </c>
      <c r="B117" s="3" t="s">
        <v>625</v>
      </c>
      <c r="C117" s="3" t="s">
        <v>626</v>
      </c>
      <c r="D117" s="3" t="s">
        <v>12</v>
      </c>
      <c r="E117" s="3" t="s">
        <v>627</v>
      </c>
      <c r="F117" s="3" t="s">
        <v>48</v>
      </c>
      <c r="G117" s="3" t="s">
        <v>1340</v>
      </c>
      <c r="H117" s="3">
        <v>1</v>
      </c>
      <c r="I117" s="5">
        <v>18.5</v>
      </c>
    </row>
    <row r="118" spans="1:9" x14ac:dyDescent="0.25">
      <c r="A118" s="1">
        <v>45674</v>
      </c>
      <c r="B118" s="3" t="s">
        <v>677</v>
      </c>
      <c r="C118" s="3" t="s">
        <v>678</v>
      </c>
      <c r="D118" s="3" t="s">
        <v>12</v>
      </c>
      <c r="E118" s="3" t="s">
        <v>679</v>
      </c>
      <c r="F118" s="3" t="s">
        <v>327</v>
      </c>
      <c r="G118" s="3" t="s">
        <v>1340</v>
      </c>
      <c r="H118" s="3">
        <v>1</v>
      </c>
      <c r="I118" s="5">
        <v>5</v>
      </c>
    </row>
    <row r="119" spans="1:9" x14ac:dyDescent="0.25">
      <c r="A119" s="1">
        <v>45674</v>
      </c>
      <c r="B119" s="3" t="s">
        <v>367</v>
      </c>
      <c r="C119" s="3" t="s">
        <v>368</v>
      </c>
      <c r="D119" s="3" t="s">
        <v>12</v>
      </c>
      <c r="E119" s="3" t="s">
        <v>369</v>
      </c>
      <c r="F119" s="3" t="s">
        <v>43</v>
      </c>
      <c r="G119" s="3" t="s">
        <v>1340</v>
      </c>
      <c r="H119" s="3">
        <v>1</v>
      </c>
      <c r="I119" s="5">
        <v>47.5</v>
      </c>
    </row>
    <row r="120" spans="1:9" x14ac:dyDescent="0.25">
      <c r="A120" s="1">
        <v>45674</v>
      </c>
      <c r="B120" s="3" t="s">
        <v>515</v>
      </c>
      <c r="C120" s="3" t="s">
        <v>516</v>
      </c>
      <c r="D120" s="3" t="s">
        <v>12</v>
      </c>
      <c r="E120" s="3" t="s">
        <v>517</v>
      </c>
      <c r="F120" s="3" t="s">
        <v>311</v>
      </c>
      <c r="G120" s="3" t="s">
        <v>1340</v>
      </c>
      <c r="H120" s="3">
        <v>1</v>
      </c>
      <c r="I120" s="5">
        <v>24.5</v>
      </c>
    </row>
    <row r="121" spans="1:9" x14ac:dyDescent="0.25">
      <c r="A121" s="1">
        <v>45674</v>
      </c>
      <c r="B121" s="3" t="s">
        <v>668</v>
      </c>
      <c r="C121" s="3" t="s">
        <v>669</v>
      </c>
      <c r="D121" s="3" t="s">
        <v>12</v>
      </c>
      <c r="E121" s="3" t="s">
        <v>670</v>
      </c>
      <c r="F121" s="3" t="s">
        <v>48</v>
      </c>
      <c r="G121" s="3" t="s">
        <v>1340</v>
      </c>
      <c r="H121" s="3">
        <v>1</v>
      </c>
      <c r="I121" s="5">
        <v>5</v>
      </c>
    </row>
    <row r="122" spans="1:9" x14ac:dyDescent="0.25">
      <c r="A122" s="1">
        <v>45674</v>
      </c>
      <c r="B122" s="3" t="s">
        <v>420</v>
      </c>
      <c r="C122" s="3" t="s">
        <v>421</v>
      </c>
      <c r="D122" s="3" t="s">
        <v>12</v>
      </c>
      <c r="E122" s="3" t="s">
        <v>422</v>
      </c>
      <c r="F122" s="3" t="s">
        <v>315</v>
      </c>
      <c r="G122" s="3" t="s">
        <v>1340</v>
      </c>
      <c r="H122" s="3">
        <v>1</v>
      </c>
      <c r="I122" s="140">
        <v>5</v>
      </c>
    </row>
    <row r="123" spans="1:9" x14ac:dyDescent="0.25">
      <c r="A123" s="1">
        <v>45674</v>
      </c>
      <c r="B123" s="3" t="s">
        <v>665</v>
      </c>
      <c r="C123" s="3" t="s">
        <v>666</v>
      </c>
      <c r="D123" s="3" t="s">
        <v>12</v>
      </c>
      <c r="E123" s="3" t="s">
        <v>667</v>
      </c>
      <c r="F123" s="3" t="s">
        <v>46</v>
      </c>
      <c r="G123" s="3" t="s">
        <v>1340</v>
      </c>
      <c r="H123" s="3">
        <v>1</v>
      </c>
      <c r="I123" s="5">
        <v>5</v>
      </c>
    </row>
    <row r="124" spans="1:9" x14ac:dyDescent="0.25">
      <c r="A124" s="1">
        <v>45674</v>
      </c>
      <c r="B124" s="3" t="s">
        <v>441</v>
      </c>
      <c r="C124" s="3" t="s">
        <v>442</v>
      </c>
      <c r="D124" s="3" t="s">
        <v>12</v>
      </c>
      <c r="E124" s="3" t="s">
        <v>443</v>
      </c>
      <c r="F124" s="3" t="s">
        <v>129</v>
      </c>
      <c r="G124" s="3" t="s">
        <v>1340</v>
      </c>
      <c r="H124" s="3">
        <v>1</v>
      </c>
      <c r="I124" s="5">
        <v>5</v>
      </c>
    </row>
    <row r="125" spans="1:9" x14ac:dyDescent="0.25">
      <c r="A125" s="1">
        <v>45675</v>
      </c>
      <c r="B125" s="3" t="s">
        <v>347</v>
      </c>
      <c r="C125" s="3" t="s">
        <v>348</v>
      </c>
      <c r="D125" s="3" t="s">
        <v>12</v>
      </c>
      <c r="E125" s="3" t="s">
        <v>349</v>
      </c>
      <c r="F125" s="3" t="s">
        <v>46</v>
      </c>
      <c r="G125" s="3" t="s">
        <v>1340</v>
      </c>
      <c r="H125" s="3">
        <v>1</v>
      </c>
      <c r="I125" s="5">
        <v>7.5</v>
      </c>
    </row>
    <row r="126" spans="1:9" x14ac:dyDescent="0.25">
      <c r="A126" s="1">
        <v>45675</v>
      </c>
      <c r="B126" s="3" t="s">
        <v>774</v>
      </c>
      <c r="C126" s="3" t="s">
        <v>775</v>
      </c>
      <c r="D126" s="3" t="s">
        <v>12</v>
      </c>
      <c r="E126" s="3" t="s">
        <v>776</v>
      </c>
      <c r="F126" s="3" t="s">
        <v>43</v>
      </c>
      <c r="G126" s="3" t="s">
        <v>1340</v>
      </c>
      <c r="H126" s="3">
        <v>1</v>
      </c>
      <c r="I126" s="5">
        <v>24.5</v>
      </c>
    </row>
    <row r="127" spans="1:9" x14ac:dyDescent="0.25">
      <c r="A127" s="1">
        <v>45675</v>
      </c>
      <c r="B127" s="3" t="s">
        <v>400</v>
      </c>
      <c r="C127" s="3" t="s">
        <v>401</v>
      </c>
      <c r="D127" s="3" t="s">
        <v>12</v>
      </c>
      <c r="E127" s="3" t="s">
        <v>402</v>
      </c>
      <c r="F127" s="3" t="s">
        <v>340</v>
      </c>
      <c r="G127" s="3" t="s">
        <v>1340</v>
      </c>
      <c r="H127" s="3">
        <v>1</v>
      </c>
      <c r="I127" s="140">
        <v>7.5</v>
      </c>
    </row>
    <row r="128" spans="1:9" x14ac:dyDescent="0.25">
      <c r="A128" s="1">
        <v>45677</v>
      </c>
      <c r="B128" s="3" t="s">
        <v>397</v>
      </c>
      <c r="C128" s="3" t="s">
        <v>398</v>
      </c>
      <c r="D128" s="3" t="s">
        <v>12</v>
      </c>
      <c r="E128" s="3" t="s">
        <v>399</v>
      </c>
      <c r="F128" s="3" t="s">
        <v>311</v>
      </c>
      <c r="G128" s="3" t="s">
        <v>1340</v>
      </c>
      <c r="H128" s="3">
        <v>1</v>
      </c>
      <c r="I128" s="5">
        <v>7.5</v>
      </c>
    </row>
    <row r="129" spans="1:9" x14ac:dyDescent="0.25">
      <c r="A129" s="1">
        <v>45677</v>
      </c>
      <c r="B129" s="3" t="s">
        <v>703</v>
      </c>
      <c r="C129" s="3" t="s">
        <v>704</v>
      </c>
      <c r="D129" s="3" t="s">
        <v>12</v>
      </c>
      <c r="E129" s="3" t="s">
        <v>705</v>
      </c>
      <c r="F129" s="3" t="s">
        <v>48</v>
      </c>
      <c r="G129" s="3" t="s">
        <v>1340</v>
      </c>
      <c r="H129" s="3">
        <v>1</v>
      </c>
      <c r="I129" s="5">
        <v>14.5</v>
      </c>
    </row>
    <row r="130" spans="1:9" x14ac:dyDescent="0.25">
      <c r="A130" s="1">
        <v>45678</v>
      </c>
      <c r="B130" s="3" t="s">
        <v>731</v>
      </c>
      <c r="C130" s="3" t="s">
        <v>732</v>
      </c>
      <c r="D130" s="3" t="s">
        <v>12</v>
      </c>
      <c r="E130" s="3" t="s">
        <v>733</v>
      </c>
      <c r="F130" s="3" t="s">
        <v>44</v>
      </c>
      <c r="G130" s="3" t="s">
        <v>1343</v>
      </c>
      <c r="H130" s="3">
        <v>2</v>
      </c>
      <c r="I130" s="5">
        <v>23</v>
      </c>
    </row>
    <row r="131" spans="1:9" x14ac:dyDescent="0.25">
      <c r="A131" s="1">
        <v>45678</v>
      </c>
      <c r="B131" s="3" t="s">
        <v>737</v>
      </c>
      <c r="C131" s="3" t="s">
        <v>738</v>
      </c>
      <c r="D131" s="3" t="s">
        <v>12</v>
      </c>
      <c r="E131" s="3" t="s">
        <v>1345</v>
      </c>
      <c r="F131" s="3" t="s">
        <v>48</v>
      </c>
      <c r="G131" s="3" t="s">
        <v>1343</v>
      </c>
      <c r="H131" s="3">
        <v>2</v>
      </c>
      <c r="I131" s="5">
        <v>82</v>
      </c>
    </row>
    <row r="132" spans="1:9" x14ac:dyDescent="0.25">
      <c r="A132" s="1">
        <v>45678</v>
      </c>
      <c r="B132" s="3" t="s">
        <v>359</v>
      </c>
      <c r="C132" s="3" t="s">
        <v>360</v>
      </c>
      <c r="D132" s="3" t="s">
        <v>12</v>
      </c>
      <c r="E132" s="3" t="s">
        <v>361</v>
      </c>
      <c r="F132" s="3" t="s">
        <v>46</v>
      </c>
      <c r="G132" s="3" t="s">
        <v>1343</v>
      </c>
      <c r="H132" s="3">
        <v>2</v>
      </c>
      <c r="I132" s="5">
        <v>10</v>
      </c>
    </row>
    <row r="133" spans="1:9" x14ac:dyDescent="0.25">
      <c r="A133" s="1">
        <v>45678</v>
      </c>
      <c r="B133" s="3" t="s">
        <v>503</v>
      </c>
      <c r="C133" s="3" t="s">
        <v>504</v>
      </c>
      <c r="D133" s="3" t="s">
        <v>12</v>
      </c>
      <c r="E133" s="3" t="s">
        <v>505</v>
      </c>
      <c r="F133" s="3" t="s">
        <v>100</v>
      </c>
      <c r="G133" s="3" t="s">
        <v>1340</v>
      </c>
      <c r="H133" s="3">
        <v>1</v>
      </c>
      <c r="I133" s="5">
        <v>9.5</v>
      </c>
    </row>
    <row r="134" spans="1:9" x14ac:dyDescent="0.25">
      <c r="A134" s="1">
        <v>45678</v>
      </c>
      <c r="B134" s="3" t="s">
        <v>453</v>
      </c>
      <c r="C134" s="3" t="s">
        <v>454</v>
      </c>
      <c r="D134" s="3" t="s">
        <v>12</v>
      </c>
      <c r="E134" s="3" t="s">
        <v>455</v>
      </c>
      <c r="F134" s="3" t="s">
        <v>44</v>
      </c>
      <c r="G134" s="3" t="s">
        <v>1340</v>
      </c>
      <c r="H134" s="3">
        <v>1</v>
      </c>
      <c r="I134" s="5">
        <v>23.5</v>
      </c>
    </row>
    <row r="135" spans="1:9" x14ac:dyDescent="0.25">
      <c r="A135" s="1">
        <v>45679</v>
      </c>
      <c r="B135" s="3" t="s">
        <v>706</v>
      </c>
      <c r="C135" s="3" t="s">
        <v>707</v>
      </c>
      <c r="D135" s="3" t="s">
        <v>12</v>
      </c>
      <c r="E135" s="3" t="s">
        <v>708</v>
      </c>
      <c r="F135" s="3" t="s">
        <v>43</v>
      </c>
      <c r="G135" s="3" t="s">
        <v>1343</v>
      </c>
      <c r="H135" s="3">
        <v>2</v>
      </c>
      <c r="I135" s="5">
        <v>37</v>
      </c>
    </row>
    <row r="136" spans="1:9" x14ac:dyDescent="0.25">
      <c r="A136" s="1">
        <v>45680</v>
      </c>
      <c r="B136" s="3" t="s">
        <v>570</v>
      </c>
      <c r="C136" s="3" t="s">
        <v>571</v>
      </c>
      <c r="D136" s="3" t="s">
        <v>12</v>
      </c>
      <c r="E136" s="3" t="s">
        <v>572</v>
      </c>
      <c r="F136" s="3" t="s">
        <v>129</v>
      </c>
      <c r="G136" s="3" t="s">
        <v>1342</v>
      </c>
      <c r="H136" s="3">
        <v>3</v>
      </c>
      <c r="I136" s="5">
        <v>47.5</v>
      </c>
    </row>
    <row r="137" spans="1:9" x14ac:dyDescent="0.25">
      <c r="A137" s="1">
        <v>45680</v>
      </c>
      <c r="B137" s="3" t="s">
        <v>573</v>
      </c>
      <c r="C137" s="3" t="s">
        <v>574</v>
      </c>
      <c r="D137" s="3" t="s">
        <v>12</v>
      </c>
      <c r="E137" s="3" t="s">
        <v>575</v>
      </c>
      <c r="F137" s="3" t="s">
        <v>326</v>
      </c>
      <c r="G137" s="3" t="s">
        <v>1343</v>
      </c>
      <c r="H137" s="3">
        <v>2</v>
      </c>
      <c r="I137" s="5">
        <v>27</v>
      </c>
    </row>
    <row r="138" spans="1:9" x14ac:dyDescent="0.25">
      <c r="A138" s="1">
        <v>45680</v>
      </c>
      <c r="B138" s="3" t="s">
        <v>602</v>
      </c>
      <c r="C138" s="3" t="s">
        <v>603</v>
      </c>
      <c r="D138" s="3" t="s">
        <v>12</v>
      </c>
      <c r="E138" s="3" t="s">
        <v>604</v>
      </c>
      <c r="F138" s="3" t="s">
        <v>327</v>
      </c>
      <c r="G138" s="3" t="s">
        <v>1340</v>
      </c>
      <c r="H138" s="3">
        <v>1</v>
      </c>
      <c r="I138" s="5">
        <v>5</v>
      </c>
    </row>
    <row r="139" spans="1:9" x14ac:dyDescent="0.25">
      <c r="A139" s="1">
        <v>45681</v>
      </c>
      <c r="B139" s="3" t="s">
        <v>616</v>
      </c>
      <c r="C139" s="3" t="s">
        <v>617</v>
      </c>
      <c r="D139" s="3" t="s">
        <v>12</v>
      </c>
      <c r="E139" s="3" t="s">
        <v>618</v>
      </c>
      <c r="F139" s="3" t="s">
        <v>47</v>
      </c>
      <c r="G139" s="3" t="s">
        <v>1339</v>
      </c>
      <c r="H139" s="3">
        <v>4</v>
      </c>
      <c r="I139" s="5">
        <v>53</v>
      </c>
    </row>
    <row r="140" spans="1:9" x14ac:dyDescent="0.25">
      <c r="A140" s="1">
        <v>45681</v>
      </c>
      <c r="B140" s="3" t="s">
        <v>435</v>
      </c>
      <c r="C140" s="3" t="s">
        <v>436</v>
      </c>
      <c r="D140" s="3" t="s">
        <v>12</v>
      </c>
      <c r="E140" s="3" t="s">
        <v>437</v>
      </c>
      <c r="F140" s="3" t="s">
        <v>48</v>
      </c>
      <c r="G140" s="3" t="s">
        <v>1343</v>
      </c>
      <c r="H140" s="3">
        <v>2</v>
      </c>
      <c r="I140" s="5">
        <v>51</v>
      </c>
    </row>
    <row r="141" spans="1:9" x14ac:dyDescent="0.25">
      <c r="A141" s="1">
        <v>45681</v>
      </c>
      <c r="B141" s="3" t="s">
        <v>530</v>
      </c>
      <c r="C141" s="3" t="s">
        <v>531</v>
      </c>
      <c r="D141" s="3" t="s">
        <v>12</v>
      </c>
      <c r="E141" s="3" t="s">
        <v>532</v>
      </c>
      <c r="F141" s="3" t="s">
        <v>129</v>
      </c>
      <c r="G141" s="3" t="s">
        <v>1343</v>
      </c>
      <c r="H141" s="3">
        <v>2</v>
      </c>
      <c r="I141" s="5">
        <v>20</v>
      </c>
    </row>
    <row r="142" spans="1:9" x14ac:dyDescent="0.25">
      <c r="A142" s="1">
        <v>45681</v>
      </c>
      <c r="B142" s="3" t="s">
        <v>725</v>
      </c>
      <c r="C142" s="3" t="s">
        <v>726</v>
      </c>
      <c r="D142" s="3" t="s">
        <v>12</v>
      </c>
      <c r="E142" s="3" t="s">
        <v>727</v>
      </c>
      <c r="F142" s="3" t="s">
        <v>49</v>
      </c>
      <c r="G142" s="3" t="s">
        <v>1343</v>
      </c>
      <c r="H142" s="3">
        <v>2</v>
      </c>
      <c r="I142" s="5">
        <v>17</v>
      </c>
    </row>
    <row r="143" spans="1:9" x14ac:dyDescent="0.25">
      <c r="A143" s="1">
        <v>45681</v>
      </c>
      <c r="B143" s="3" t="s">
        <v>350</v>
      </c>
      <c r="C143" s="3" t="s">
        <v>351</v>
      </c>
      <c r="D143" s="3" t="s">
        <v>12</v>
      </c>
      <c r="E143" s="3" t="s">
        <v>352</v>
      </c>
      <c r="F143" s="3" t="s">
        <v>43</v>
      </c>
      <c r="G143" s="3" t="s">
        <v>1340</v>
      </c>
      <c r="H143" s="3">
        <v>1</v>
      </c>
      <c r="I143" s="5">
        <v>8.5</v>
      </c>
    </row>
    <row r="144" spans="1:9" x14ac:dyDescent="0.25">
      <c r="A144" s="1">
        <v>45681</v>
      </c>
      <c r="B144" s="3" t="s">
        <v>426</v>
      </c>
      <c r="C144" s="3" t="s">
        <v>427</v>
      </c>
      <c r="D144" s="3" t="s">
        <v>12</v>
      </c>
      <c r="E144" s="3" t="s">
        <v>428</v>
      </c>
      <c r="F144" s="3" t="s">
        <v>327</v>
      </c>
      <c r="G144" s="3" t="s">
        <v>1340</v>
      </c>
      <c r="H144" s="3">
        <v>1</v>
      </c>
      <c r="I144" s="5">
        <v>5</v>
      </c>
    </row>
    <row r="145" spans="1:9" x14ac:dyDescent="0.25">
      <c r="A145" s="1">
        <v>45681</v>
      </c>
      <c r="B145" s="3" t="s">
        <v>622</v>
      </c>
      <c r="C145" s="3" t="s">
        <v>623</v>
      </c>
      <c r="D145" s="3" t="s">
        <v>12</v>
      </c>
      <c r="E145" s="3" t="s">
        <v>624</v>
      </c>
      <c r="F145" s="3" t="s">
        <v>327</v>
      </c>
      <c r="G145" s="3" t="s">
        <v>1340</v>
      </c>
      <c r="H145" s="3">
        <v>1</v>
      </c>
      <c r="I145" s="140">
        <v>5</v>
      </c>
    </row>
    <row r="146" spans="1:9" x14ac:dyDescent="0.25">
      <c r="A146" s="1">
        <v>45682</v>
      </c>
      <c r="B146" s="3" t="s">
        <v>780</v>
      </c>
      <c r="C146" s="3" t="s">
        <v>781</v>
      </c>
      <c r="D146" s="3" t="s">
        <v>12</v>
      </c>
      <c r="E146" s="3" t="s">
        <v>782</v>
      </c>
      <c r="F146" s="3" t="s">
        <v>46</v>
      </c>
      <c r="G146" s="3" t="s">
        <v>1340</v>
      </c>
      <c r="H146" s="3">
        <v>1</v>
      </c>
      <c r="I146" s="5">
        <v>5</v>
      </c>
    </row>
    <row r="147" spans="1:9" x14ac:dyDescent="0.25">
      <c r="A147" s="1">
        <v>45682</v>
      </c>
      <c r="B147" s="3" t="s">
        <v>628</v>
      </c>
      <c r="C147" s="3" t="s">
        <v>629</v>
      </c>
      <c r="D147" s="3" t="s">
        <v>12</v>
      </c>
      <c r="E147" s="3" t="s">
        <v>630</v>
      </c>
      <c r="F147" s="3" t="s">
        <v>631</v>
      </c>
      <c r="G147" s="3" t="s">
        <v>1340</v>
      </c>
      <c r="H147" s="3">
        <v>1</v>
      </c>
      <c r="I147" s="5">
        <v>5</v>
      </c>
    </row>
    <row r="148" spans="1:9" x14ac:dyDescent="0.25">
      <c r="A148" s="1">
        <v>45682</v>
      </c>
      <c r="B148" s="3" t="s">
        <v>777</v>
      </c>
      <c r="C148" s="3" t="s">
        <v>778</v>
      </c>
      <c r="D148" s="3" t="s">
        <v>12</v>
      </c>
      <c r="E148" s="3" t="s">
        <v>779</v>
      </c>
      <c r="F148" s="3" t="s">
        <v>46</v>
      </c>
      <c r="G148" s="3" t="s">
        <v>1340</v>
      </c>
      <c r="H148" s="3">
        <v>1</v>
      </c>
      <c r="I148" s="140">
        <v>13.5</v>
      </c>
    </row>
    <row r="149" spans="1:9" x14ac:dyDescent="0.25">
      <c r="A149" s="1">
        <v>45684</v>
      </c>
      <c r="B149" s="3" t="s">
        <v>126</v>
      </c>
      <c r="C149" s="3" t="s">
        <v>127</v>
      </c>
      <c r="D149" s="3" t="s">
        <v>12</v>
      </c>
      <c r="E149" s="3" t="s">
        <v>128</v>
      </c>
      <c r="F149" s="3" t="s">
        <v>129</v>
      </c>
      <c r="G149" s="3" t="s">
        <v>1340</v>
      </c>
      <c r="H149" s="3">
        <v>1</v>
      </c>
      <c r="I149" s="5">
        <v>9.5</v>
      </c>
    </row>
    <row r="150" spans="1:9" x14ac:dyDescent="0.25">
      <c r="A150" s="1">
        <v>45684</v>
      </c>
      <c r="B150" s="3" t="s">
        <v>97</v>
      </c>
      <c r="C150" s="3" t="s">
        <v>98</v>
      </c>
      <c r="D150" s="3" t="s">
        <v>12</v>
      </c>
      <c r="E150" s="3" t="s">
        <v>99</v>
      </c>
      <c r="F150" s="3" t="s">
        <v>100</v>
      </c>
      <c r="G150" s="3" t="s">
        <v>1340</v>
      </c>
      <c r="H150" s="3">
        <v>1</v>
      </c>
      <c r="I150" s="5">
        <v>8.5</v>
      </c>
    </row>
    <row r="151" spans="1:9" x14ac:dyDescent="0.25">
      <c r="A151" s="1">
        <v>45684</v>
      </c>
      <c r="B151" s="3" t="s">
        <v>94</v>
      </c>
      <c r="C151" s="3" t="s">
        <v>95</v>
      </c>
      <c r="D151" s="3" t="s">
        <v>12</v>
      </c>
      <c r="E151" s="3" t="s">
        <v>96</v>
      </c>
      <c r="F151" s="3" t="s">
        <v>46</v>
      </c>
      <c r="G151" s="3" t="s">
        <v>1340</v>
      </c>
      <c r="H151" s="3">
        <v>1</v>
      </c>
      <c r="I151" s="5">
        <v>5</v>
      </c>
    </row>
    <row r="152" spans="1:9" x14ac:dyDescent="0.25">
      <c r="A152" s="1">
        <v>45684</v>
      </c>
      <c r="B152" s="3" t="s">
        <v>353</v>
      </c>
      <c r="C152" s="3" t="s">
        <v>354</v>
      </c>
      <c r="D152" s="3" t="s">
        <v>12</v>
      </c>
      <c r="E152" s="3" t="s">
        <v>355</v>
      </c>
      <c r="F152" s="3" t="s">
        <v>327</v>
      </c>
      <c r="G152" s="3" t="s">
        <v>1340</v>
      </c>
      <c r="H152" s="3">
        <v>1</v>
      </c>
      <c r="I152" s="5">
        <v>22.5</v>
      </c>
    </row>
    <row r="153" spans="1:9" x14ac:dyDescent="0.25">
      <c r="A153" s="1">
        <v>45684</v>
      </c>
      <c r="B153" s="3" t="s">
        <v>671</v>
      </c>
      <c r="C153" s="3" t="s">
        <v>672</v>
      </c>
      <c r="D153" s="3" t="s">
        <v>12</v>
      </c>
      <c r="E153" s="3" t="s">
        <v>673</v>
      </c>
      <c r="F153" s="3" t="s">
        <v>47</v>
      </c>
      <c r="G153" s="3" t="s">
        <v>1340</v>
      </c>
      <c r="H153" s="3">
        <v>1</v>
      </c>
      <c r="I153" s="5">
        <v>5</v>
      </c>
    </row>
    <row r="154" spans="1:9" x14ac:dyDescent="0.25">
      <c r="A154" s="1">
        <v>45684</v>
      </c>
      <c r="B154" s="3" t="s">
        <v>742</v>
      </c>
      <c r="C154" s="3" t="s">
        <v>743</v>
      </c>
      <c r="D154" s="3" t="s">
        <v>12</v>
      </c>
      <c r="E154" s="3" t="s">
        <v>744</v>
      </c>
      <c r="F154" s="3" t="s">
        <v>311</v>
      </c>
      <c r="G154" s="3" t="s">
        <v>1340</v>
      </c>
      <c r="H154" s="3">
        <v>1</v>
      </c>
      <c r="I154" s="5">
        <v>5</v>
      </c>
    </row>
    <row r="155" spans="1:9" x14ac:dyDescent="0.25">
      <c r="A155" s="1">
        <v>45684</v>
      </c>
      <c r="B155" s="3" t="s">
        <v>762</v>
      </c>
      <c r="C155" s="3" t="s">
        <v>763</v>
      </c>
      <c r="D155" s="3" t="s">
        <v>12</v>
      </c>
      <c r="E155" s="3" t="s">
        <v>764</v>
      </c>
      <c r="F155" s="3" t="s">
        <v>44</v>
      </c>
      <c r="G155" s="3" t="s">
        <v>1340</v>
      </c>
      <c r="H155" s="3">
        <v>1</v>
      </c>
      <c r="I155" s="5">
        <v>9.5</v>
      </c>
    </row>
    <row r="156" spans="1:9" x14ac:dyDescent="0.25">
      <c r="A156" s="1">
        <v>45684</v>
      </c>
      <c r="B156" s="3" t="s">
        <v>658</v>
      </c>
      <c r="C156" s="3" t="s">
        <v>659</v>
      </c>
      <c r="D156" s="3" t="s">
        <v>12</v>
      </c>
      <c r="E156" s="3" t="s">
        <v>660</v>
      </c>
      <c r="F156" s="3" t="s">
        <v>44</v>
      </c>
      <c r="G156" s="3" t="s">
        <v>1340</v>
      </c>
      <c r="H156" s="3">
        <v>1</v>
      </c>
      <c r="I156" s="5">
        <v>46.5</v>
      </c>
    </row>
    <row r="157" spans="1:9" x14ac:dyDescent="0.25">
      <c r="A157" s="1">
        <v>45685</v>
      </c>
      <c r="B157" s="3" t="s">
        <v>323</v>
      </c>
      <c r="C157" s="3" t="s">
        <v>324</v>
      </c>
      <c r="D157" s="3" t="s">
        <v>12</v>
      </c>
      <c r="E157" s="3" t="s">
        <v>325</v>
      </c>
      <c r="F157" s="3" t="s">
        <v>326</v>
      </c>
      <c r="G157" s="3" t="s">
        <v>1339</v>
      </c>
      <c r="H157" s="3">
        <v>4</v>
      </c>
      <c r="I157" s="5">
        <v>23.5</v>
      </c>
    </row>
    <row r="158" spans="1:9" x14ac:dyDescent="0.25">
      <c r="A158" s="1">
        <v>45685</v>
      </c>
      <c r="B158" s="3" t="s">
        <v>509</v>
      </c>
      <c r="C158" s="3" t="s">
        <v>510</v>
      </c>
      <c r="D158" s="3" t="s">
        <v>12</v>
      </c>
      <c r="E158" s="3" t="s">
        <v>511</v>
      </c>
      <c r="F158" s="3" t="s">
        <v>46</v>
      </c>
      <c r="G158" s="3" t="s">
        <v>1343</v>
      </c>
      <c r="H158" s="3">
        <v>2</v>
      </c>
      <c r="I158" s="5">
        <v>10</v>
      </c>
    </row>
    <row r="159" spans="1:9" x14ac:dyDescent="0.25">
      <c r="A159" s="1">
        <v>45685</v>
      </c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 t="s">
        <v>1340</v>
      </c>
      <c r="H159" s="3">
        <v>1</v>
      </c>
      <c r="I159" s="5">
        <v>5</v>
      </c>
    </row>
    <row r="160" spans="1:9" x14ac:dyDescent="0.25">
      <c r="A160" s="1">
        <v>45685</v>
      </c>
      <c r="B160" s="3" t="s">
        <v>413</v>
      </c>
      <c r="C160" s="3" t="s">
        <v>414</v>
      </c>
      <c r="D160" s="3" t="s">
        <v>12</v>
      </c>
      <c r="E160" s="3" t="s">
        <v>415</v>
      </c>
      <c r="F160" s="3" t="s">
        <v>327</v>
      </c>
      <c r="G160" s="3" t="s">
        <v>1340</v>
      </c>
      <c r="H160" s="3">
        <v>1</v>
      </c>
      <c r="I160" s="5">
        <v>5</v>
      </c>
    </row>
    <row r="161" spans="1:9" x14ac:dyDescent="0.25">
      <c r="A161" s="1">
        <v>45685</v>
      </c>
      <c r="B161" s="3" t="s">
        <v>536</v>
      </c>
      <c r="C161" s="3" t="s">
        <v>537</v>
      </c>
      <c r="D161" s="3" t="s">
        <v>12</v>
      </c>
      <c r="E161" s="3" t="s">
        <v>538</v>
      </c>
      <c r="F161" s="3" t="s">
        <v>100</v>
      </c>
      <c r="G161" s="3" t="s">
        <v>1340</v>
      </c>
      <c r="H161" s="3">
        <v>1</v>
      </c>
      <c r="I161" s="5">
        <v>5</v>
      </c>
    </row>
    <row r="162" spans="1:9" x14ac:dyDescent="0.25">
      <c r="A162" s="1">
        <v>45686</v>
      </c>
      <c r="B162" s="2" t="s">
        <v>114</v>
      </c>
      <c r="C162" s="2" t="s">
        <v>115</v>
      </c>
      <c r="D162" s="3" t="s">
        <v>12</v>
      </c>
      <c r="E162" s="3" t="s">
        <v>113</v>
      </c>
      <c r="F162" s="3" t="s">
        <v>116</v>
      </c>
      <c r="G162" s="3" t="s">
        <v>1340</v>
      </c>
      <c r="H162" s="3">
        <v>1</v>
      </c>
      <c r="I162" s="5">
        <v>5</v>
      </c>
    </row>
    <row r="163" spans="1:9" x14ac:dyDescent="0.25">
      <c r="A163" s="1">
        <v>45686</v>
      </c>
      <c r="B163" s="3" t="s">
        <v>753</v>
      </c>
      <c r="C163" s="3" t="s">
        <v>754</v>
      </c>
      <c r="D163" s="3" t="s">
        <v>12</v>
      </c>
      <c r="E163" s="3" t="s">
        <v>755</v>
      </c>
      <c r="F163" s="3" t="s">
        <v>12</v>
      </c>
      <c r="G163" s="3" t="s">
        <v>1340</v>
      </c>
      <c r="H163" s="3">
        <v>1</v>
      </c>
      <c r="I163" s="5">
        <v>11.5</v>
      </c>
    </row>
    <row r="164" spans="1:9" x14ac:dyDescent="0.25">
      <c r="A164" s="1">
        <v>45686</v>
      </c>
      <c r="B164" s="3" t="s">
        <v>560</v>
      </c>
      <c r="C164" s="3" t="s">
        <v>561</v>
      </c>
      <c r="D164" s="3" t="s">
        <v>12</v>
      </c>
      <c r="E164" s="3" t="s">
        <v>562</v>
      </c>
      <c r="F164" s="3" t="s">
        <v>327</v>
      </c>
      <c r="G164" s="3" t="s">
        <v>1340</v>
      </c>
      <c r="H164" s="3">
        <v>1</v>
      </c>
      <c r="I164" s="5">
        <v>32.5</v>
      </c>
    </row>
    <row r="165" spans="1:9" x14ac:dyDescent="0.25">
      <c r="A165" s="1">
        <v>45687</v>
      </c>
      <c r="B165" s="3" t="s">
        <v>432</v>
      </c>
      <c r="C165" s="3" t="s">
        <v>433</v>
      </c>
      <c r="D165" s="3" t="s">
        <v>12</v>
      </c>
      <c r="E165" s="3" t="s">
        <v>434</v>
      </c>
      <c r="F165" s="3" t="s">
        <v>43</v>
      </c>
      <c r="G165" s="3" t="s">
        <v>1337</v>
      </c>
      <c r="H165" s="3">
        <v>1</v>
      </c>
      <c r="I165" s="5">
        <v>38.5</v>
      </c>
    </row>
    <row r="166" spans="1:9" x14ac:dyDescent="0.25">
      <c r="A166" s="1">
        <v>45687</v>
      </c>
      <c r="B166" s="3" t="s">
        <v>410</v>
      </c>
      <c r="C166" s="3" t="s">
        <v>411</v>
      </c>
      <c r="D166" s="3" t="s">
        <v>12</v>
      </c>
      <c r="E166" s="3" t="s">
        <v>412</v>
      </c>
      <c r="F166" s="3" t="s">
        <v>43</v>
      </c>
      <c r="G166" s="3" t="s">
        <v>1342</v>
      </c>
      <c r="H166" s="3">
        <v>3</v>
      </c>
      <c r="I166" s="5">
        <v>64.5</v>
      </c>
    </row>
    <row r="167" spans="1:9" x14ac:dyDescent="0.25">
      <c r="A167" s="1">
        <v>45687</v>
      </c>
      <c r="B167" s="3" t="s">
        <v>713</v>
      </c>
      <c r="C167" s="3" t="s">
        <v>714</v>
      </c>
      <c r="D167" s="3" t="s">
        <v>12</v>
      </c>
      <c r="E167" s="3" t="s">
        <v>715</v>
      </c>
      <c r="F167" s="3" t="s">
        <v>664</v>
      </c>
      <c r="G167" s="3" t="s">
        <v>1342</v>
      </c>
      <c r="H167" s="3">
        <v>3</v>
      </c>
      <c r="I167" s="5">
        <v>81.5</v>
      </c>
    </row>
    <row r="168" spans="1:9" x14ac:dyDescent="0.25">
      <c r="A168" s="1">
        <v>45687</v>
      </c>
      <c r="B168" s="3" t="s">
        <v>586</v>
      </c>
      <c r="C168" s="3" t="s">
        <v>587</v>
      </c>
      <c r="D168" s="3" t="s">
        <v>12</v>
      </c>
      <c r="E168" s="3" t="s">
        <v>588</v>
      </c>
      <c r="F168" s="3" t="s">
        <v>46</v>
      </c>
      <c r="G168" s="3" t="s">
        <v>1342</v>
      </c>
      <c r="H168" s="3">
        <v>3</v>
      </c>
      <c r="I168" s="5">
        <v>118.5</v>
      </c>
    </row>
    <row r="169" spans="1:9" x14ac:dyDescent="0.25">
      <c r="A169" s="1">
        <v>45687</v>
      </c>
      <c r="B169" s="3" t="s">
        <v>750</v>
      </c>
      <c r="C169" s="3" t="s">
        <v>751</v>
      </c>
      <c r="D169" s="3" t="s">
        <v>12</v>
      </c>
      <c r="E169" s="3" t="s">
        <v>752</v>
      </c>
      <c r="F169" s="3" t="s">
        <v>49</v>
      </c>
      <c r="G169" s="3" t="s">
        <v>1342</v>
      </c>
      <c r="H169" s="3">
        <v>3</v>
      </c>
      <c r="I169" s="5">
        <v>15</v>
      </c>
    </row>
    <row r="170" spans="1:9" x14ac:dyDescent="0.25">
      <c r="A170" s="1">
        <v>45687</v>
      </c>
      <c r="B170" s="3" t="s">
        <v>432</v>
      </c>
      <c r="C170" s="3" t="s">
        <v>433</v>
      </c>
      <c r="D170" s="3" t="s">
        <v>12</v>
      </c>
      <c r="E170" s="3" t="s">
        <v>434</v>
      </c>
      <c r="F170" s="3" t="s">
        <v>43</v>
      </c>
      <c r="G170" s="3" t="s">
        <v>145</v>
      </c>
      <c r="H170" s="3">
        <v>1</v>
      </c>
      <c r="I170" s="5">
        <v>43.5</v>
      </c>
    </row>
    <row r="171" spans="1:9" x14ac:dyDescent="0.25">
      <c r="A171" s="1">
        <v>45687</v>
      </c>
      <c r="B171" s="3" t="s">
        <v>691</v>
      </c>
      <c r="C171" s="3" t="s">
        <v>692</v>
      </c>
      <c r="D171" s="3" t="s">
        <v>12</v>
      </c>
      <c r="E171" s="3" t="s">
        <v>693</v>
      </c>
      <c r="F171" s="3" t="s">
        <v>44</v>
      </c>
      <c r="G171" s="3" t="s">
        <v>1343</v>
      </c>
      <c r="H171" s="3">
        <v>2</v>
      </c>
      <c r="I171" s="5">
        <v>19</v>
      </c>
    </row>
    <row r="172" spans="1:9" x14ac:dyDescent="0.25">
      <c r="A172" s="1">
        <v>45687</v>
      </c>
      <c r="B172" s="3" t="s">
        <v>551</v>
      </c>
      <c r="C172" s="3" t="s">
        <v>552</v>
      </c>
      <c r="D172" s="3" t="s">
        <v>12</v>
      </c>
      <c r="E172" s="3" t="s">
        <v>553</v>
      </c>
      <c r="F172" s="3" t="s">
        <v>44</v>
      </c>
      <c r="G172" s="3" t="s">
        <v>1343</v>
      </c>
      <c r="H172" s="3">
        <v>2</v>
      </c>
      <c r="I172" s="5">
        <v>28</v>
      </c>
    </row>
    <row r="173" spans="1:9" x14ac:dyDescent="0.25">
      <c r="A173" s="1">
        <v>45687</v>
      </c>
      <c r="B173" s="3" t="s">
        <v>576</v>
      </c>
      <c r="C173" s="3" t="s">
        <v>577</v>
      </c>
      <c r="D173" s="3" t="s">
        <v>12</v>
      </c>
      <c r="E173" s="3" t="s">
        <v>578</v>
      </c>
      <c r="F173" s="3" t="s">
        <v>579</v>
      </c>
      <c r="G173" s="3" t="s">
        <v>1343</v>
      </c>
      <c r="H173" s="3">
        <v>2</v>
      </c>
      <c r="I173" s="5">
        <v>10</v>
      </c>
    </row>
    <row r="174" spans="1:9" x14ac:dyDescent="0.25">
      <c r="A174" s="1">
        <v>45687</v>
      </c>
      <c r="B174" s="3" t="s">
        <v>497</v>
      </c>
      <c r="C174" s="3" t="s">
        <v>498</v>
      </c>
      <c r="D174" s="3" t="s">
        <v>12</v>
      </c>
      <c r="E174" s="3" t="s">
        <v>499</v>
      </c>
      <c r="F174" s="3" t="s">
        <v>43</v>
      </c>
      <c r="G174" s="3" t="s">
        <v>1343</v>
      </c>
      <c r="H174" s="3">
        <v>2</v>
      </c>
      <c r="I174" s="5">
        <v>51</v>
      </c>
    </row>
    <row r="175" spans="1:9" x14ac:dyDescent="0.25">
      <c r="A175" s="1">
        <v>45687</v>
      </c>
      <c r="B175" s="3" t="s">
        <v>362</v>
      </c>
      <c r="C175" s="3" t="s">
        <v>363</v>
      </c>
      <c r="D175" s="3" t="s">
        <v>12</v>
      </c>
      <c r="E175" s="3" t="s">
        <v>364</v>
      </c>
      <c r="F175" s="3" t="s">
        <v>43</v>
      </c>
      <c r="G175" s="3" t="s">
        <v>1340</v>
      </c>
      <c r="H175" s="3">
        <v>1</v>
      </c>
      <c r="I175" s="5">
        <v>16.5</v>
      </c>
    </row>
    <row r="176" spans="1:9" x14ac:dyDescent="0.25">
      <c r="A176" s="1">
        <v>45687</v>
      </c>
      <c r="B176" s="3" t="s">
        <v>745</v>
      </c>
      <c r="C176" s="3" t="s">
        <v>746</v>
      </c>
      <c r="D176" s="3" t="s">
        <v>12</v>
      </c>
      <c r="E176" s="3" t="s">
        <v>747</v>
      </c>
      <c r="F176" s="3" t="s">
        <v>327</v>
      </c>
      <c r="G176" s="3" t="s">
        <v>1340</v>
      </c>
      <c r="H176" s="3">
        <v>1</v>
      </c>
      <c r="I176" s="5">
        <v>6.5</v>
      </c>
    </row>
    <row r="177" spans="1:9" x14ac:dyDescent="0.25">
      <c r="A177" s="1">
        <v>45687</v>
      </c>
      <c r="B177" s="3" t="s">
        <v>748</v>
      </c>
      <c r="C177" s="3" t="s">
        <v>749</v>
      </c>
      <c r="D177" s="3" t="s">
        <v>12</v>
      </c>
      <c r="E177" s="3" t="s">
        <v>747</v>
      </c>
      <c r="F177" s="3" t="s">
        <v>327</v>
      </c>
      <c r="G177" s="3" t="s">
        <v>1340</v>
      </c>
      <c r="H177" s="3">
        <v>1</v>
      </c>
      <c r="I177" s="5">
        <v>5</v>
      </c>
    </row>
    <row r="178" spans="1:9" x14ac:dyDescent="0.25">
      <c r="A178" s="1">
        <v>45687</v>
      </c>
      <c r="B178" s="3" t="s">
        <v>432</v>
      </c>
      <c r="C178" s="3" t="s">
        <v>433</v>
      </c>
      <c r="D178" s="3" t="s">
        <v>12</v>
      </c>
      <c r="E178" s="3" t="s">
        <v>434</v>
      </c>
      <c r="F178" s="3" t="s">
        <v>43</v>
      </c>
      <c r="G178" s="3" t="s">
        <v>1340</v>
      </c>
      <c r="H178" s="3">
        <v>1</v>
      </c>
      <c r="I178" s="5">
        <v>18.5</v>
      </c>
    </row>
    <row r="179" spans="1:9" x14ac:dyDescent="0.25">
      <c r="A179" s="1">
        <v>45687</v>
      </c>
      <c r="B179" s="3" t="s">
        <v>652</v>
      </c>
      <c r="C179" s="3" t="s">
        <v>653</v>
      </c>
      <c r="D179" s="3" t="s">
        <v>12</v>
      </c>
      <c r="E179" s="3" t="s">
        <v>654</v>
      </c>
      <c r="F179" s="3" t="s">
        <v>43</v>
      </c>
      <c r="G179" s="3" t="s">
        <v>1340</v>
      </c>
      <c r="H179" s="3">
        <v>1</v>
      </c>
      <c r="I179" s="5">
        <v>8.5</v>
      </c>
    </row>
    <row r="180" spans="1:9" x14ac:dyDescent="0.25">
      <c r="A180" s="1">
        <v>45688</v>
      </c>
      <c r="B180" s="3" t="s">
        <v>739</v>
      </c>
      <c r="C180" s="3" t="s">
        <v>740</v>
      </c>
      <c r="D180" s="3" t="s">
        <v>12</v>
      </c>
      <c r="E180" s="3" t="s">
        <v>741</v>
      </c>
      <c r="F180" s="3" t="s">
        <v>47</v>
      </c>
      <c r="G180" s="1" t="s">
        <v>1342</v>
      </c>
      <c r="H180" s="3">
        <v>3</v>
      </c>
      <c r="I180" s="140">
        <v>69.5</v>
      </c>
    </row>
    <row r="181" spans="1:9" x14ac:dyDescent="0.25">
      <c r="A181" s="1">
        <v>45688</v>
      </c>
      <c r="B181" s="3" t="s">
        <v>334</v>
      </c>
      <c r="C181" s="3" t="s">
        <v>335</v>
      </c>
      <c r="D181" s="3" t="s">
        <v>12</v>
      </c>
      <c r="E181" s="3" t="s">
        <v>333</v>
      </c>
      <c r="F181" s="3" t="s">
        <v>336</v>
      </c>
      <c r="G181" s="1" t="s">
        <v>1342</v>
      </c>
      <c r="H181" s="3">
        <v>3</v>
      </c>
      <c r="I181" s="140">
        <v>29.5</v>
      </c>
    </row>
    <row r="182" spans="1:9" x14ac:dyDescent="0.25">
      <c r="A182" s="1">
        <v>45688</v>
      </c>
      <c r="B182" s="3" t="s">
        <v>331</v>
      </c>
      <c r="C182" s="3" t="s">
        <v>332</v>
      </c>
      <c r="D182" s="3" t="s">
        <v>12</v>
      </c>
      <c r="E182" s="3" t="s">
        <v>333</v>
      </c>
      <c r="F182" s="3" t="s">
        <v>46</v>
      </c>
      <c r="G182" s="1" t="s">
        <v>1342</v>
      </c>
      <c r="H182" s="3">
        <v>3</v>
      </c>
      <c r="I182" s="140">
        <v>30.5</v>
      </c>
    </row>
    <row r="183" spans="1:9" x14ac:dyDescent="0.25">
      <c r="A183" s="1">
        <v>45688</v>
      </c>
      <c r="B183" s="3" t="s">
        <v>301</v>
      </c>
      <c r="C183" s="3" t="s">
        <v>302</v>
      </c>
      <c r="D183" s="3" t="s">
        <v>12</v>
      </c>
      <c r="E183" s="3" t="s">
        <v>303</v>
      </c>
      <c r="F183" s="3" t="s">
        <v>304</v>
      </c>
      <c r="G183" s="1" t="s">
        <v>1342</v>
      </c>
      <c r="H183" s="3">
        <v>3</v>
      </c>
      <c r="I183" s="140">
        <v>15</v>
      </c>
    </row>
    <row r="184" spans="1:9" x14ac:dyDescent="0.25">
      <c r="A184" s="1">
        <v>45688</v>
      </c>
      <c r="B184" s="3" t="s">
        <v>734</v>
      </c>
      <c r="C184" s="3" t="s">
        <v>735</v>
      </c>
      <c r="D184" s="3" t="s">
        <v>12</v>
      </c>
      <c r="E184" s="3" t="s">
        <v>736</v>
      </c>
      <c r="F184" s="3" t="s">
        <v>49</v>
      </c>
      <c r="G184" s="1" t="s">
        <v>1342</v>
      </c>
      <c r="H184" s="3">
        <v>3</v>
      </c>
      <c r="I184" s="140">
        <v>87.5</v>
      </c>
    </row>
    <row r="185" spans="1:9" x14ac:dyDescent="0.25">
      <c r="A185" s="1">
        <v>45688</v>
      </c>
      <c r="B185" s="3" t="s">
        <v>376</v>
      </c>
      <c r="C185" s="3" t="s">
        <v>377</v>
      </c>
      <c r="D185" s="3" t="s">
        <v>12</v>
      </c>
      <c r="E185" s="3" t="s">
        <v>378</v>
      </c>
      <c r="F185" s="3" t="s">
        <v>49</v>
      </c>
      <c r="G185" s="1" t="s">
        <v>1342</v>
      </c>
      <c r="H185" s="3">
        <v>3</v>
      </c>
      <c r="I185" s="140">
        <v>98.5</v>
      </c>
    </row>
    <row r="186" spans="1:9" x14ac:dyDescent="0.25">
      <c r="A186" s="1">
        <v>45688</v>
      </c>
      <c r="B186" s="3" t="s">
        <v>647</v>
      </c>
      <c r="C186" s="3" t="s">
        <v>648</v>
      </c>
      <c r="D186" s="3" t="s">
        <v>12</v>
      </c>
      <c r="E186" s="3" t="s">
        <v>646</v>
      </c>
      <c r="F186" s="3" t="s">
        <v>47</v>
      </c>
      <c r="G186" s="1" t="s">
        <v>1342</v>
      </c>
      <c r="H186" s="3">
        <v>3</v>
      </c>
      <c r="I186" s="140">
        <v>36.5</v>
      </c>
    </row>
    <row r="187" spans="1:9" x14ac:dyDescent="0.25">
      <c r="A187" s="1">
        <v>45688</v>
      </c>
      <c r="B187" s="3" t="s">
        <v>589</v>
      </c>
      <c r="C187" s="3" t="s">
        <v>590</v>
      </c>
      <c r="D187" s="3" t="s">
        <v>12</v>
      </c>
      <c r="E187" s="3" t="s">
        <v>591</v>
      </c>
      <c r="F187" s="3" t="s">
        <v>44</v>
      </c>
      <c r="G187" s="1" t="s">
        <v>1342</v>
      </c>
      <c r="H187" s="3">
        <v>3</v>
      </c>
      <c r="I187" s="140">
        <v>24.5</v>
      </c>
    </row>
    <row r="188" spans="1:9" x14ac:dyDescent="0.25">
      <c r="A188" s="1">
        <v>45688</v>
      </c>
      <c r="B188" s="3" t="s">
        <v>644</v>
      </c>
      <c r="C188" s="3" t="s">
        <v>645</v>
      </c>
      <c r="D188" s="3" t="s">
        <v>12</v>
      </c>
      <c r="E188" s="3" t="s">
        <v>646</v>
      </c>
      <c r="F188" s="3" t="s">
        <v>327</v>
      </c>
      <c r="G188" s="1" t="s">
        <v>1342</v>
      </c>
      <c r="H188" s="3">
        <v>3</v>
      </c>
      <c r="I188" s="140">
        <v>106.5</v>
      </c>
    </row>
    <row r="189" spans="1:9" x14ac:dyDescent="0.25">
      <c r="A189" s="1">
        <v>45688</v>
      </c>
      <c r="B189" s="3" t="s">
        <v>316</v>
      </c>
      <c r="C189" s="3" t="s">
        <v>317</v>
      </c>
      <c r="D189" s="3" t="s">
        <v>12</v>
      </c>
      <c r="E189" s="3" t="s">
        <v>318</v>
      </c>
      <c r="F189" s="3" t="s">
        <v>43</v>
      </c>
      <c r="G189" s="1" t="s">
        <v>1342</v>
      </c>
      <c r="H189" s="3">
        <v>3</v>
      </c>
      <c r="I189" s="140">
        <v>56.5</v>
      </c>
    </row>
    <row r="190" spans="1:9" x14ac:dyDescent="0.25">
      <c r="A190" s="1">
        <v>45688</v>
      </c>
      <c r="B190" s="3" t="s">
        <v>548</v>
      </c>
      <c r="C190" s="3" t="s">
        <v>549</v>
      </c>
      <c r="D190" s="3" t="s">
        <v>12</v>
      </c>
      <c r="E190" s="3" t="s">
        <v>550</v>
      </c>
      <c r="F190" s="3" t="s">
        <v>129</v>
      </c>
      <c r="G190" s="3" t="s">
        <v>1343</v>
      </c>
      <c r="H190" s="3">
        <v>2</v>
      </c>
      <c r="I190" s="140">
        <v>10</v>
      </c>
    </row>
    <row r="191" spans="1:9" x14ac:dyDescent="0.25">
      <c r="A191" s="1">
        <v>45688</v>
      </c>
      <c r="B191" s="3" t="s">
        <v>524</v>
      </c>
      <c r="C191" s="3" t="s">
        <v>525</v>
      </c>
      <c r="D191" s="3" t="s">
        <v>12</v>
      </c>
      <c r="E191" s="3" t="s">
        <v>526</v>
      </c>
      <c r="F191" s="3" t="s">
        <v>45</v>
      </c>
      <c r="G191" s="3" t="s">
        <v>1340</v>
      </c>
      <c r="H191" s="3">
        <v>1</v>
      </c>
      <c r="I191" s="140">
        <v>19.5</v>
      </c>
    </row>
    <row r="192" spans="1:9" x14ac:dyDescent="0.25">
      <c r="A192" s="1">
        <v>45688</v>
      </c>
      <c r="B192" s="3" t="s">
        <v>518</v>
      </c>
      <c r="C192" s="3" t="s">
        <v>519</v>
      </c>
      <c r="D192" s="3" t="s">
        <v>12</v>
      </c>
      <c r="E192" s="3" t="s">
        <v>520</v>
      </c>
      <c r="F192" s="3" t="s">
        <v>129</v>
      </c>
      <c r="G192" s="3" t="s">
        <v>1340</v>
      </c>
      <c r="H192" s="3">
        <v>1</v>
      </c>
      <c r="I192" s="140">
        <v>6.5</v>
      </c>
    </row>
    <row r="193" spans="1:9" x14ac:dyDescent="0.25">
      <c r="A193" s="1">
        <v>45688</v>
      </c>
      <c r="B193" s="3" t="s">
        <v>379</v>
      </c>
      <c r="C193" s="3" t="s">
        <v>380</v>
      </c>
      <c r="D193" s="3" t="s">
        <v>12</v>
      </c>
      <c r="E193" s="3" t="s">
        <v>381</v>
      </c>
      <c r="F193" s="3" t="s">
        <v>311</v>
      </c>
      <c r="G193" s="3" t="s">
        <v>1340</v>
      </c>
      <c r="H193" s="3">
        <v>1</v>
      </c>
      <c r="I193" s="140">
        <v>26.5</v>
      </c>
    </row>
    <row r="194" spans="1:9" x14ac:dyDescent="0.25">
      <c r="A194" s="1">
        <v>45688</v>
      </c>
      <c r="B194" s="3" t="s">
        <v>632</v>
      </c>
      <c r="C194" s="3" t="s">
        <v>633</v>
      </c>
      <c r="D194" s="3" t="s">
        <v>12</v>
      </c>
      <c r="E194" s="3" t="s">
        <v>634</v>
      </c>
      <c r="F194" s="3" t="s">
        <v>46</v>
      </c>
      <c r="G194" s="3" t="s">
        <v>1340</v>
      </c>
      <c r="H194" s="3">
        <v>1</v>
      </c>
      <c r="I194" s="140">
        <v>7.5</v>
      </c>
    </row>
    <row r="195" spans="1:9" x14ac:dyDescent="0.25">
      <c r="A195" s="1">
        <v>45688</v>
      </c>
      <c r="B195" s="3" t="s">
        <v>638</v>
      </c>
      <c r="C195" s="3" t="s">
        <v>639</v>
      </c>
      <c r="D195" s="3" t="s">
        <v>12</v>
      </c>
      <c r="E195" s="3" t="s">
        <v>637</v>
      </c>
      <c r="F195" s="3" t="s">
        <v>640</v>
      </c>
      <c r="G195" s="3" t="s">
        <v>1340</v>
      </c>
      <c r="H195" s="3">
        <v>1</v>
      </c>
      <c r="I195" s="140">
        <v>11.5</v>
      </c>
    </row>
    <row r="196" spans="1:9" x14ac:dyDescent="0.25">
      <c r="A196" s="1">
        <v>45688</v>
      </c>
      <c r="B196" s="3" t="s">
        <v>635</v>
      </c>
      <c r="C196" s="3" t="s">
        <v>636</v>
      </c>
      <c r="D196" s="3" t="s">
        <v>12</v>
      </c>
      <c r="E196" s="3" t="s">
        <v>637</v>
      </c>
      <c r="F196" s="3" t="s">
        <v>46</v>
      </c>
      <c r="G196" s="3" t="s">
        <v>1340</v>
      </c>
      <c r="H196" s="3">
        <v>1</v>
      </c>
      <c r="I196" s="140">
        <v>5</v>
      </c>
    </row>
    <row r="197" spans="1:9" ht="15.75" thickBot="1" x14ac:dyDescent="0.3"/>
    <row r="198" spans="1:9" ht="15.75" thickBot="1" x14ac:dyDescent="0.3">
      <c r="G198" s="37" t="s">
        <v>15</v>
      </c>
      <c r="I198" s="169">
        <f>SUM(I10:I197)</f>
        <v>4385.5</v>
      </c>
    </row>
    <row r="200" spans="1:9" ht="45" x14ac:dyDescent="0.25">
      <c r="A200" s="84" t="s">
        <v>71</v>
      </c>
      <c r="B200" s="86" t="s">
        <v>1</v>
      </c>
      <c r="C200" s="84" t="s">
        <v>2</v>
      </c>
      <c r="D200" s="85" t="s">
        <v>3</v>
      </c>
      <c r="E200" s="85" t="s">
        <v>4</v>
      </c>
      <c r="F200" s="85" t="s">
        <v>5</v>
      </c>
      <c r="G200" s="85" t="s">
        <v>8</v>
      </c>
      <c r="H200" s="85" t="s">
        <v>9</v>
      </c>
      <c r="I200" s="85" t="s">
        <v>10</v>
      </c>
    </row>
    <row r="201" spans="1:9" x14ac:dyDescent="0.25">
      <c r="A201" s="1">
        <v>45671</v>
      </c>
      <c r="B201" s="3" t="s">
        <v>176</v>
      </c>
      <c r="C201" s="3" t="s">
        <v>177</v>
      </c>
      <c r="D201" s="3" t="s">
        <v>17</v>
      </c>
      <c r="E201" s="3" t="s">
        <v>178</v>
      </c>
      <c r="F201" s="3" t="s">
        <v>179</v>
      </c>
      <c r="G201" s="3" t="s">
        <v>1340</v>
      </c>
      <c r="H201" s="3">
        <v>1</v>
      </c>
      <c r="I201" s="5">
        <v>5</v>
      </c>
    </row>
    <row r="202" spans="1:9" x14ac:dyDescent="0.25">
      <c r="A202" s="1">
        <v>45671</v>
      </c>
      <c r="B202" s="3" t="s">
        <v>180</v>
      </c>
      <c r="C202" s="3" t="s">
        <v>181</v>
      </c>
      <c r="D202" s="3" t="s">
        <v>17</v>
      </c>
      <c r="E202" s="3" t="s">
        <v>182</v>
      </c>
      <c r="F202" s="3" t="s">
        <v>179</v>
      </c>
      <c r="G202" s="3" t="s">
        <v>1340</v>
      </c>
      <c r="H202" s="3">
        <v>1</v>
      </c>
      <c r="I202" s="5">
        <v>5</v>
      </c>
    </row>
    <row r="203" spans="1:9" x14ac:dyDescent="0.25">
      <c r="A203" s="1">
        <v>45688</v>
      </c>
      <c r="B203" s="3" t="s">
        <v>172</v>
      </c>
      <c r="C203" s="3" t="s">
        <v>173</v>
      </c>
      <c r="D203" s="3" t="s">
        <v>17</v>
      </c>
      <c r="E203" s="3" t="s">
        <v>174</v>
      </c>
      <c r="F203" s="3" t="s">
        <v>175</v>
      </c>
      <c r="G203" s="1" t="s">
        <v>1342</v>
      </c>
      <c r="H203" s="3">
        <v>3</v>
      </c>
      <c r="I203" s="140">
        <v>15</v>
      </c>
    </row>
    <row r="204" spans="1:9" ht="15.75" thickBot="1" x14ac:dyDescent="0.3"/>
    <row r="205" spans="1:9" ht="15.75" thickBot="1" x14ac:dyDescent="0.3">
      <c r="G205" s="37" t="s">
        <v>15</v>
      </c>
      <c r="I205" s="169">
        <f>SUM(I201:I204)</f>
        <v>25</v>
      </c>
    </row>
    <row r="207" spans="1:9" ht="45" x14ac:dyDescent="0.25">
      <c r="A207" s="84" t="s">
        <v>71</v>
      </c>
      <c r="B207" s="86" t="s">
        <v>1</v>
      </c>
      <c r="C207" s="84" t="s">
        <v>2</v>
      </c>
      <c r="D207" s="85" t="s">
        <v>3</v>
      </c>
      <c r="E207" s="85" t="s">
        <v>4</v>
      </c>
      <c r="F207" s="85" t="s">
        <v>5</v>
      </c>
      <c r="G207" s="85" t="s">
        <v>8</v>
      </c>
      <c r="H207" s="85" t="s">
        <v>9</v>
      </c>
      <c r="I207" s="85" t="s">
        <v>10</v>
      </c>
    </row>
    <row r="208" spans="1:9" x14ac:dyDescent="0.25">
      <c r="A208" s="1">
        <v>45660</v>
      </c>
      <c r="B208" s="3" t="s">
        <v>111</v>
      </c>
      <c r="C208" s="3" t="s">
        <v>112</v>
      </c>
      <c r="D208" s="3" t="s">
        <v>14</v>
      </c>
      <c r="E208" s="3" t="s">
        <v>113</v>
      </c>
      <c r="F208" s="3" t="s">
        <v>32</v>
      </c>
      <c r="G208" s="3" t="s">
        <v>145</v>
      </c>
      <c r="H208" s="3">
        <v>1</v>
      </c>
      <c r="I208" s="5">
        <v>8.5</v>
      </c>
    </row>
    <row r="209" spans="1:9" x14ac:dyDescent="0.25">
      <c r="A209" s="1">
        <v>45663</v>
      </c>
      <c r="B209" s="3" t="s">
        <v>830</v>
      </c>
      <c r="C209" s="3" t="s">
        <v>831</v>
      </c>
      <c r="D209" s="3" t="s">
        <v>14</v>
      </c>
      <c r="E209" s="3" t="s">
        <v>832</v>
      </c>
      <c r="F209" s="3" t="s">
        <v>833</v>
      </c>
      <c r="G209" s="3" t="s">
        <v>144</v>
      </c>
      <c r="H209" s="3">
        <v>2</v>
      </c>
      <c r="I209" s="140">
        <v>11.5</v>
      </c>
    </row>
    <row r="210" spans="1:9" x14ac:dyDescent="0.25">
      <c r="A210" s="1">
        <v>45664</v>
      </c>
      <c r="B210" s="3" t="s">
        <v>843</v>
      </c>
      <c r="C210" s="3" t="s">
        <v>844</v>
      </c>
      <c r="D210" s="3" t="s">
        <v>14</v>
      </c>
      <c r="E210" s="3" t="s">
        <v>845</v>
      </c>
      <c r="F210" s="3" t="s">
        <v>32</v>
      </c>
      <c r="G210" s="3" t="s">
        <v>145</v>
      </c>
      <c r="H210" s="3">
        <v>1</v>
      </c>
      <c r="I210" s="140">
        <v>5</v>
      </c>
    </row>
    <row r="211" spans="1:9" x14ac:dyDescent="0.25">
      <c r="A211" s="1">
        <v>45666</v>
      </c>
      <c r="B211" s="3" t="s">
        <v>824</v>
      </c>
      <c r="C211" s="3" t="s">
        <v>825</v>
      </c>
      <c r="D211" s="3" t="s">
        <v>14</v>
      </c>
      <c r="E211" s="3" t="s">
        <v>826</v>
      </c>
      <c r="F211" s="3" t="s">
        <v>32</v>
      </c>
      <c r="G211" s="3" t="s">
        <v>145</v>
      </c>
      <c r="H211" s="3">
        <v>1</v>
      </c>
      <c r="I211" s="5">
        <v>8.5</v>
      </c>
    </row>
    <row r="212" spans="1:9" x14ac:dyDescent="0.25">
      <c r="A212" s="1">
        <v>45666</v>
      </c>
      <c r="B212" s="3" t="s">
        <v>812</v>
      </c>
      <c r="C212" s="3" t="s">
        <v>813</v>
      </c>
      <c r="D212" s="3" t="s">
        <v>14</v>
      </c>
      <c r="E212" s="3" t="s">
        <v>814</v>
      </c>
      <c r="F212" s="3" t="s">
        <v>32</v>
      </c>
      <c r="G212" s="3" t="s">
        <v>145</v>
      </c>
      <c r="H212" s="3">
        <v>1</v>
      </c>
      <c r="I212" s="5">
        <v>5</v>
      </c>
    </row>
    <row r="213" spans="1:9" x14ac:dyDescent="0.25">
      <c r="A213" s="1">
        <v>45668</v>
      </c>
      <c r="B213" s="3" t="s">
        <v>851</v>
      </c>
      <c r="C213" s="3" t="s">
        <v>852</v>
      </c>
      <c r="D213" s="3" t="s">
        <v>14</v>
      </c>
      <c r="E213" s="3" t="s">
        <v>853</v>
      </c>
      <c r="F213" s="3" t="s">
        <v>32</v>
      </c>
      <c r="G213" s="3" t="s">
        <v>1343</v>
      </c>
      <c r="H213" s="3">
        <v>2</v>
      </c>
      <c r="I213" s="5">
        <v>10</v>
      </c>
    </row>
    <row r="214" spans="1:9" x14ac:dyDescent="0.25">
      <c r="A214" s="1">
        <v>45668</v>
      </c>
      <c r="B214" s="3" t="s">
        <v>860</v>
      </c>
      <c r="C214" s="3" t="s">
        <v>861</v>
      </c>
      <c r="D214" s="3" t="s">
        <v>14</v>
      </c>
      <c r="E214" s="3" t="s">
        <v>862</v>
      </c>
      <c r="F214" s="3" t="s">
        <v>32</v>
      </c>
      <c r="G214" s="3" t="s">
        <v>1343</v>
      </c>
      <c r="H214" s="3">
        <v>2</v>
      </c>
      <c r="I214" s="5">
        <v>15</v>
      </c>
    </row>
    <row r="215" spans="1:9" x14ac:dyDescent="0.25">
      <c r="A215" s="1">
        <v>45668</v>
      </c>
      <c r="B215" s="3" t="s">
        <v>827</v>
      </c>
      <c r="C215" s="3" t="s">
        <v>828</v>
      </c>
      <c r="D215" s="3" t="s">
        <v>14</v>
      </c>
      <c r="E215" s="3" t="s">
        <v>829</v>
      </c>
      <c r="F215" s="3" t="s">
        <v>32</v>
      </c>
      <c r="G215" s="3" t="s">
        <v>1340</v>
      </c>
      <c r="H215" s="3">
        <v>1</v>
      </c>
      <c r="I215" s="5">
        <v>5</v>
      </c>
    </row>
    <row r="216" spans="1:9" x14ac:dyDescent="0.25">
      <c r="A216" s="1">
        <v>45671</v>
      </c>
      <c r="B216" s="3" t="s">
        <v>848</v>
      </c>
      <c r="C216" s="3" t="s">
        <v>849</v>
      </c>
      <c r="D216" s="3" t="s">
        <v>14</v>
      </c>
      <c r="E216" s="3" t="s">
        <v>850</v>
      </c>
      <c r="F216" s="3" t="s">
        <v>32</v>
      </c>
      <c r="G216" s="3" t="s">
        <v>1340</v>
      </c>
      <c r="H216" s="3">
        <v>1</v>
      </c>
      <c r="I216" s="5">
        <v>5</v>
      </c>
    </row>
    <row r="217" spans="1:9" x14ac:dyDescent="0.25">
      <c r="A217" s="1">
        <v>45672</v>
      </c>
      <c r="B217" s="3" t="s">
        <v>840</v>
      </c>
      <c r="C217" s="3" t="s">
        <v>841</v>
      </c>
      <c r="D217" s="3" t="s">
        <v>14</v>
      </c>
      <c r="E217" s="3" t="s">
        <v>842</v>
      </c>
      <c r="F217" s="3" t="s">
        <v>32</v>
      </c>
      <c r="G217" s="3" t="s">
        <v>1343</v>
      </c>
      <c r="H217" s="3">
        <v>2</v>
      </c>
      <c r="I217" s="5">
        <v>10</v>
      </c>
    </row>
    <row r="218" spans="1:9" x14ac:dyDescent="0.25">
      <c r="A218" s="1">
        <v>45672</v>
      </c>
      <c r="B218" s="3" t="s">
        <v>846</v>
      </c>
      <c r="C218" s="3" t="s">
        <v>847</v>
      </c>
      <c r="D218" s="3" t="s">
        <v>14</v>
      </c>
      <c r="E218" s="3" t="s">
        <v>568</v>
      </c>
      <c r="F218" s="3" t="s">
        <v>32</v>
      </c>
      <c r="G218" s="3" t="s">
        <v>1340</v>
      </c>
      <c r="H218" s="3">
        <v>1</v>
      </c>
      <c r="I218" s="5">
        <v>5</v>
      </c>
    </row>
    <row r="219" spans="1:9" x14ac:dyDescent="0.25">
      <c r="A219" s="1">
        <v>45672</v>
      </c>
      <c r="B219" s="3" t="s">
        <v>809</v>
      </c>
      <c r="C219" s="3" t="s">
        <v>810</v>
      </c>
      <c r="D219" s="3" t="s">
        <v>14</v>
      </c>
      <c r="E219" s="3" t="s">
        <v>811</v>
      </c>
      <c r="F219" s="3" t="s">
        <v>32</v>
      </c>
      <c r="G219" s="3" t="s">
        <v>1340</v>
      </c>
      <c r="H219" s="3">
        <v>1</v>
      </c>
      <c r="I219" s="5">
        <v>5</v>
      </c>
    </row>
    <row r="220" spans="1:9" x14ac:dyDescent="0.25">
      <c r="A220" s="1">
        <v>45673</v>
      </c>
      <c r="B220" s="3" t="s">
        <v>854</v>
      </c>
      <c r="C220" s="3" t="s">
        <v>855</v>
      </c>
      <c r="D220" s="3" t="s">
        <v>14</v>
      </c>
      <c r="E220" s="3" t="s">
        <v>856</v>
      </c>
      <c r="F220" s="3" t="s">
        <v>32</v>
      </c>
      <c r="G220" s="3" t="s">
        <v>1340</v>
      </c>
      <c r="H220" s="3">
        <v>1</v>
      </c>
      <c r="I220" s="5">
        <v>15.5</v>
      </c>
    </row>
    <row r="221" spans="1:9" x14ac:dyDescent="0.25">
      <c r="A221" s="1">
        <v>45677</v>
      </c>
      <c r="B221" s="3" t="s">
        <v>837</v>
      </c>
      <c r="C221" s="3" t="s">
        <v>838</v>
      </c>
      <c r="D221" s="3" t="s">
        <v>14</v>
      </c>
      <c r="E221" s="3" t="s">
        <v>839</v>
      </c>
      <c r="F221" s="3" t="s">
        <v>32</v>
      </c>
      <c r="G221" s="3" t="s">
        <v>1340</v>
      </c>
      <c r="H221" s="3">
        <v>1</v>
      </c>
      <c r="I221" s="5">
        <v>23.5</v>
      </c>
    </row>
    <row r="222" spans="1:9" x14ac:dyDescent="0.25">
      <c r="A222" s="1">
        <v>45677</v>
      </c>
      <c r="B222" s="3" t="s">
        <v>801</v>
      </c>
      <c r="C222" s="3" t="s">
        <v>802</v>
      </c>
      <c r="D222" s="3" t="s">
        <v>14</v>
      </c>
      <c r="E222" s="3" t="s">
        <v>803</v>
      </c>
      <c r="F222" s="3" t="s">
        <v>32</v>
      </c>
      <c r="G222" s="3" t="s">
        <v>1340</v>
      </c>
      <c r="H222" s="3">
        <v>1</v>
      </c>
      <c r="I222" s="5">
        <v>5</v>
      </c>
    </row>
    <row r="223" spans="1:9" x14ac:dyDescent="0.25">
      <c r="A223" s="1">
        <v>45677</v>
      </c>
      <c r="B223" s="3" t="s">
        <v>804</v>
      </c>
      <c r="C223" s="3" t="s">
        <v>805</v>
      </c>
      <c r="D223" s="3" t="s">
        <v>14</v>
      </c>
      <c r="E223" s="3" t="s">
        <v>803</v>
      </c>
      <c r="F223" s="3" t="s">
        <v>32</v>
      </c>
      <c r="G223" s="3" t="s">
        <v>1340</v>
      </c>
      <c r="H223" s="3">
        <v>1</v>
      </c>
      <c r="I223" s="140">
        <v>5</v>
      </c>
    </row>
    <row r="224" spans="1:9" x14ac:dyDescent="0.25">
      <c r="A224" s="1">
        <v>45677</v>
      </c>
      <c r="B224" s="3" t="s">
        <v>857</v>
      </c>
      <c r="C224" s="3" t="s">
        <v>858</v>
      </c>
      <c r="D224" s="3" t="s">
        <v>14</v>
      </c>
      <c r="E224" s="3" t="s">
        <v>859</v>
      </c>
      <c r="F224" s="3" t="s">
        <v>32</v>
      </c>
      <c r="G224" s="3" t="s">
        <v>1340</v>
      </c>
      <c r="H224" s="3">
        <v>1</v>
      </c>
      <c r="I224" s="5">
        <v>9.5</v>
      </c>
    </row>
    <row r="225" spans="1:9" x14ac:dyDescent="0.25">
      <c r="A225" s="1">
        <v>45679</v>
      </c>
      <c r="B225" s="3" t="s">
        <v>815</v>
      </c>
      <c r="C225" s="3" t="s">
        <v>816</v>
      </c>
      <c r="D225" s="3" t="s">
        <v>14</v>
      </c>
      <c r="E225" s="3" t="s">
        <v>817</v>
      </c>
      <c r="F225" s="3" t="s">
        <v>32</v>
      </c>
      <c r="G225" s="3" t="s">
        <v>1340</v>
      </c>
      <c r="H225" s="3">
        <v>1</v>
      </c>
      <c r="I225" s="5">
        <v>5</v>
      </c>
    </row>
    <row r="226" spans="1:9" x14ac:dyDescent="0.25">
      <c r="A226" s="1">
        <v>45680</v>
      </c>
      <c r="B226" s="3" t="s">
        <v>863</v>
      </c>
      <c r="C226" s="3" t="s">
        <v>864</v>
      </c>
      <c r="D226" s="3" t="s">
        <v>14</v>
      </c>
      <c r="E226" s="3" t="s">
        <v>865</v>
      </c>
      <c r="F226" s="3" t="s">
        <v>32</v>
      </c>
      <c r="G226" s="3" t="s">
        <v>1340</v>
      </c>
      <c r="H226" s="3">
        <v>1</v>
      </c>
      <c r="I226" s="5">
        <v>7.5</v>
      </c>
    </row>
    <row r="227" spans="1:9" x14ac:dyDescent="0.25">
      <c r="A227" s="1">
        <v>45680</v>
      </c>
      <c r="B227" s="3" t="s">
        <v>798</v>
      </c>
      <c r="C227" s="3" t="s">
        <v>799</v>
      </c>
      <c r="D227" s="3" t="s">
        <v>14</v>
      </c>
      <c r="E227" s="3" t="s">
        <v>800</v>
      </c>
      <c r="F227" s="3" t="s">
        <v>32</v>
      </c>
      <c r="G227" s="3" t="s">
        <v>1340</v>
      </c>
      <c r="H227" s="3">
        <v>1</v>
      </c>
      <c r="I227" s="5">
        <v>12.5</v>
      </c>
    </row>
    <row r="228" spans="1:9" x14ac:dyDescent="0.25">
      <c r="A228" s="1">
        <v>45684</v>
      </c>
      <c r="B228" s="3" t="s">
        <v>834</v>
      </c>
      <c r="C228" s="3" t="s">
        <v>835</v>
      </c>
      <c r="D228" s="3" t="s">
        <v>14</v>
      </c>
      <c r="E228" s="3" t="s">
        <v>836</v>
      </c>
      <c r="F228" s="3" t="s">
        <v>32</v>
      </c>
      <c r="G228" s="3" t="s">
        <v>1340</v>
      </c>
      <c r="H228" s="3">
        <v>1</v>
      </c>
      <c r="I228" s="5">
        <v>9.5</v>
      </c>
    </row>
    <row r="229" spans="1:9" x14ac:dyDescent="0.25">
      <c r="A229" s="1">
        <v>45686</v>
      </c>
      <c r="B229" s="3" t="s">
        <v>111</v>
      </c>
      <c r="C229" s="3" t="s">
        <v>112</v>
      </c>
      <c r="D229" s="3" t="s">
        <v>14</v>
      </c>
      <c r="E229" s="3" t="s">
        <v>113</v>
      </c>
      <c r="F229" s="3" t="s">
        <v>32</v>
      </c>
      <c r="G229" s="3" t="s">
        <v>1340</v>
      </c>
      <c r="H229" s="3">
        <v>1</v>
      </c>
      <c r="I229" s="5">
        <v>7.5</v>
      </c>
    </row>
    <row r="230" spans="1:9" x14ac:dyDescent="0.25">
      <c r="A230" s="1">
        <v>45686</v>
      </c>
      <c r="B230" s="3" t="s">
        <v>843</v>
      </c>
      <c r="C230" s="3" t="s">
        <v>844</v>
      </c>
      <c r="D230" s="3" t="s">
        <v>14</v>
      </c>
      <c r="E230" s="3" t="s">
        <v>845</v>
      </c>
      <c r="F230" s="3" t="s">
        <v>32</v>
      </c>
      <c r="G230" s="3" t="s">
        <v>1340</v>
      </c>
      <c r="H230" s="3">
        <v>1</v>
      </c>
      <c r="I230" s="140">
        <v>5</v>
      </c>
    </row>
    <row r="231" spans="1:9" x14ac:dyDescent="0.25">
      <c r="A231" s="1">
        <v>45687</v>
      </c>
      <c r="B231" s="3" t="s">
        <v>821</v>
      </c>
      <c r="C231" s="3" t="s">
        <v>822</v>
      </c>
      <c r="D231" s="3" t="s">
        <v>14</v>
      </c>
      <c r="E231" s="3" t="s">
        <v>823</v>
      </c>
      <c r="F231" s="3" t="s">
        <v>32</v>
      </c>
      <c r="G231" s="3" t="s">
        <v>1342</v>
      </c>
      <c r="H231" s="3">
        <v>3</v>
      </c>
      <c r="I231" s="5">
        <v>15</v>
      </c>
    </row>
    <row r="232" spans="1:9" x14ac:dyDescent="0.25">
      <c r="A232" s="1">
        <v>45688</v>
      </c>
      <c r="B232" s="3" t="s">
        <v>806</v>
      </c>
      <c r="C232" s="3" t="s">
        <v>807</v>
      </c>
      <c r="D232" s="3" t="s">
        <v>14</v>
      </c>
      <c r="E232" s="3" t="s">
        <v>808</v>
      </c>
      <c r="F232" s="3" t="s">
        <v>32</v>
      </c>
      <c r="G232" s="1" t="s">
        <v>1342</v>
      </c>
      <c r="H232" s="3">
        <v>3</v>
      </c>
      <c r="I232" s="140">
        <v>15</v>
      </c>
    </row>
    <row r="233" spans="1:9" x14ac:dyDescent="0.25">
      <c r="A233" s="1">
        <v>45688</v>
      </c>
      <c r="B233" s="3" t="s">
        <v>818</v>
      </c>
      <c r="C233" s="3" t="s">
        <v>819</v>
      </c>
      <c r="D233" s="3" t="s">
        <v>14</v>
      </c>
      <c r="E233" s="3" t="s">
        <v>820</v>
      </c>
      <c r="F233" s="3" t="s">
        <v>32</v>
      </c>
      <c r="G233" s="3" t="s">
        <v>1343</v>
      </c>
      <c r="H233" s="3">
        <v>2</v>
      </c>
      <c r="I233" s="140">
        <v>18</v>
      </c>
    </row>
    <row r="234" spans="1:9" ht="15.75" thickBot="1" x14ac:dyDescent="0.3"/>
    <row r="235" spans="1:9" ht="15.75" thickBot="1" x14ac:dyDescent="0.3">
      <c r="G235" s="37" t="s">
        <v>15</v>
      </c>
      <c r="I235" s="169">
        <f>SUM(I208:I234)</f>
        <v>247</v>
      </c>
    </row>
    <row r="237" spans="1:9" ht="45" x14ac:dyDescent="0.25">
      <c r="A237" s="84" t="s">
        <v>71</v>
      </c>
      <c r="B237" s="86" t="s">
        <v>1</v>
      </c>
      <c r="C237" s="84" t="s">
        <v>2</v>
      </c>
      <c r="D237" s="85" t="s">
        <v>3</v>
      </c>
      <c r="E237" s="85" t="s">
        <v>4</v>
      </c>
      <c r="F237" s="85" t="s">
        <v>5</v>
      </c>
      <c r="G237" s="85" t="s">
        <v>8</v>
      </c>
      <c r="H237" s="85" t="s">
        <v>9</v>
      </c>
      <c r="I237" s="85" t="s">
        <v>10</v>
      </c>
    </row>
    <row r="238" spans="1:9" x14ac:dyDescent="0.25">
      <c r="A238" s="1">
        <v>45661</v>
      </c>
      <c r="B238" s="2" t="s">
        <v>154</v>
      </c>
      <c r="C238" s="2" t="s">
        <v>155</v>
      </c>
      <c r="D238" s="3" t="s">
        <v>13</v>
      </c>
      <c r="E238" s="3" t="s">
        <v>156</v>
      </c>
      <c r="F238" s="3" t="s">
        <v>43</v>
      </c>
      <c r="G238" s="3" t="s">
        <v>145</v>
      </c>
      <c r="H238" s="3">
        <v>1</v>
      </c>
      <c r="I238" s="5">
        <v>13.5</v>
      </c>
    </row>
    <row r="239" spans="1:9" x14ac:dyDescent="0.25">
      <c r="A239" s="1">
        <v>45661</v>
      </c>
      <c r="B239" s="2" t="s">
        <v>157</v>
      </c>
      <c r="C239" s="2" t="s">
        <v>158</v>
      </c>
      <c r="D239" s="3" t="s">
        <v>13</v>
      </c>
      <c r="E239" s="3" t="s">
        <v>159</v>
      </c>
      <c r="F239" s="3"/>
      <c r="G239" s="3" t="s">
        <v>145</v>
      </c>
      <c r="H239" s="3">
        <v>1</v>
      </c>
      <c r="I239" s="5">
        <v>5</v>
      </c>
    </row>
    <row r="240" spans="1:9" x14ac:dyDescent="0.25">
      <c r="A240" s="1">
        <v>45661</v>
      </c>
      <c r="B240" s="2" t="s">
        <v>160</v>
      </c>
      <c r="C240" s="2">
        <v>200039366</v>
      </c>
      <c r="D240" s="3" t="s">
        <v>13</v>
      </c>
      <c r="E240" s="3" t="s">
        <v>161</v>
      </c>
      <c r="F240" s="3" t="s">
        <v>43</v>
      </c>
      <c r="G240" s="3" t="s">
        <v>145</v>
      </c>
      <c r="H240" s="3">
        <v>1</v>
      </c>
      <c r="I240" s="5">
        <v>26.5</v>
      </c>
    </row>
    <row r="241" spans="1:9" x14ac:dyDescent="0.25">
      <c r="A241" s="1">
        <v>45661</v>
      </c>
      <c r="B241" s="2" t="s">
        <v>162</v>
      </c>
      <c r="C241" s="2" t="s">
        <v>163</v>
      </c>
      <c r="D241" s="3" t="s">
        <v>13</v>
      </c>
      <c r="E241" s="3" t="s">
        <v>164</v>
      </c>
      <c r="F241" s="3" t="s">
        <v>43</v>
      </c>
      <c r="G241" s="3" t="s">
        <v>145</v>
      </c>
      <c r="H241" s="3">
        <v>1</v>
      </c>
      <c r="I241" s="5">
        <v>5</v>
      </c>
    </row>
    <row r="242" spans="1:9" x14ac:dyDescent="0.25">
      <c r="A242" s="1">
        <v>45663</v>
      </c>
      <c r="B242" s="3" t="s">
        <v>247</v>
      </c>
      <c r="C242" s="3" t="s">
        <v>248</v>
      </c>
      <c r="D242" s="3" t="s">
        <v>13</v>
      </c>
      <c r="E242" s="3" t="s">
        <v>249</v>
      </c>
      <c r="F242" s="3" t="s">
        <v>43</v>
      </c>
      <c r="G242" s="3" t="s">
        <v>1334</v>
      </c>
      <c r="H242" s="3">
        <v>1</v>
      </c>
      <c r="I242" s="5">
        <v>23.5</v>
      </c>
    </row>
    <row r="243" spans="1:9" x14ac:dyDescent="0.25">
      <c r="A243" s="1">
        <v>45663</v>
      </c>
      <c r="B243" s="3" t="s">
        <v>244</v>
      </c>
      <c r="C243" s="3" t="s">
        <v>245</v>
      </c>
      <c r="D243" s="3" t="s">
        <v>13</v>
      </c>
      <c r="E243" s="3" t="s">
        <v>246</v>
      </c>
      <c r="F243" s="3" t="s">
        <v>43</v>
      </c>
      <c r="G243" s="3" t="s">
        <v>1335</v>
      </c>
      <c r="H243" s="3">
        <v>4</v>
      </c>
      <c r="I243" s="140">
        <v>29</v>
      </c>
    </row>
    <row r="244" spans="1:9" x14ac:dyDescent="0.25">
      <c r="A244" s="1">
        <v>45663</v>
      </c>
      <c r="B244" s="3" t="s">
        <v>247</v>
      </c>
      <c r="C244" s="3" t="s">
        <v>248</v>
      </c>
      <c r="D244" s="3" t="s">
        <v>13</v>
      </c>
      <c r="E244" s="3" t="s">
        <v>249</v>
      </c>
      <c r="F244" s="3" t="s">
        <v>43</v>
      </c>
      <c r="G244" s="3" t="s">
        <v>1336</v>
      </c>
      <c r="H244" s="3">
        <v>1</v>
      </c>
      <c r="I244" s="5">
        <v>27.5</v>
      </c>
    </row>
    <row r="245" spans="1:9" x14ac:dyDescent="0.25">
      <c r="A245" s="1">
        <v>45663</v>
      </c>
      <c r="B245" s="3" t="s">
        <v>289</v>
      </c>
      <c r="C245" s="3" t="s">
        <v>290</v>
      </c>
      <c r="D245" s="3" t="s">
        <v>13</v>
      </c>
      <c r="E245" s="3" t="s">
        <v>291</v>
      </c>
      <c r="F245" s="3" t="s">
        <v>43</v>
      </c>
      <c r="G245" s="3" t="s">
        <v>143</v>
      </c>
      <c r="H245" s="3">
        <v>3</v>
      </c>
      <c r="I245" s="5">
        <v>15</v>
      </c>
    </row>
    <row r="246" spans="1:9" x14ac:dyDescent="0.25">
      <c r="A246" s="1">
        <v>45663</v>
      </c>
      <c r="B246" s="3" t="s">
        <v>247</v>
      </c>
      <c r="C246" s="3" t="s">
        <v>248</v>
      </c>
      <c r="D246" s="3" t="s">
        <v>13</v>
      </c>
      <c r="E246" s="3" t="s">
        <v>249</v>
      </c>
      <c r="F246" s="3" t="s">
        <v>43</v>
      </c>
      <c r="G246" s="3" t="s">
        <v>1337</v>
      </c>
      <c r="H246" s="3">
        <v>1</v>
      </c>
      <c r="I246" s="5">
        <v>37.5</v>
      </c>
    </row>
    <row r="247" spans="1:9" x14ac:dyDescent="0.25">
      <c r="A247" s="1">
        <v>45663</v>
      </c>
      <c r="B247" s="3" t="s">
        <v>211</v>
      </c>
      <c r="C247" s="3" t="s">
        <v>212</v>
      </c>
      <c r="D247" s="3" t="s">
        <v>13</v>
      </c>
      <c r="E247" s="3" t="s">
        <v>213</v>
      </c>
      <c r="F247" s="3" t="s">
        <v>214</v>
      </c>
      <c r="G247" s="3" t="s">
        <v>144</v>
      </c>
      <c r="H247" s="3">
        <v>2</v>
      </c>
      <c r="I247" s="5">
        <v>40</v>
      </c>
    </row>
    <row r="248" spans="1:9" x14ac:dyDescent="0.25">
      <c r="A248" s="1">
        <v>45663</v>
      </c>
      <c r="B248" s="3" t="s">
        <v>247</v>
      </c>
      <c r="C248" s="3" t="s">
        <v>248</v>
      </c>
      <c r="D248" s="3" t="s">
        <v>13</v>
      </c>
      <c r="E248" s="3" t="s">
        <v>249</v>
      </c>
      <c r="F248" s="3" t="s">
        <v>43</v>
      </c>
      <c r="G248" s="3" t="s">
        <v>145</v>
      </c>
      <c r="H248" s="3">
        <v>1</v>
      </c>
      <c r="I248" s="5">
        <v>49.5</v>
      </c>
    </row>
    <row r="249" spans="1:9" x14ac:dyDescent="0.25">
      <c r="A249" s="1">
        <v>45663</v>
      </c>
      <c r="B249" s="3" t="s">
        <v>286</v>
      </c>
      <c r="C249" s="3" t="s">
        <v>287</v>
      </c>
      <c r="D249" s="3" t="s">
        <v>13</v>
      </c>
      <c r="E249" s="3" t="s">
        <v>288</v>
      </c>
      <c r="F249" s="3" t="s">
        <v>43</v>
      </c>
      <c r="G249" s="3" t="s">
        <v>145</v>
      </c>
      <c r="H249" s="3">
        <v>1</v>
      </c>
      <c r="I249" s="5">
        <v>10.5</v>
      </c>
    </row>
    <row r="250" spans="1:9" x14ac:dyDescent="0.25">
      <c r="A250" s="1">
        <v>45663</v>
      </c>
      <c r="B250" s="3" t="s">
        <v>186</v>
      </c>
      <c r="C250" s="3" t="s">
        <v>187</v>
      </c>
      <c r="D250" s="3" t="s">
        <v>13</v>
      </c>
      <c r="E250" s="3" t="s">
        <v>188</v>
      </c>
      <c r="F250" s="3" t="s">
        <v>43</v>
      </c>
      <c r="G250" s="3" t="s">
        <v>145</v>
      </c>
      <c r="H250" s="3">
        <v>1</v>
      </c>
      <c r="I250" s="5">
        <v>13.5</v>
      </c>
    </row>
    <row r="251" spans="1:9" x14ac:dyDescent="0.25">
      <c r="A251" s="1">
        <v>45664</v>
      </c>
      <c r="B251" s="3" t="s">
        <v>226</v>
      </c>
      <c r="C251" s="3" t="s">
        <v>227</v>
      </c>
      <c r="D251" s="3" t="s">
        <v>13</v>
      </c>
      <c r="E251" s="3" t="s">
        <v>228</v>
      </c>
      <c r="F251" s="3" t="s">
        <v>43</v>
      </c>
      <c r="G251" s="3" t="s">
        <v>1334</v>
      </c>
      <c r="H251" s="3">
        <v>1</v>
      </c>
      <c r="I251" s="5">
        <v>30.5</v>
      </c>
    </row>
    <row r="252" spans="1:9" x14ac:dyDescent="0.25">
      <c r="A252" s="1">
        <v>45664</v>
      </c>
      <c r="B252" s="3" t="s">
        <v>226</v>
      </c>
      <c r="C252" s="3" t="s">
        <v>227</v>
      </c>
      <c r="D252" s="3" t="s">
        <v>13</v>
      </c>
      <c r="E252" s="3" t="s">
        <v>228</v>
      </c>
      <c r="F252" s="3" t="s">
        <v>43</v>
      </c>
      <c r="G252" s="3" t="s">
        <v>1336</v>
      </c>
      <c r="H252" s="3">
        <v>1</v>
      </c>
      <c r="I252" s="5">
        <v>36.5</v>
      </c>
    </row>
    <row r="253" spans="1:9" x14ac:dyDescent="0.25">
      <c r="A253" s="1">
        <v>45664</v>
      </c>
      <c r="B253" s="3" t="s">
        <v>226</v>
      </c>
      <c r="C253" s="3" t="s">
        <v>227</v>
      </c>
      <c r="D253" s="3" t="s">
        <v>13</v>
      </c>
      <c r="E253" s="3" t="s">
        <v>228</v>
      </c>
      <c r="F253" s="3" t="s">
        <v>43</v>
      </c>
      <c r="G253" s="3" t="s">
        <v>1337</v>
      </c>
      <c r="H253" s="3">
        <v>1</v>
      </c>
      <c r="I253" s="5">
        <v>38.5</v>
      </c>
    </row>
    <row r="254" spans="1:9" x14ac:dyDescent="0.25">
      <c r="A254" s="1">
        <v>45664</v>
      </c>
      <c r="B254" s="3" t="s">
        <v>262</v>
      </c>
      <c r="C254" s="3" t="s">
        <v>263</v>
      </c>
      <c r="D254" s="3" t="s">
        <v>13</v>
      </c>
      <c r="E254" s="3" t="s">
        <v>264</v>
      </c>
      <c r="F254" s="3" t="s">
        <v>43</v>
      </c>
      <c r="G254" s="3" t="s">
        <v>144</v>
      </c>
      <c r="H254" s="3">
        <v>2</v>
      </c>
      <c r="I254" s="140">
        <v>19</v>
      </c>
    </row>
    <row r="255" spans="1:9" x14ac:dyDescent="0.25">
      <c r="A255" s="1">
        <v>45664</v>
      </c>
      <c r="B255" s="3" t="s">
        <v>226</v>
      </c>
      <c r="C255" s="3" t="s">
        <v>227</v>
      </c>
      <c r="D255" s="3" t="s">
        <v>13</v>
      </c>
      <c r="E255" s="3" t="s">
        <v>228</v>
      </c>
      <c r="F255" s="3" t="s">
        <v>43</v>
      </c>
      <c r="G255" s="3" t="s">
        <v>145</v>
      </c>
      <c r="H255" s="3">
        <v>1</v>
      </c>
      <c r="I255" s="5">
        <v>35.5</v>
      </c>
    </row>
    <row r="256" spans="1:9" x14ac:dyDescent="0.25">
      <c r="A256" s="1">
        <v>45664</v>
      </c>
      <c r="B256" s="3" t="s">
        <v>235</v>
      </c>
      <c r="C256" s="3" t="s">
        <v>236</v>
      </c>
      <c r="D256" s="3" t="s">
        <v>13</v>
      </c>
      <c r="E256" s="3" t="s">
        <v>237</v>
      </c>
      <c r="F256" s="3" t="s">
        <v>43</v>
      </c>
      <c r="G256" s="3" t="s">
        <v>145</v>
      </c>
      <c r="H256" s="3">
        <v>1</v>
      </c>
      <c r="I256" s="5">
        <v>20.5</v>
      </c>
    </row>
    <row r="257" spans="1:9" x14ac:dyDescent="0.25">
      <c r="A257" s="1">
        <v>45664</v>
      </c>
      <c r="B257" s="3" t="s">
        <v>271</v>
      </c>
      <c r="C257" s="3" t="s">
        <v>272</v>
      </c>
      <c r="D257" s="3" t="s">
        <v>13</v>
      </c>
      <c r="E257" s="3" t="s">
        <v>273</v>
      </c>
      <c r="F257" s="3" t="s">
        <v>43</v>
      </c>
      <c r="G257" s="3" t="s">
        <v>145</v>
      </c>
      <c r="H257" s="3">
        <v>1</v>
      </c>
      <c r="I257" s="5">
        <v>5</v>
      </c>
    </row>
    <row r="258" spans="1:9" x14ac:dyDescent="0.25">
      <c r="A258" s="1">
        <v>45668</v>
      </c>
      <c r="B258" s="3" t="s">
        <v>205</v>
      </c>
      <c r="C258" s="3" t="s">
        <v>206</v>
      </c>
      <c r="D258" s="3" t="s">
        <v>13</v>
      </c>
      <c r="E258" s="3" t="s">
        <v>207</v>
      </c>
      <c r="F258" s="3" t="s">
        <v>43</v>
      </c>
      <c r="G258" s="3" t="s">
        <v>1343</v>
      </c>
      <c r="H258" s="3">
        <v>2</v>
      </c>
      <c r="I258" s="5">
        <v>10</v>
      </c>
    </row>
    <row r="259" spans="1:9" x14ac:dyDescent="0.25">
      <c r="A259" s="1">
        <v>45668</v>
      </c>
      <c r="B259" s="3" t="s">
        <v>198</v>
      </c>
      <c r="C259" s="3" t="s">
        <v>199</v>
      </c>
      <c r="D259" s="3" t="s">
        <v>13</v>
      </c>
      <c r="E259" s="3" t="s">
        <v>200</v>
      </c>
      <c r="F259" s="3" t="s">
        <v>201</v>
      </c>
      <c r="G259" s="3" t="s">
        <v>1340</v>
      </c>
      <c r="H259" s="3">
        <v>1</v>
      </c>
      <c r="I259" s="5">
        <v>15.5</v>
      </c>
    </row>
    <row r="260" spans="1:9" x14ac:dyDescent="0.25">
      <c r="A260" s="1">
        <v>45668</v>
      </c>
      <c r="B260" s="3" t="s">
        <v>202</v>
      </c>
      <c r="C260" s="3" t="s">
        <v>203</v>
      </c>
      <c r="D260" s="3" t="s">
        <v>13</v>
      </c>
      <c r="E260" s="3" t="s">
        <v>204</v>
      </c>
      <c r="F260" s="3" t="s">
        <v>43</v>
      </c>
      <c r="G260" s="3" t="s">
        <v>1340</v>
      </c>
      <c r="H260" s="3">
        <v>1</v>
      </c>
      <c r="I260" s="5">
        <v>23.5</v>
      </c>
    </row>
    <row r="261" spans="1:9" x14ac:dyDescent="0.25">
      <c r="A261" s="1">
        <v>45668</v>
      </c>
      <c r="B261" s="3" t="s">
        <v>250</v>
      </c>
      <c r="C261" s="3" t="s">
        <v>251</v>
      </c>
      <c r="D261" s="3" t="s">
        <v>13</v>
      </c>
      <c r="E261" s="3" t="s">
        <v>252</v>
      </c>
      <c r="F261" s="3" t="s">
        <v>43</v>
      </c>
      <c r="G261" s="3" t="s">
        <v>1340</v>
      </c>
      <c r="H261" s="3">
        <v>1</v>
      </c>
      <c r="I261" s="140">
        <v>5</v>
      </c>
    </row>
    <row r="262" spans="1:9" x14ac:dyDescent="0.25">
      <c r="A262" s="1">
        <v>45668</v>
      </c>
      <c r="B262" s="3" t="s">
        <v>253</v>
      </c>
      <c r="C262" s="3" t="s">
        <v>254</v>
      </c>
      <c r="D262" s="3" t="s">
        <v>13</v>
      </c>
      <c r="E262" s="3" t="s">
        <v>255</v>
      </c>
      <c r="F262" s="3" t="s">
        <v>43</v>
      </c>
      <c r="G262" s="3" t="s">
        <v>1340</v>
      </c>
      <c r="H262" s="3">
        <v>1</v>
      </c>
      <c r="I262" s="5">
        <v>5</v>
      </c>
    </row>
    <row r="263" spans="1:9" x14ac:dyDescent="0.25">
      <c r="A263" s="1">
        <v>45668</v>
      </c>
      <c r="B263" s="3" t="s">
        <v>283</v>
      </c>
      <c r="C263" s="3" t="s">
        <v>284</v>
      </c>
      <c r="D263" s="3" t="s">
        <v>13</v>
      </c>
      <c r="E263" s="3" t="s">
        <v>285</v>
      </c>
      <c r="F263" s="3" t="s">
        <v>43</v>
      </c>
      <c r="G263" s="3" t="s">
        <v>1340</v>
      </c>
      <c r="H263" s="3">
        <v>1</v>
      </c>
      <c r="I263" s="5">
        <v>17.5</v>
      </c>
    </row>
    <row r="264" spans="1:9" x14ac:dyDescent="0.25">
      <c r="A264" s="1">
        <v>45670</v>
      </c>
      <c r="B264" s="3" t="s">
        <v>192</v>
      </c>
      <c r="C264" s="3" t="s">
        <v>193</v>
      </c>
      <c r="D264" s="3" t="s">
        <v>13</v>
      </c>
      <c r="E264" s="3" t="s">
        <v>194</v>
      </c>
      <c r="F264" s="3" t="s">
        <v>43</v>
      </c>
      <c r="G264" s="3" t="s">
        <v>144</v>
      </c>
      <c r="H264" s="3">
        <v>2</v>
      </c>
      <c r="I264" s="5">
        <v>37</v>
      </c>
    </row>
    <row r="265" spans="1:9" x14ac:dyDescent="0.25">
      <c r="A265" s="1">
        <v>45670</v>
      </c>
      <c r="B265" s="3" t="s">
        <v>280</v>
      </c>
      <c r="C265" s="3" t="s">
        <v>281</v>
      </c>
      <c r="D265" s="3" t="s">
        <v>13</v>
      </c>
      <c r="E265" s="3" t="s">
        <v>282</v>
      </c>
      <c r="F265" s="3" t="s">
        <v>43</v>
      </c>
      <c r="G265" s="3" t="s">
        <v>1343</v>
      </c>
      <c r="H265" s="3">
        <v>2</v>
      </c>
      <c r="I265" s="5">
        <v>37</v>
      </c>
    </row>
    <row r="266" spans="1:9" x14ac:dyDescent="0.25">
      <c r="A266" s="1">
        <v>45671</v>
      </c>
      <c r="B266" s="3" t="s">
        <v>241</v>
      </c>
      <c r="C266" s="3" t="s">
        <v>242</v>
      </c>
      <c r="D266" s="3" t="s">
        <v>13</v>
      </c>
      <c r="E266" s="3" t="s">
        <v>243</v>
      </c>
      <c r="F266" s="3" t="s">
        <v>43</v>
      </c>
      <c r="G266" s="3" t="s">
        <v>1340</v>
      </c>
      <c r="H266" s="3">
        <v>1</v>
      </c>
      <c r="I266" s="5">
        <v>5</v>
      </c>
    </row>
    <row r="267" spans="1:9" x14ac:dyDescent="0.25">
      <c r="A267" s="1">
        <v>45674</v>
      </c>
      <c r="B267" s="3" t="s">
        <v>265</v>
      </c>
      <c r="C267" s="3" t="s">
        <v>266</v>
      </c>
      <c r="D267" s="3" t="s">
        <v>13</v>
      </c>
      <c r="E267" s="3" t="s">
        <v>267</v>
      </c>
      <c r="F267" s="3" t="s">
        <v>43</v>
      </c>
      <c r="G267" s="3" t="s">
        <v>1342</v>
      </c>
      <c r="H267" s="3">
        <v>3</v>
      </c>
      <c r="I267" s="5">
        <v>51.5</v>
      </c>
    </row>
    <row r="268" spans="1:9" x14ac:dyDescent="0.25">
      <c r="A268" s="1">
        <v>45674</v>
      </c>
      <c r="B268" s="3" t="s">
        <v>232</v>
      </c>
      <c r="C268" s="3" t="s">
        <v>233</v>
      </c>
      <c r="D268" s="3" t="s">
        <v>13</v>
      </c>
      <c r="E268" s="3" t="s">
        <v>234</v>
      </c>
      <c r="F268" s="3" t="s">
        <v>43</v>
      </c>
      <c r="G268" s="3" t="s">
        <v>1340</v>
      </c>
      <c r="H268" s="3">
        <v>1</v>
      </c>
      <c r="I268" s="5">
        <v>5</v>
      </c>
    </row>
    <row r="269" spans="1:9" x14ac:dyDescent="0.25">
      <c r="A269" s="1">
        <v>45674</v>
      </c>
      <c r="B269" s="3" t="s">
        <v>238</v>
      </c>
      <c r="C269" s="3" t="s">
        <v>239</v>
      </c>
      <c r="D269" s="3" t="s">
        <v>13</v>
      </c>
      <c r="E269" s="3" t="s">
        <v>240</v>
      </c>
      <c r="F269" s="3" t="s">
        <v>43</v>
      </c>
      <c r="G269" s="3" t="s">
        <v>1340</v>
      </c>
      <c r="H269" s="3">
        <v>1</v>
      </c>
      <c r="I269" s="5">
        <v>7.5</v>
      </c>
    </row>
    <row r="270" spans="1:9" x14ac:dyDescent="0.25">
      <c r="A270" s="1">
        <v>45674</v>
      </c>
      <c r="B270" s="3" t="s">
        <v>259</v>
      </c>
      <c r="C270" s="3" t="s">
        <v>260</v>
      </c>
      <c r="D270" s="3" t="s">
        <v>13</v>
      </c>
      <c r="E270" s="3" t="s">
        <v>261</v>
      </c>
      <c r="F270" s="3" t="s">
        <v>43</v>
      </c>
      <c r="G270" s="3" t="s">
        <v>1340</v>
      </c>
      <c r="H270" s="3">
        <v>1</v>
      </c>
      <c r="I270" s="5">
        <v>21.5</v>
      </c>
    </row>
    <row r="271" spans="1:9" x14ac:dyDescent="0.25">
      <c r="A271" s="1">
        <v>45674</v>
      </c>
      <c r="B271" s="3" t="s">
        <v>189</v>
      </c>
      <c r="C271" s="3" t="s">
        <v>190</v>
      </c>
      <c r="D271" s="3" t="s">
        <v>13</v>
      </c>
      <c r="E271" s="3" t="s">
        <v>191</v>
      </c>
      <c r="F271" s="3" t="s">
        <v>43</v>
      </c>
      <c r="G271" s="3" t="s">
        <v>1340</v>
      </c>
      <c r="H271" s="3">
        <v>1</v>
      </c>
      <c r="I271" s="5">
        <v>7.5</v>
      </c>
    </row>
    <row r="272" spans="1:9" x14ac:dyDescent="0.25">
      <c r="A272" s="1">
        <v>45674</v>
      </c>
      <c r="B272" s="3" t="s">
        <v>223</v>
      </c>
      <c r="C272" s="3" t="s">
        <v>224</v>
      </c>
      <c r="D272" s="3" t="s">
        <v>13</v>
      </c>
      <c r="E272" s="3" t="s">
        <v>225</v>
      </c>
      <c r="F272" s="3" t="s">
        <v>43</v>
      </c>
      <c r="G272" s="3" t="s">
        <v>1340</v>
      </c>
      <c r="H272" s="3">
        <v>1</v>
      </c>
      <c r="I272" s="5">
        <v>8.5</v>
      </c>
    </row>
    <row r="273" spans="1:9" x14ac:dyDescent="0.25">
      <c r="A273" s="1">
        <v>45674</v>
      </c>
      <c r="B273" s="3" t="s">
        <v>229</v>
      </c>
      <c r="C273" s="3" t="s">
        <v>230</v>
      </c>
      <c r="D273" s="3" t="s">
        <v>13</v>
      </c>
      <c r="E273" s="3" t="s">
        <v>231</v>
      </c>
      <c r="F273" s="3" t="s">
        <v>43</v>
      </c>
      <c r="G273" s="3" t="s">
        <v>1340</v>
      </c>
      <c r="H273" s="3">
        <v>1</v>
      </c>
      <c r="I273" s="5">
        <v>5</v>
      </c>
    </row>
    <row r="274" spans="1:9" x14ac:dyDescent="0.25">
      <c r="A274" s="1">
        <v>45675</v>
      </c>
      <c r="B274" s="3" t="s">
        <v>55</v>
      </c>
      <c r="C274" s="3" t="s">
        <v>54</v>
      </c>
      <c r="D274" s="3" t="s">
        <v>13</v>
      </c>
      <c r="E274" s="3" t="s">
        <v>53</v>
      </c>
      <c r="F274" s="3" t="s">
        <v>43</v>
      </c>
      <c r="G274" s="3" t="s">
        <v>1344</v>
      </c>
      <c r="H274" s="3">
        <v>36</v>
      </c>
      <c r="I274" s="5">
        <v>772.4</v>
      </c>
    </row>
    <row r="275" spans="1:9" x14ac:dyDescent="0.25">
      <c r="A275" s="1">
        <v>45677</v>
      </c>
      <c r="B275" s="3" t="s">
        <v>295</v>
      </c>
      <c r="C275" s="3" t="s">
        <v>296</v>
      </c>
      <c r="D275" s="3" t="s">
        <v>13</v>
      </c>
      <c r="E275" s="3" t="s">
        <v>297</v>
      </c>
      <c r="F275" s="3" t="s">
        <v>43</v>
      </c>
      <c r="G275" s="3" t="s">
        <v>1340</v>
      </c>
      <c r="H275" s="3">
        <v>1</v>
      </c>
      <c r="I275" s="5">
        <v>7.5</v>
      </c>
    </row>
    <row r="276" spans="1:9" x14ac:dyDescent="0.25">
      <c r="A276" s="1">
        <v>45678</v>
      </c>
      <c r="B276" s="3" t="s">
        <v>277</v>
      </c>
      <c r="C276" s="3" t="s">
        <v>278</v>
      </c>
      <c r="D276" s="3" t="s">
        <v>13</v>
      </c>
      <c r="E276" s="3" t="s">
        <v>279</v>
      </c>
      <c r="F276" s="3" t="s">
        <v>43</v>
      </c>
      <c r="G276" s="3" t="s">
        <v>144</v>
      </c>
      <c r="H276" s="3">
        <v>3</v>
      </c>
      <c r="I276" s="5">
        <v>61.5</v>
      </c>
    </row>
    <row r="277" spans="1:9" x14ac:dyDescent="0.25">
      <c r="A277" s="1">
        <v>45678</v>
      </c>
      <c r="B277" s="3" t="s">
        <v>292</v>
      </c>
      <c r="C277" s="3" t="s">
        <v>293</v>
      </c>
      <c r="D277" s="3" t="s">
        <v>13</v>
      </c>
      <c r="E277" s="3" t="s">
        <v>294</v>
      </c>
      <c r="F277" s="3" t="s">
        <v>43</v>
      </c>
      <c r="G277" s="3" t="s">
        <v>1343</v>
      </c>
      <c r="H277" s="3">
        <v>2</v>
      </c>
      <c r="I277" s="5">
        <v>10</v>
      </c>
    </row>
    <row r="278" spans="1:9" x14ac:dyDescent="0.25">
      <c r="A278" s="1">
        <v>45679</v>
      </c>
      <c r="B278" s="3" t="s">
        <v>216</v>
      </c>
      <c r="C278" s="3" t="s">
        <v>217</v>
      </c>
      <c r="D278" s="3" t="s">
        <v>13</v>
      </c>
      <c r="E278" s="3" t="s">
        <v>218</v>
      </c>
      <c r="F278" s="3" t="s">
        <v>219</v>
      </c>
      <c r="G278" s="3" t="s">
        <v>1339</v>
      </c>
      <c r="H278" s="3">
        <v>4</v>
      </c>
      <c r="I278" s="5">
        <v>22.5</v>
      </c>
    </row>
    <row r="279" spans="1:9" x14ac:dyDescent="0.25">
      <c r="A279" s="1">
        <v>45681</v>
      </c>
      <c r="B279" s="3" t="s">
        <v>183</v>
      </c>
      <c r="C279" s="3" t="s">
        <v>184</v>
      </c>
      <c r="D279" s="3" t="s">
        <v>13</v>
      </c>
      <c r="E279" s="3" t="s">
        <v>185</v>
      </c>
      <c r="F279" s="3" t="s">
        <v>43</v>
      </c>
      <c r="G279" s="3" t="s">
        <v>1340</v>
      </c>
      <c r="H279" s="3">
        <v>1</v>
      </c>
      <c r="I279" s="5">
        <v>5</v>
      </c>
    </row>
    <row r="280" spans="1:9" x14ac:dyDescent="0.25">
      <c r="A280" s="1">
        <v>45681</v>
      </c>
      <c r="B280" s="3" t="s">
        <v>274</v>
      </c>
      <c r="C280" s="3" t="s">
        <v>275</v>
      </c>
      <c r="D280" s="3" t="s">
        <v>13</v>
      </c>
      <c r="E280" s="3" t="s">
        <v>276</v>
      </c>
      <c r="F280" s="3" t="s">
        <v>43</v>
      </c>
      <c r="G280" s="3" t="s">
        <v>1340</v>
      </c>
      <c r="H280" s="3">
        <v>1</v>
      </c>
      <c r="I280" s="5">
        <v>5</v>
      </c>
    </row>
    <row r="281" spans="1:9" x14ac:dyDescent="0.25">
      <c r="A281" s="1">
        <v>45684</v>
      </c>
      <c r="B281" s="3" t="s">
        <v>208</v>
      </c>
      <c r="C281" s="3" t="s">
        <v>209</v>
      </c>
      <c r="D281" s="3" t="s">
        <v>13</v>
      </c>
      <c r="E281" s="3" t="s">
        <v>210</v>
      </c>
      <c r="F281" s="3" t="s">
        <v>43</v>
      </c>
      <c r="G281" s="3" t="s">
        <v>1340</v>
      </c>
      <c r="H281" s="3">
        <v>1</v>
      </c>
      <c r="I281" s="5">
        <v>5</v>
      </c>
    </row>
    <row r="282" spans="1:9" x14ac:dyDescent="0.25">
      <c r="A282" s="1">
        <v>45684</v>
      </c>
      <c r="B282" s="3" t="s">
        <v>256</v>
      </c>
      <c r="C282" s="3" t="s">
        <v>257</v>
      </c>
      <c r="D282" s="3" t="s">
        <v>13</v>
      </c>
      <c r="E282" s="3" t="s">
        <v>258</v>
      </c>
      <c r="F282" s="3" t="s">
        <v>43</v>
      </c>
      <c r="G282" s="3" t="s">
        <v>1340</v>
      </c>
      <c r="H282" s="3">
        <v>1</v>
      </c>
      <c r="I282" s="5">
        <v>5</v>
      </c>
    </row>
    <row r="283" spans="1:9" x14ac:dyDescent="0.25">
      <c r="A283" s="1">
        <v>45684</v>
      </c>
      <c r="B283" s="3" t="s">
        <v>220</v>
      </c>
      <c r="C283" s="3" t="s">
        <v>221</v>
      </c>
      <c r="D283" s="3" t="s">
        <v>13</v>
      </c>
      <c r="E283" s="3" t="s">
        <v>222</v>
      </c>
      <c r="F283" s="3" t="s">
        <v>215</v>
      </c>
      <c r="G283" s="3" t="s">
        <v>1340</v>
      </c>
      <c r="H283" s="3">
        <v>1</v>
      </c>
      <c r="I283" s="5">
        <v>7.5</v>
      </c>
    </row>
    <row r="284" spans="1:9" x14ac:dyDescent="0.25">
      <c r="A284" s="1">
        <v>45686</v>
      </c>
      <c r="B284" s="3" t="s">
        <v>186</v>
      </c>
      <c r="C284" s="3" t="s">
        <v>187</v>
      </c>
      <c r="D284" s="3" t="s">
        <v>13</v>
      </c>
      <c r="E284" s="3" t="s">
        <v>188</v>
      </c>
      <c r="F284" s="3" t="s">
        <v>43</v>
      </c>
      <c r="G284" s="3" t="s">
        <v>1340</v>
      </c>
      <c r="H284" s="3">
        <v>1</v>
      </c>
      <c r="I284" s="5">
        <v>16.5</v>
      </c>
    </row>
    <row r="285" spans="1:9" x14ac:dyDescent="0.25">
      <c r="A285" s="1">
        <v>45687</v>
      </c>
      <c r="B285" s="3" t="s">
        <v>195</v>
      </c>
      <c r="C285" s="3" t="s">
        <v>196</v>
      </c>
      <c r="D285" s="3" t="s">
        <v>13</v>
      </c>
      <c r="E285" s="3" t="s">
        <v>197</v>
      </c>
      <c r="F285" s="3" t="s">
        <v>43</v>
      </c>
      <c r="G285" s="3" t="s">
        <v>1342</v>
      </c>
      <c r="H285" s="3">
        <v>3</v>
      </c>
      <c r="I285" s="5">
        <v>15</v>
      </c>
    </row>
    <row r="286" spans="1:9" x14ac:dyDescent="0.25">
      <c r="A286" s="1">
        <v>45688</v>
      </c>
      <c r="B286" s="3" t="s">
        <v>268</v>
      </c>
      <c r="C286" s="3" t="s">
        <v>269</v>
      </c>
      <c r="D286" s="3" t="s">
        <v>13</v>
      </c>
      <c r="E286" s="3" t="s">
        <v>270</v>
      </c>
      <c r="F286" s="3" t="s">
        <v>43</v>
      </c>
      <c r="G286" s="1" t="s">
        <v>1342</v>
      </c>
      <c r="H286" s="3">
        <v>3</v>
      </c>
      <c r="I286" s="140">
        <v>41.5</v>
      </c>
    </row>
    <row r="287" spans="1:9" x14ac:dyDescent="0.25">
      <c r="A287" s="1">
        <v>45688</v>
      </c>
      <c r="B287" s="3" t="s">
        <v>298</v>
      </c>
      <c r="C287" s="3" t="s">
        <v>299</v>
      </c>
      <c r="D287" s="3" t="s">
        <v>13</v>
      </c>
      <c r="E287" s="3" t="s">
        <v>300</v>
      </c>
      <c r="F287" s="3" t="s">
        <v>43</v>
      </c>
      <c r="G287" s="3" t="s">
        <v>1340</v>
      </c>
      <c r="H287" s="3">
        <v>1</v>
      </c>
      <c r="I287" s="140">
        <v>6.5</v>
      </c>
    </row>
    <row r="288" spans="1:9" x14ac:dyDescent="0.25">
      <c r="A288" s="1">
        <v>45688</v>
      </c>
      <c r="B288" s="3" t="s">
        <v>286</v>
      </c>
      <c r="C288" s="3" t="s">
        <v>287</v>
      </c>
      <c r="D288" s="3" t="s">
        <v>13</v>
      </c>
      <c r="E288" s="3" t="s">
        <v>288</v>
      </c>
      <c r="F288" s="3" t="s">
        <v>43</v>
      </c>
      <c r="G288" s="3" t="s">
        <v>1340</v>
      </c>
      <c r="H288" s="3">
        <v>1</v>
      </c>
      <c r="I288" s="140">
        <v>10.5</v>
      </c>
    </row>
    <row r="289" spans="1:9" ht="15.75" thickBot="1" x14ac:dyDescent="0.3"/>
    <row r="290" spans="1:9" ht="15.75" thickBot="1" x14ac:dyDescent="0.3">
      <c r="G290" s="37" t="s">
        <v>15</v>
      </c>
      <c r="I290" s="169">
        <f>SUM(I238:I289)</f>
        <v>1734.9</v>
      </c>
    </row>
    <row r="292" spans="1:9" ht="45" x14ac:dyDescent="0.25">
      <c r="A292" s="84" t="s">
        <v>71</v>
      </c>
      <c r="B292" s="86" t="s">
        <v>1</v>
      </c>
      <c r="C292" s="84" t="s">
        <v>2</v>
      </c>
      <c r="D292" s="85" t="s">
        <v>3</v>
      </c>
      <c r="E292" s="85" t="s">
        <v>4</v>
      </c>
      <c r="F292" s="85" t="s">
        <v>5</v>
      </c>
      <c r="G292" s="85" t="s">
        <v>8</v>
      </c>
      <c r="H292" s="85" t="s">
        <v>9</v>
      </c>
      <c r="I292" s="85" t="s">
        <v>10</v>
      </c>
    </row>
    <row r="293" spans="1:9" x14ac:dyDescent="0.25">
      <c r="A293" s="1">
        <v>45660</v>
      </c>
      <c r="B293" s="2" t="s">
        <v>83</v>
      </c>
      <c r="C293" s="2" t="s">
        <v>84</v>
      </c>
      <c r="D293" s="3" t="s">
        <v>0</v>
      </c>
      <c r="E293" s="3" t="s">
        <v>85</v>
      </c>
      <c r="F293" s="3" t="s">
        <v>86</v>
      </c>
      <c r="G293" s="3" t="s">
        <v>143</v>
      </c>
      <c r="H293" s="3">
        <v>3</v>
      </c>
      <c r="I293" s="5">
        <v>188.5</v>
      </c>
    </row>
    <row r="294" spans="1:9" x14ac:dyDescent="0.25">
      <c r="A294" s="1">
        <v>45660</v>
      </c>
      <c r="B294" s="2" t="s">
        <v>87</v>
      </c>
      <c r="C294" s="2" t="s">
        <v>88</v>
      </c>
      <c r="D294" s="3" t="s">
        <v>0</v>
      </c>
      <c r="E294" s="3" t="s">
        <v>89</v>
      </c>
      <c r="F294" s="3" t="s">
        <v>90</v>
      </c>
      <c r="G294" s="3" t="s">
        <v>143</v>
      </c>
      <c r="H294" s="3">
        <v>3</v>
      </c>
      <c r="I294" s="5">
        <v>40.5</v>
      </c>
    </row>
    <row r="295" spans="1:9" x14ac:dyDescent="0.25">
      <c r="A295" s="1">
        <v>45660</v>
      </c>
      <c r="B295" s="2" t="s">
        <v>104</v>
      </c>
      <c r="C295" s="2" t="s">
        <v>105</v>
      </c>
      <c r="D295" s="3" t="s">
        <v>0</v>
      </c>
      <c r="E295" s="3" t="s">
        <v>106</v>
      </c>
      <c r="F295" s="3" t="s">
        <v>33</v>
      </c>
      <c r="G295" s="3" t="s">
        <v>144</v>
      </c>
      <c r="H295" s="3">
        <v>2</v>
      </c>
      <c r="I295" s="140">
        <v>11.5</v>
      </c>
    </row>
    <row r="296" spans="1:9" x14ac:dyDescent="0.25">
      <c r="A296" s="1">
        <v>45660</v>
      </c>
      <c r="B296" s="2" t="s">
        <v>107</v>
      </c>
      <c r="C296" s="2" t="s">
        <v>108</v>
      </c>
      <c r="D296" s="3" t="s">
        <v>0</v>
      </c>
      <c r="E296" s="3" t="s">
        <v>109</v>
      </c>
      <c r="F296" s="3" t="s">
        <v>110</v>
      </c>
      <c r="G296" s="3" t="s">
        <v>144</v>
      </c>
      <c r="H296" s="3">
        <v>2</v>
      </c>
      <c r="I296" s="140">
        <v>25</v>
      </c>
    </row>
    <row r="297" spans="1:9" x14ac:dyDescent="0.25">
      <c r="A297" s="1">
        <v>45660</v>
      </c>
      <c r="B297" s="2" t="s">
        <v>117</v>
      </c>
      <c r="C297" s="2" t="s">
        <v>118</v>
      </c>
      <c r="D297" s="3" t="s">
        <v>0</v>
      </c>
      <c r="E297" s="3" t="s">
        <v>119</v>
      </c>
      <c r="F297" s="3" t="s">
        <v>86</v>
      </c>
      <c r="G297" s="3" t="s">
        <v>145</v>
      </c>
      <c r="H297" s="3">
        <v>1</v>
      </c>
      <c r="I297" s="5">
        <v>16.5</v>
      </c>
    </row>
    <row r="298" spans="1:9" x14ac:dyDescent="0.25">
      <c r="A298" s="1">
        <v>45660</v>
      </c>
      <c r="B298" s="2" t="s">
        <v>130</v>
      </c>
      <c r="C298" s="2" t="s">
        <v>131</v>
      </c>
      <c r="D298" s="3" t="s">
        <v>0</v>
      </c>
      <c r="E298" s="3" t="s">
        <v>132</v>
      </c>
      <c r="F298" s="3" t="s">
        <v>33</v>
      </c>
      <c r="G298" s="3" t="s">
        <v>145</v>
      </c>
      <c r="H298" s="3">
        <v>1</v>
      </c>
      <c r="I298" s="5">
        <v>5</v>
      </c>
    </row>
    <row r="299" spans="1:9" x14ac:dyDescent="0.25">
      <c r="A299" s="1">
        <v>45660</v>
      </c>
      <c r="B299" s="2" t="s">
        <v>133</v>
      </c>
      <c r="C299" s="2" t="s">
        <v>134</v>
      </c>
      <c r="D299" s="3" t="s">
        <v>0</v>
      </c>
      <c r="E299" s="3" t="s">
        <v>135</v>
      </c>
      <c r="F299" s="3" t="s">
        <v>33</v>
      </c>
      <c r="G299" s="3" t="s">
        <v>145</v>
      </c>
      <c r="H299" s="3">
        <v>1</v>
      </c>
      <c r="I299" s="5">
        <v>5</v>
      </c>
    </row>
    <row r="300" spans="1:9" x14ac:dyDescent="0.25">
      <c r="A300" s="1">
        <v>45660</v>
      </c>
      <c r="B300" s="2" t="s">
        <v>136</v>
      </c>
      <c r="C300" s="2" t="s">
        <v>137</v>
      </c>
      <c r="D300" s="3" t="s">
        <v>0</v>
      </c>
      <c r="E300" s="3" t="s">
        <v>138</v>
      </c>
      <c r="F300" s="3" t="s">
        <v>39</v>
      </c>
      <c r="G300" s="3" t="s">
        <v>145</v>
      </c>
      <c r="H300" s="3">
        <v>1</v>
      </c>
      <c r="I300" s="5">
        <v>5</v>
      </c>
    </row>
    <row r="301" spans="1:9" x14ac:dyDescent="0.25">
      <c r="A301" s="1">
        <v>45660</v>
      </c>
      <c r="B301" s="2" t="s">
        <v>139</v>
      </c>
      <c r="C301" s="2" t="s">
        <v>140</v>
      </c>
      <c r="D301" s="3" t="s">
        <v>0</v>
      </c>
      <c r="E301" s="3" t="s">
        <v>141</v>
      </c>
      <c r="F301" s="3" t="s">
        <v>33</v>
      </c>
      <c r="G301" s="3" t="s">
        <v>145</v>
      </c>
      <c r="H301" s="3">
        <v>1</v>
      </c>
      <c r="I301" s="5">
        <v>5</v>
      </c>
    </row>
    <row r="302" spans="1:9" x14ac:dyDescent="0.25">
      <c r="A302" s="1">
        <v>45661</v>
      </c>
      <c r="B302" s="2" t="s">
        <v>151</v>
      </c>
      <c r="C302" s="2" t="s">
        <v>152</v>
      </c>
      <c r="D302" s="3" t="s">
        <v>0</v>
      </c>
      <c r="E302" s="3" t="s">
        <v>153</v>
      </c>
      <c r="F302" s="3" t="s">
        <v>33</v>
      </c>
      <c r="G302" s="3" t="s">
        <v>143</v>
      </c>
      <c r="H302" s="3">
        <v>3</v>
      </c>
      <c r="I302" s="5">
        <v>16.5</v>
      </c>
    </row>
    <row r="303" spans="1:9" x14ac:dyDescent="0.25">
      <c r="A303" s="1">
        <v>45663</v>
      </c>
      <c r="B303" s="3" t="s">
        <v>42</v>
      </c>
      <c r="C303" s="3" t="s">
        <v>41</v>
      </c>
      <c r="D303" s="3" t="s">
        <v>0</v>
      </c>
      <c r="E303" s="3" t="s">
        <v>40</v>
      </c>
      <c r="F303" s="3" t="s">
        <v>1016</v>
      </c>
      <c r="G303" s="3" t="s">
        <v>1331</v>
      </c>
      <c r="H303" s="3">
        <v>12</v>
      </c>
      <c r="I303" s="5">
        <v>60</v>
      </c>
    </row>
    <row r="304" spans="1:9" x14ac:dyDescent="0.25">
      <c r="A304" s="1">
        <v>45663</v>
      </c>
      <c r="B304" s="3" t="s">
        <v>1083</v>
      </c>
      <c r="C304" s="3" t="s">
        <v>1084</v>
      </c>
      <c r="D304" s="3" t="s">
        <v>0</v>
      </c>
      <c r="E304" s="3" t="s">
        <v>1085</v>
      </c>
      <c r="F304" s="3" t="s">
        <v>888</v>
      </c>
      <c r="G304" s="3" t="s">
        <v>1332</v>
      </c>
      <c r="H304" s="3">
        <v>5</v>
      </c>
      <c r="I304" s="5">
        <v>100</v>
      </c>
    </row>
    <row r="305" spans="1:9" x14ac:dyDescent="0.25">
      <c r="A305" s="1">
        <v>45663</v>
      </c>
      <c r="B305" s="3" t="s">
        <v>1261</v>
      </c>
      <c r="C305" s="3" t="s">
        <v>1262</v>
      </c>
      <c r="D305" s="3" t="s">
        <v>0</v>
      </c>
      <c r="E305" s="3" t="s">
        <v>1263</v>
      </c>
      <c r="F305" s="3" t="s">
        <v>33</v>
      </c>
      <c r="G305" s="3" t="s">
        <v>1333</v>
      </c>
      <c r="H305" s="3">
        <v>5</v>
      </c>
      <c r="I305" s="5">
        <v>56.5</v>
      </c>
    </row>
    <row r="306" spans="1:9" x14ac:dyDescent="0.25">
      <c r="A306" s="1">
        <v>45663</v>
      </c>
      <c r="B306" s="3" t="s">
        <v>1138</v>
      </c>
      <c r="C306" s="3" t="s">
        <v>1139</v>
      </c>
      <c r="D306" s="3" t="s">
        <v>0</v>
      </c>
      <c r="E306" s="3" t="s">
        <v>1140</v>
      </c>
      <c r="F306" s="3" t="s">
        <v>33</v>
      </c>
      <c r="G306" s="3" t="s">
        <v>143</v>
      </c>
      <c r="H306" s="3">
        <v>3</v>
      </c>
      <c r="I306" s="5">
        <v>89</v>
      </c>
    </row>
    <row r="307" spans="1:9" x14ac:dyDescent="0.25">
      <c r="A307" s="1">
        <v>45663</v>
      </c>
      <c r="B307" s="3" t="s">
        <v>1153</v>
      </c>
      <c r="C307" s="3" t="s">
        <v>1154</v>
      </c>
      <c r="D307" s="3" t="s">
        <v>0</v>
      </c>
      <c r="E307" s="3" t="s">
        <v>1155</v>
      </c>
      <c r="F307" s="3" t="s">
        <v>38</v>
      </c>
      <c r="G307" s="3" t="s">
        <v>144</v>
      </c>
      <c r="H307" s="3">
        <v>2</v>
      </c>
      <c r="I307" s="140">
        <v>15</v>
      </c>
    </row>
    <row r="308" spans="1:9" x14ac:dyDescent="0.25">
      <c r="A308" s="1">
        <v>45663</v>
      </c>
      <c r="B308" s="3" t="s">
        <v>1281</v>
      </c>
      <c r="C308" s="3" t="s">
        <v>1282</v>
      </c>
      <c r="D308" s="3" t="s">
        <v>0</v>
      </c>
      <c r="E308" s="3" t="s">
        <v>1283</v>
      </c>
      <c r="F308" s="3" t="s">
        <v>86</v>
      </c>
      <c r="G308" s="3" t="s">
        <v>144</v>
      </c>
      <c r="H308" s="3">
        <v>2</v>
      </c>
      <c r="I308" s="5">
        <v>35</v>
      </c>
    </row>
    <row r="309" spans="1:9" x14ac:dyDescent="0.25">
      <c r="A309" s="1">
        <v>45663</v>
      </c>
      <c r="B309" s="3" t="s">
        <v>1278</v>
      </c>
      <c r="C309" s="3" t="s">
        <v>1279</v>
      </c>
      <c r="D309" s="3" t="s">
        <v>0</v>
      </c>
      <c r="E309" s="3" t="s">
        <v>1280</v>
      </c>
      <c r="F309" s="3" t="s">
        <v>86</v>
      </c>
      <c r="G309" s="3" t="s">
        <v>144</v>
      </c>
      <c r="H309" s="3">
        <v>2</v>
      </c>
      <c r="I309" s="5">
        <v>49</v>
      </c>
    </row>
    <row r="310" spans="1:9" x14ac:dyDescent="0.25">
      <c r="A310" s="1">
        <v>45663</v>
      </c>
      <c r="B310" s="3" t="s">
        <v>1172</v>
      </c>
      <c r="C310" s="3" t="s">
        <v>1173</v>
      </c>
      <c r="D310" s="3" t="s">
        <v>0</v>
      </c>
      <c r="E310" s="3" t="s">
        <v>1174</v>
      </c>
      <c r="F310" s="3" t="s">
        <v>86</v>
      </c>
      <c r="G310" s="3" t="s">
        <v>144</v>
      </c>
      <c r="H310" s="3">
        <v>2</v>
      </c>
      <c r="I310" s="140">
        <v>27</v>
      </c>
    </row>
    <row r="311" spans="1:9" x14ac:dyDescent="0.25">
      <c r="A311" s="1">
        <v>45663</v>
      </c>
      <c r="B311" s="3" t="s">
        <v>866</v>
      </c>
      <c r="C311" s="3" t="s">
        <v>867</v>
      </c>
      <c r="D311" s="3" t="s">
        <v>0</v>
      </c>
      <c r="E311" s="3" t="s">
        <v>868</v>
      </c>
      <c r="F311" s="3" t="s">
        <v>39</v>
      </c>
      <c r="G311" s="3" t="s">
        <v>144</v>
      </c>
      <c r="H311" s="3">
        <v>2</v>
      </c>
      <c r="I311" s="5">
        <v>34</v>
      </c>
    </row>
    <row r="312" spans="1:9" x14ac:dyDescent="0.25">
      <c r="A312" s="1">
        <v>45663</v>
      </c>
      <c r="B312" s="3" t="s">
        <v>1095</v>
      </c>
      <c r="C312" s="3" t="s">
        <v>1096</v>
      </c>
      <c r="D312" s="3" t="s">
        <v>0</v>
      </c>
      <c r="E312" s="3" t="s">
        <v>1097</v>
      </c>
      <c r="F312" s="3" t="s">
        <v>39</v>
      </c>
      <c r="G312" s="3" t="s">
        <v>145</v>
      </c>
      <c r="H312" s="3">
        <v>1</v>
      </c>
      <c r="I312" s="5">
        <v>5</v>
      </c>
    </row>
    <row r="313" spans="1:9" x14ac:dyDescent="0.25">
      <c r="A313" s="1">
        <v>45664</v>
      </c>
      <c r="B313" s="3" t="s">
        <v>1080</v>
      </c>
      <c r="C313" s="3" t="s">
        <v>1081</v>
      </c>
      <c r="D313" s="3" t="s">
        <v>0</v>
      </c>
      <c r="E313" s="3" t="s">
        <v>1082</v>
      </c>
      <c r="F313" s="3" t="s">
        <v>900</v>
      </c>
      <c r="G313" s="3" t="s">
        <v>1335</v>
      </c>
      <c r="H313" s="3">
        <v>4</v>
      </c>
      <c r="I313" s="5">
        <v>80</v>
      </c>
    </row>
    <row r="314" spans="1:9" x14ac:dyDescent="0.25">
      <c r="A314" s="1">
        <v>45664</v>
      </c>
      <c r="B314" s="3" t="s">
        <v>998</v>
      </c>
      <c r="C314" s="3" t="s">
        <v>999</v>
      </c>
      <c r="D314" s="3" t="s">
        <v>0</v>
      </c>
      <c r="E314" s="3" t="s">
        <v>458</v>
      </c>
      <c r="F314" s="3" t="s">
        <v>39</v>
      </c>
      <c r="G314" s="3" t="s">
        <v>143</v>
      </c>
      <c r="H314" s="3">
        <v>3</v>
      </c>
      <c r="I314" s="5">
        <v>99.5</v>
      </c>
    </row>
    <row r="315" spans="1:9" x14ac:dyDescent="0.25">
      <c r="A315" s="1">
        <v>45664</v>
      </c>
      <c r="B315" s="3" t="s">
        <v>37</v>
      </c>
      <c r="C315" s="3" t="s">
        <v>1224</v>
      </c>
      <c r="D315" s="3" t="s">
        <v>0</v>
      </c>
      <c r="E315" s="3" t="s">
        <v>36</v>
      </c>
      <c r="F315" s="3" t="s">
        <v>33</v>
      </c>
      <c r="G315" s="3" t="s">
        <v>143</v>
      </c>
      <c r="H315" s="3">
        <v>3</v>
      </c>
      <c r="I315" s="140">
        <v>42.5</v>
      </c>
    </row>
    <row r="316" spans="1:9" x14ac:dyDescent="0.25">
      <c r="A316" s="1">
        <v>45664</v>
      </c>
      <c r="B316" s="3" t="s">
        <v>919</v>
      </c>
      <c r="C316" s="3" t="s">
        <v>920</v>
      </c>
      <c r="D316" s="3" t="s">
        <v>0</v>
      </c>
      <c r="E316" s="3" t="s">
        <v>921</v>
      </c>
      <c r="F316" s="3" t="s">
        <v>39</v>
      </c>
      <c r="G316" s="3" t="s">
        <v>143</v>
      </c>
      <c r="H316" s="3">
        <v>3</v>
      </c>
      <c r="I316" s="140">
        <v>71.5</v>
      </c>
    </row>
    <row r="317" spans="1:9" x14ac:dyDescent="0.25">
      <c r="A317" s="1">
        <v>45664</v>
      </c>
      <c r="B317" s="3" t="s">
        <v>1060</v>
      </c>
      <c r="C317" s="3" t="s">
        <v>1061</v>
      </c>
      <c r="D317" s="3" t="s">
        <v>0</v>
      </c>
      <c r="E317" s="3" t="s">
        <v>1062</v>
      </c>
      <c r="F317" s="3" t="s">
        <v>33</v>
      </c>
      <c r="G317" s="3" t="s">
        <v>1338</v>
      </c>
      <c r="H317" s="3">
        <v>2</v>
      </c>
      <c r="I317" s="5">
        <v>29.5</v>
      </c>
    </row>
    <row r="318" spans="1:9" x14ac:dyDescent="0.25">
      <c r="A318" s="1">
        <v>45664</v>
      </c>
      <c r="B318" s="3" t="s">
        <v>901</v>
      </c>
      <c r="C318" s="3" t="s">
        <v>902</v>
      </c>
      <c r="D318" s="3" t="s">
        <v>0</v>
      </c>
      <c r="E318" s="3" t="s">
        <v>903</v>
      </c>
      <c r="F318" s="3" t="s">
        <v>904</v>
      </c>
      <c r="G318" s="3" t="s">
        <v>144</v>
      </c>
      <c r="H318" s="3">
        <v>2</v>
      </c>
      <c r="I318" s="5">
        <v>32</v>
      </c>
    </row>
    <row r="319" spans="1:9" x14ac:dyDescent="0.25">
      <c r="A319" s="1">
        <v>45664</v>
      </c>
      <c r="B319" s="3" t="s">
        <v>926</v>
      </c>
      <c r="C319" s="3" t="s">
        <v>927</v>
      </c>
      <c r="D319" s="3" t="s">
        <v>0</v>
      </c>
      <c r="E319" s="3" t="s">
        <v>387</v>
      </c>
      <c r="F319" s="3" t="s">
        <v>39</v>
      </c>
      <c r="G319" s="3" t="s">
        <v>145</v>
      </c>
      <c r="H319" s="3">
        <v>1</v>
      </c>
      <c r="I319" s="5">
        <v>8.5</v>
      </c>
    </row>
    <row r="320" spans="1:9" x14ac:dyDescent="0.25">
      <c r="A320" s="1">
        <v>45664</v>
      </c>
      <c r="B320" s="3" t="s">
        <v>889</v>
      </c>
      <c r="C320" s="3" t="s">
        <v>890</v>
      </c>
      <c r="D320" s="3" t="s">
        <v>0</v>
      </c>
      <c r="E320" s="3" t="s">
        <v>891</v>
      </c>
      <c r="F320" s="3" t="s">
        <v>892</v>
      </c>
      <c r="G320" s="3" t="s">
        <v>145</v>
      </c>
      <c r="H320" s="3">
        <v>1</v>
      </c>
      <c r="I320" s="5">
        <v>17.5</v>
      </c>
    </row>
    <row r="321" spans="1:9" x14ac:dyDescent="0.25">
      <c r="A321" s="1">
        <v>45664</v>
      </c>
      <c r="B321" s="3" t="s">
        <v>1013</v>
      </c>
      <c r="C321" s="3" t="s">
        <v>1014</v>
      </c>
      <c r="D321" s="3" t="s">
        <v>0</v>
      </c>
      <c r="E321" s="3" t="s">
        <v>1015</v>
      </c>
      <c r="F321" s="3" t="s">
        <v>39</v>
      </c>
      <c r="G321" s="3" t="s">
        <v>145</v>
      </c>
      <c r="H321" s="3">
        <v>1</v>
      </c>
      <c r="I321" s="5">
        <v>15.5</v>
      </c>
    </row>
    <row r="322" spans="1:9" x14ac:dyDescent="0.25">
      <c r="A322" s="1">
        <v>45665</v>
      </c>
      <c r="B322" s="3" t="s">
        <v>1255</v>
      </c>
      <c r="C322" s="3" t="s">
        <v>1256</v>
      </c>
      <c r="D322" s="3" t="s">
        <v>0</v>
      </c>
      <c r="E322" s="3" t="s">
        <v>1257</v>
      </c>
      <c r="F322" s="3" t="s">
        <v>39</v>
      </c>
      <c r="G322" s="3" t="s">
        <v>1335</v>
      </c>
      <c r="H322" s="3">
        <v>4</v>
      </c>
      <c r="I322" s="5">
        <v>20</v>
      </c>
    </row>
    <row r="323" spans="1:9" x14ac:dyDescent="0.25">
      <c r="A323" s="1">
        <v>45665</v>
      </c>
      <c r="B323" s="3" t="s">
        <v>934</v>
      </c>
      <c r="C323" s="3" t="s">
        <v>935</v>
      </c>
      <c r="D323" s="3" t="s">
        <v>0</v>
      </c>
      <c r="E323" s="3" t="s">
        <v>936</v>
      </c>
      <c r="F323" s="3" t="s">
        <v>937</v>
      </c>
      <c r="G323" s="3" t="s">
        <v>143</v>
      </c>
      <c r="H323" s="3">
        <v>3</v>
      </c>
      <c r="I323" s="5">
        <v>117.5</v>
      </c>
    </row>
    <row r="324" spans="1:9" x14ac:dyDescent="0.25">
      <c r="A324" s="1">
        <v>45665</v>
      </c>
      <c r="B324" s="3" t="s">
        <v>962</v>
      </c>
      <c r="C324" s="3" t="s">
        <v>963</v>
      </c>
      <c r="D324" s="3" t="s">
        <v>0</v>
      </c>
      <c r="E324" s="3" t="s">
        <v>964</v>
      </c>
      <c r="F324" s="3" t="s">
        <v>34</v>
      </c>
      <c r="G324" s="3" t="s">
        <v>1335</v>
      </c>
      <c r="H324" s="3">
        <v>4</v>
      </c>
      <c r="I324" s="5">
        <v>20</v>
      </c>
    </row>
    <row r="325" spans="1:9" x14ac:dyDescent="0.25">
      <c r="A325" s="1">
        <v>45665</v>
      </c>
      <c r="B325" s="3" t="s">
        <v>988</v>
      </c>
      <c r="C325" s="3" t="s">
        <v>989</v>
      </c>
      <c r="D325" s="3" t="s">
        <v>0</v>
      </c>
      <c r="E325" s="3" t="s">
        <v>990</v>
      </c>
      <c r="F325" s="3" t="s">
        <v>33</v>
      </c>
      <c r="G325" s="3" t="s">
        <v>144</v>
      </c>
      <c r="H325" s="3">
        <v>2</v>
      </c>
      <c r="I325" s="5">
        <v>62</v>
      </c>
    </row>
    <row r="326" spans="1:9" x14ac:dyDescent="0.25">
      <c r="A326" s="1">
        <v>45667</v>
      </c>
      <c r="B326" s="3" t="s">
        <v>916</v>
      </c>
      <c r="C326" s="3" t="s">
        <v>917</v>
      </c>
      <c r="D326" s="3" t="s">
        <v>0</v>
      </c>
      <c r="E326" s="3" t="s">
        <v>918</v>
      </c>
      <c r="F326" s="3" t="s">
        <v>896</v>
      </c>
      <c r="G326" s="3" t="s">
        <v>1335</v>
      </c>
      <c r="H326" s="3">
        <v>4</v>
      </c>
      <c r="I326" s="5">
        <v>32</v>
      </c>
    </row>
    <row r="327" spans="1:9" x14ac:dyDescent="0.25">
      <c r="A327" s="1">
        <v>45667</v>
      </c>
      <c r="B327" s="3" t="s">
        <v>881</v>
      </c>
      <c r="C327" s="3" t="s">
        <v>882</v>
      </c>
      <c r="D327" s="3" t="s">
        <v>0</v>
      </c>
      <c r="E327" s="3" t="s">
        <v>883</v>
      </c>
      <c r="F327" s="3" t="s">
        <v>884</v>
      </c>
      <c r="G327" s="3" t="s">
        <v>144</v>
      </c>
      <c r="H327" s="3">
        <v>2</v>
      </c>
      <c r="I327" s="5">
        <v>20</v>
      </c>
    </row>
    <row r="328" spans="1:9" x14ac:dyDescent="0.25">
      <c r="A328" s="1">
        <v>45667</v>
      </c>
      <c r="B328" s="3" t="s">
        <v>877</v>
      </c>
      <c r="C328" s="3" t="s">
        <v>878</v>
      </c>
      <c r="D328" s="3" t="s">
        <v>0</v>
      </c>
      <c r="E328" s="3" t="s">
        <v>879</v>
      </c>
      <c r="F328" s="3" t="s">
        <v>880</v>
      </c>
      <c r="G328" s="3" t="s">
        <v>1339</v>
      </c>
      <c r="H328" s="3">
        <v>4</v>
      </c>
      <c r="I328" s="5">
        <v>166</v>
      </c>
    </row>
    <row r="329" spans="1:9" x14ac:dyDescent="0.25">
      <c r="A329" s="1">
        <v>45667</v>
      </c>
      <c r="B329" s="3" t="s">
        <v>1144</v>
      </c>
      <c r="C329" s="3" t="s">
        <v>1145</v>
      </c>
      <c r="D329" s="3" t="s">
        <v>0</v>
      </c>
      <c r="E329" s="3" t="s">
        <v>1146</v>
      </c>
      <c r="F329" s="3" t="s">
        <v>34</v>
      </c>
      <c r="G329" s="3" t="s">
        <v>145</v>
      </c>
      <c r="H329" s="3">
        <v>1</v>
      </c>
      <c r="I329" s="5">
        <v>27.5</v>
      </c>
    </row>
    <row r="330" spans="1:9" x14ac:dyDescent="0.25">
      <c r="A330" s="1">
        <v>45667</v>
      </c>
      <c r="B330" s="3" t="s">
        <v>1320</v>
      </c>
      <c r="C330" s="3" t="s">
        <v>1321</v>
      </c>
      <c r="D330" s="3" t="s">
        <v>0</v>
      </c>
      <c r="E330" s="3" t="s">
        <v>1319</v>
      </c>
      <c r="F330" s="3" t="s">
        <v>39</v>
      </c>
      <c r="G330" s="3" t="s">
        <v>145</v>
      </c>
      <c r="H330" s="3">
        <v>1</v>
      </c>
      <c r="I330" s="5">
        <v>5</v>
      </c>
    </row>
    <row r="331" spans="1:9" x14ac:dyDescent="0.25">
      <c r="A331" s="1">
        <v>45667</v>
      </c>
      <c r="B331" s="3" t="s">
        <v>1317</v>
      </c>
      <c r="C331" s="3" t="s">
        <v>1318</v>
      </c>
      <c r="D331" s="3" t="s">
        <v>0</v>
      </c>
      <c r="E331" s="3" t="s">
        <v>1319</v>
      </c>
      <c r="F331" s="3" t="s">
        <v>39</v>
      </c>
      <c r="G331" s="3" t="s">
        <v>145</v>
      </c>
      <c r="H331" s="3">
        <v>1</v>
      </c>
      <c r="I331" s="5">
        <v>7.5</v>
      </c>
    </row>
    <row r="332" spans="1:9" x14ac:dyDescent="0.25">
      <c r="A332" s="1">
        <v>45667</v>
      </c>
      <c r="B332" s="3" t="s">
        <v>1060</v>
      </c>
      <c r="C332" s="3" t="s">
        <v>1061</v>
      </c>
      <c r="D332" s="3" t="s">
        <v>0</v>
      </c>
      <c r="E332" s="3" t="s">
        <v>1062</v>
      </c>
      <c r="F332" s="3" t="s">
        <v>33</v>
      </c>
      <c r="G332" s="3" t="s">
        <v>145</v>
      </c>
      <c r="H332" s="3">
        <v>1</v>
      </c>
      <c r="I332" s="5">
        <v>22.5</v>
      </c>
    </row>
    <row r="333" spans="1:9" x14ac:dyDescent="0.25">
      <c r="A333" s="1">
        <v>45667</v>
      </c>
      <c r="B333" s="3" t="s">
        <v>1003</v>
      </c>
      <c r="C333" s="3" t="s">
        <v>1004</v>
      </c>
      <c r="D333" s="3" t="s">
        <v>0</v>
      </c>
      <c r="E333" s="3" t="s">
        <v>1005</v>
      </c>
      <c r="F333" s="3" t="s">
        <v>86</v>
      </c>
      <c r="G333" s="3" t="s">
        <v>1340</v>
      </c>
      <c r="H333" s="3">
        <v>1</v>
      </c>
      <c r="I333" s="5">
        <v>5</v>
      </c>
    </row>
    <row r="334" spans="1:9" x14ac:dyDescent="0.25">
      <c r="A334" s="1">
        <v>45668</v>
      </c>
      <c r="B334" s="3" t="s">
        <v>1290</v>
      </c>
      <c r="C334" s="3" t="s">
        <v>1291</v>
      </c>
      <c r="D334" s="3" t="s">
        <v>0</v>
      </c>
      <c r="E334" s="3" t="s">
        <v>1292</v>
      </c>
      <c r="F334" s="3" t="s">
        <v>884</v>
      </c>
      <c r="G334" s="3" t="s">
        <v>1342</v>
      </c>
      <c r="H334" s="3">
        <v>3</v>
      </c>
      <c r="I334" s="5">
        <v>143.5</v>
      </c>
    </row>
    <row r="335" spans="1:9" x14ac:dyDescent="0.25">
      <c r="A335" s="1">
        <v>45668</v>
      </c>
      <c r="B335" s="3" t="s">
        <v>1328</v>
      </c>
      <c r="C335" s="3" t="s">
        <v>1329</v>
      </c>
      <c r="D335" s="3" t="s">
        <v>0</v>
      </c>
      <c r="E335" s="3" t="s">
        <v>1330</v>
      </c>
      <c r="F335" s="3" t="s">
        <v>33</v>
      </c>
      <c r="G335" s="3" t="s">
        <v>1343</v>
      </c>
      <c r="H335" s="3">
        <v>2</v>
      </c>
      <c r="I335" s="5">
        <v>10</v>
      </c>
    </row>
    <row r="336" spans="1:9" x14ac:dyDescent="0.25">
      <c r="A336" s="1">
        <v>45670</v>
      </c>
      <c r="B336" s="3" t="s">
        <v>912</v>
      </c>
      <c r="C336" s="3" t="s">
        <v>913</v>
      </c>
      <c r="D336" s="3" t="s">
        <v>0</v>
      </c>
      <c r="E336" s="3" t="s">
        <v>914</v>
      </c>
      <c r="F336" s="3" t="s">
        <v>915</v>
      </c>
      <c r="G336" s="3" t="s">
        <v>1342</v>
      </c>
      <c r="H336" s="3">
        <v>3</v>
      </c>
      <c r="I336" s="5">
        <v>36.5</v>
      </c>
    </row>
    <row r="337" spans="1:9" x14ac:dyDescent="0.25">
      <c r="A337" s="1">
        <v>45670</v>
      </c>
      <c r="B337" s="3" t="s">
        <v>1132</v>
      </c>
      <c r="C337" s="3" t="s">
        <v>1133</v>
      </c>
      <c r="D337" s="3" t="s">
        <v>0</v>
      </c>
      <c r="E337" s="3" t="s">
        <v>1134</v>
      </c>
      <c r="F337" s="3" t="s">
        <v>39</v>
      </c>
      <c r="G337" s="3" t="s">
        <v>1342</v>
      </c>
      <c r="H337" s="3">
        <v>3</v>
      </c>
      <c r="I337" s="5">
        <v>91.5</v>
      </c>
    </row>
    <row r="338" spans="1:9" x14ac:dyDescent="0.25">
      <c r="A338" s="1">
        <v>45670</v>
      </c>
      <c r="B338" s="3" t="s">
        <v>1299</v>
      </c>
      <c r="C338" s="3" t="s">
        <v>1300</v>
      </c>
      <c r="D338" s="3" t="s">
        <v>0</v>
      </c>
      <c r="E338" s="3" t="s">
        <v>1301</v>
      </c>
      <c r="F338" s="3" t="s">
        <v>0</v>
      </c>
      <c r="G338" s="3" t="s">
        <v>1343</v>
      </c>
      <c r="H338" s="3">
        <v>2</v>
      </c>
      <c r="I338" s="5">
        <v>15</v>
      </c>
    </row>
    <row r="339" spans="1:9" x14ac:dyDescent="0.25">
      <c r="A339" s="1">
        <v>45670</v>
      </c>
      <c r="B339" s="3" t="s">
        <v>1243</v>
      </c>
      <c r="C339" s="3" t="s">
        <v>1244</v>
      </c>
      <c r="D339" s="3" t="s">
        <v>0</v>
      </c>
      <c r="E339" s="3" t="s">
        <v>1245</v>
      </c>
      <c r="F339" s="3" t="s">
        <v>86</v>
      </c>
      <c r="G339" s="3" t="s">
        <v>1340</v>
      </c>
      <c r="H339" s="3">
        <v>1</v>
      </c>
      <c r="I339" s="5">
        <v>26.5</v>
      </c>
    </row>
    <row r="340" spans="1:9" x14ac:dyDescent="0.25">
      <c r="A340" s="1">
        <v>45670</v>
      </c>
      <c r="B340" s="3" t="s">
        <v>1225</v>
      </c>
      <c r="C340" s="3" t="s">
        <v>1226</v>
      </c>
      <c r="D340" s="3" t="s">
        <v>0</v>
      </c>
      <c r="E340" s="3" t="s">
        <v>1227</v>
      </c>
      <c r="F340" s="3" t="s">
        <v>86</v>
      </c>
      <c r="G340" s="3" t="s">
        <v>1340</v>
      </c>
      <c r="H340" s="3">
        <v>1</v>
      </c>
      <c r="I340" s="5">
        <v>33.5</v>
      </c>
    </row>
    <row r="341" spans="1:9" x14ac:dyDescent="0.25">
      <c r="A341" s="1">
        <v>45670</v>
      </c>
      <c r="B341" s="3" t="s">
        <v>1296</v>
      </c>
      <c r="C341" s="3" t="s">
        <v>1297</v>
      </c>
      <c r="D341" s="3" t="s">
        <v>0</v>
      </c>
      <c r="E341" s="3" t="s">
        <v>1298</v>
      </c>
      <c r="F341" s="3" t="s">
        <v>86</v>
      </c>
      <c r="G341" s="3" t="s">
        <v>1340</v>
      </c>
      <c r="H341" s="3">
        <v>1</v>
      </c>
      <c r="I341" s="140">
        <v>5</v>
      </c>
    </row>
    <row r="342" spans="1:9" x14ac:dyDescent="0.25">
      <c r="A342" s="1">
        <v>45670</v>
      </c>
      <c r="B342" s="3" t="s">
        <v>908</v>
      </c>
      <c r="C342" s="3" t="s">
        <v>909</v>
      </c>
      <c r="D342" s="3" t="s">
        <v>0</v>
      </c>
      <c r="E342" s="3" t="s">
        <v>910</v>
      </c>
      <c r="F342" s="3" t="s">
        <v>39</v>
      </c>
      <c r="G342" s="3" t="s">
        <v>1340</v>
      </c>
      <c r="H342" s="3">
        <v>1</v>
      </c>
      <c r="I342" s="5">
        <v>5</v>
      </c>
    </row>
    <row r="343" spans="1:9" x14ac:dyDescent="0.25">
      <c r="A343" s="1">
        <v>45670</v>
      </c>
      <c r="B343" s="3" t="s">
        <v>1038</v>
      </c>
      <c r="C343" s="3" t="s">
        <v>1039</v>
      </c>
      <c r="D343" s="3" t="s">
        <v>0</v>
      </c>
      <c r="E343" s="3" t="s">
        <v>1040</v>
      </c>
      <c r="F343" s="3" t="s">
        <v>38</v>
      </c>
      <c r="G343" s="3" t="s">
        <v>1340</v>
      </c>
      <c r="H343" s="3">
        <v>1</v>
      </c>
      <c r="I343" s="5">
        <v>5</v>
      </c>
    </row>
    <row r="344" spans="1:9" x14ac:dyDescent="0.25">
      <c r="A344" s="1">
        <v>45670</v>
      </c>
      <c r="B344" s="3" t="s">
        <v>1311</v>
      </c>
      <c r="C344" s="3" t="s">
        <v>1312</v>
      </c>
      <c r="D344" s="3" t="s">
        <v>0</v>
      </c>
      <c r="E344" s="3" t="s">
        <v>1313</v>
      </c>
      <c r="F344" s="3" t="s">
        <v>86</v>
      </c>
      <c r="G344" s="3" t="s">
        <v>1340</v>
      </c>
      <c r="H344" s="3">
        <v>1</v>
      </c>
      <c r="I344" s="5">
        <v>24.5</v>
      </c>
    </row>
    <row r="345" spans="1:9" x14ac:dyDescent="0.25">
      <c r="A345" s="1">
        <v>45670</v>
      </c>
      <c r="B345" s="3" t="s">
        <v>1104</v>
      </c>
      <c r="C345" s="3" t="s">
        <v>1105</v>
      </c>
      <c r="D345" s="3" t="s">
        <v>0</v>
      </c>
      <c r="E345" s="3" t="s">
        <v>1106</v>
      </c>
      <c r="F345" s="3" t="s">
        <v>86</v>
      </c>
      <c r="G345" s="3" t="s">
        <v>1340</v>
      </c>
      <c r="H345" s="3">
        <v>1</v>
      </c>
      <c r="I345" s="5">
        <v>5</v>
      </c>
    </row>
    <row r="346" spans="1:9" x14ac:dyDescent="0.25">
      <c r="A346" s="1">
        <v>45670</v>
      </c>
      <c r="B346" s="3" t="s">
        <v>1041</v>
      </c>
      <c r="C346" s="3" t="s">
        <v>1042</v>
      </c>
      <c r="D346" s="3" t="s">
        <v>0</v>
      </c>
      <c r="E346" s="3" t="s">
        <v>1043</v>
      </c>
      <c r="F346" s="3" t="s">
        <v>39</v>
      </c>
      <c r="G346" s="3" t="s">
        <v>1340</v>
      </c>
      <c r="H346" s="3">
        <v>1</v>
      </c>
      <c r="I346" s="5">
        <v>8.5</v>
      </c>
    </row>
    <row r="347" spans="1:9" x14ac:dyDescent="0.25">
      <c r="A347" s="1">
        <v>45671</v>
      </c>
      <c r="B347" s="3" t="s">
        <v>1322</v>
      </c>
      <c r="C347" s="3" t="s">
        <v>1323</v>
      </c>
      <c r="D347" s="3" t="s">
        <v>0</v>
      </c>
      <c r="E347" s="3" t="s">
        <v>1324</v>
      </c>
      <c r="F347" s="3" t="s">
        <v>86</v>
      </c>
      <c r="G347" s="3" t="s">
        <v>1342</v>
      </c>
      <c r="H347" s="3">
        <v>3</v>
      </c>
      <c r="I347" s="140">
        <v>15</v>
      </c>
    </row>
    <row r="348" spans="1:9" x14ac:dyDescent="0.25">
      <c r="A348" s="1">
        <v>45671</v>
      </c>
      <c r="B348" s="3" t="s">
        <v>1123</v>
      </c>
      <c r="C348" s="3" t="s">
        <v>1124</v>
      </c>
      <c r="D348" s="3" t="s">
        <v>0</v>
      </c>
      <c r="E348" s="3" t="s">
        <v>138</v>
      </c>
      <c r="F348" s="3" t="s">
        <v>1125</v>
      </c>
      <c r="G348" s="3" t="s">
        <v>1342</v>
      </c>
      <c r="H348" s="3">
        <v>3</v>
      </c>
      <c r="I348" s="140">
        <v>41.5</v>
      </c>
    </row>
    <row r="349" spans="1:9" x14ac:dyDescent="0.25">
      <c r="A349" s="1">
        <v>45671</v>
      </c>
      <c r="B349" s="3" t="s">
        <v>1077</v>
      </c>
      <c r="C349" s="3" t="s">
        <v>1078</v>
      </c>
      <c r="D349" s="3" t="s">
        <v>0</v>
      </c>
      <c r="E349" s="3" t="s">
        <v>1079</v>
      </c>
      <c r="F349" s="3" t="s">
        <v>33</v>
      </c>
      <c r="G349" s="3" t="s">
        <v>145</v>
      </c>
      <c r="H349" s="3">
        <v>1</v>
      </c>
      <c r="I349" s="140">
        <v>48.5</v>
      </c>
    </row>
    <row r="350" spans="1:9" x14ac:dyDescent="0.25">
      <c r="A350" s="1">
        <v>45671</v>
      </c>
      <c r="B350" s="3" t="s">
        <v>1070</v>
      </c>
      <c r="C350" s="3" t="s">
        <v>1071</v>
      </c>
      <c r="D350" s="3" t="s">
        <v>0</v>
      </c>
      <c r="E350" s="3" t="s">
        <v>1072</v>
      </c>
      <c r="F350" s="3" t="s">
        <v>1073</v>
      </c>
      <c r="G350" s="3" t="s">
        <v>1343</v>
      </c>
      <c r="H350" s="3">
        <v>2</v>
      </c>
      <c r="I350" s="5">
        <v>42</v>
      </c>
    </row>
    <row r="351" spans="1:9" x14ac:dyDescent="0.25">
      <c r="A351" s="1">
        <v>45671</v>
      </c>
      <c r="B351" s="3" t="s">
        <v>1308</v>
      </c>
      <c r="C351" s="3" t="s">
        <v>1309</v>
      </c>
      <c r="D351" s="3" t="s">
        <v>0</v>
      </c>
      <c r="E351" s="3" t="s">
        <v>1310</v>
      </c>
      <c r="F351" s="3" t="s">
        <v>86</v>
      </c>
      <c r="G351" s="3" t="s">
        <v>1340</v>
      </c>
      <c r="H351" s="3">
        <v>1</v>
      </c>
      <c r="I351" s="5">
        <v>26.5</v>
      </c>
    </row>
    <row r="352" spans="1:9" x14ac:dyDescent="0.25">
      <c r="A352" s="1">
        <v>45671</v>
      </c>
      <c r="B352" s="3" t="s">
        <v>133</v>
      </c>
      <c r="C352" s="3" t="s">
        <v>134</v>
      </c>
      <c r="D352" s="3" t="s">
        <v>0</v>
      </c>
      <c r="E352" s="3" t="s">
        <v>135</v>
      </c>
      <c r="F352" s="3" t="s">
        <v>33</v>
      </c>
      <c r="G352" s="3" t="s">
        <v>1340</v>
      </c>
      <c r="H352" s="3">
        <v>1</v>
      </c>
      <c r="I352" s="5">
        <v>5</v>
      </c>
    </row>
    <row r="353" spans="1:9" x14ac:dyDescent="0.25">
      <c r="A353" s="1">
        <v>45671</v>
      </c>
      <c r="B353" s="3" t="s">
        <v>130</v>
      </c>
      <c r="C353" s="3" t="s">
        <v>131</v>
      </c>
      <c r="D353" s="3" t="s">
        <v>0</v>
      </c>
      <c r="E353" s="3" t="s">
        <v>132</v>
      </c>
      <c r="F353" s="3" t="s">
        <v>33</v>
      </c>
      <c r="G353" s="3" t="s">
        <v>1340</v>
      </c>
      <c r="H353" s="3">
        <v>1</v>
      </c>
      <c r="I353" s="5">
        <v>5</v>
      </c>
    </row>
    <row r="354" spans="1:9" x14ac:dyDescent="0.25">
      <c r="A354" s="1">
        <v>45671</v>
      </c>
      <c r="B354" s="3" t="s">
        <v>136</v>
      </c>
      <c r="C354" s="3" t="s">
        <v>137</v>
      </c>
      <c r="D354" s="3" t="s">
        <v>0</v>
      </c>
      <c r="E354" s="3" t="s">
        <v>138</v>
      </c>
      <c r="F354" s="3" t="s">
        <v>39</v>
      </c>
      <c r="G354" s="3" t="s">
        <v>1340</v>
      </c>
      <c r="H354" s="3">
        <v>1</v>
      </c>
      <c r="I354" s="5">
        <v>5</v>
      </c>
    </row>
    <row r="355" spans="1:9" x14ac:dyDescent="0.25">
      <c r="A355" s="1">
        <v>45671</v>
      </c>
      <c r="B355" s="3" t="s">
        <v>1057</v>
      </c>
      <c r="C355" s="3" t="s">
        <v>1058</v>
      </c>
      <c r="D355" s="3" t="s">
        <v>0</v>
      </c>
      <c r="E355" s="3" t="s">
        <v>1059</v>
      </c>
      <c r="F355" s="3" t="s">
        <v>90</v>
      </c>
      <c r="G355" s="3" t="s">
        <v>1340</v>
      </c>
      <c r="H355" s="3">
        <v>1</v>
      </c>
      <c r="I355" s="5">
        <v>7.5</v>
      </c>
    </row>
    <row r="356" spans="1:9" x14ac:dyDescent="0.25">
      <c r="A356" s="1">
        <v>45671</v>
      </c>
      <c r="B356" s="3" t="s">
        <v>1204</v>
      </c>
      <c r="C356" s="3" t="s">
        <v>1205</v>
      </c>
      <c r="D356" s="3" t="s">
        <v>0</v>
      </c>
      <c r="E356" s="3" t="s">
        <v>1206</v>
      </c>
      <c r="F356" s="3" t="s">
        <v>86</v>
      </c>
      <c r="G356" s="3" t="s">
        <v>1340</v>
      </c>
      <c r="H356" s="3">
        <v>1</v>
      </c>
      <c r="I356" s="5">
        <v>23.5</v>
      </c>
    </row>
    <row r="357" spans="1:9" x14ac:dyDescent="0.25">
      <c r="A357" s="1">
        <v>45671</v>
      </c>
      <c r="B357" s="3" t="s">
        <v>897</v>
      </c>
      <c r="C357" s="3" t="s">
        <v>898</v>
      </c>
      <c r="D357" s="3" t="s">
        <v>0</v>
      </c>
      <c r="E357" s="3" t="s">
        <v>899</v>
      </c>
      <c r="F357" s="3" t="s">
        <v>900</v>
      </c>
      <c r="G357" s="3" t="s">
        <v>1340</v>
      </c>
      <c r="H357" s="3">
        <v>1</v>
      </c>
      <c r="I357" s="5">
        <v>40.5</v>
      </c>
    </row>
    <row r="358" spans="1:9" x14ac:dyDescent="0.25">
      <c r="A358" s="1">
        <v>45671</v>
      </c>
      <c r="B358" s="3" t="s">
        <v>873</v>
      </c>
      <c r="C358" s="3" t="s">
        <v>874</v>
      </c>
      <c r="D358" s="3" t="s">
        <v>0</v>
      </c>
      <c r="E358" s="3" t="s">
        <v>875</v>
      </c>
      <c r="F358" s="3" t="s">
        <v>876</v>
      </c>
      <c r="G358" s="3" t="s">
        <v>1340</v>
      </c>
      <c r="H358" s="3">
        <v>1</v>
      </c>
      <c r="I358" s="5">
        <v>17.5</v>
      </c>
    </row>
    <row r="359" spans="1:9" x14ac:dyDescent="0.25">
      <c r="A359" s="1">
        <v>45672</v>
      </c>
      <c r="B359" s="3" t="s">
        <v>1114</v>
      </c>
      <c r="C359" s="3" t="s">
        <v>1115</v>
      </c>
      <c r="D359" s="3" t="s">
        <v>0</v>
      </c>
      <c r="E359" s="3" t="s">
        <v>1116</v>
      </c>
      <c r="F359" s="3" t="s">
        <v>39</v>
      </c>
      <c r="G359" s="3" t="s">
        <v>1342</v>
      </c>
      <c r="H359" s="3">
        <v>3</v>
      </c>
      <c r="I359" s="5">
        <v>46.5</v>
      </c>
    </row>
    <row r="360" spans="1:9" x14ac:dyDescent="0.25">
      <c r="A360" s="1">
        <v>45672</v>
      </c>
      <c r="B360" s="3" t="s">
        <v>1009</v>
      </c>
      <c r="C360" s="3" t="s">
        <v>1010</v>
      </c>
      <c r="D360" s="3" t="s">
        <v>0</v>
      </c>
      <c r="E360" s="3" t="s">
        <v>1011</v>
      </c>
      <c r="F360" s="3" t="s">
        <v>1012</v>
      </c>
      <c r="G360" s="3" t="s">
        <v>1342</v>
      </c>
      <c r="H360" s="3">
        <v>3</v>
      </c>
      <c r="I360" s="5">
        <v>70.5</v>
      </c>
    </row>
    <row r="361" spans="1:9" x14ac:dyDescent="0.25">
      <c r="A361" s="1">
        <v>45672</v>
      </c>
      <c r="B361" s="3" t="s">
        <v>1216</v>
      </c>
      <c r="C361" s="3" t="s">
        <v>1217</v>
      </c>
      <c r="D361" s="3" t="s">
        <v>0</v>
      </c>
      <c r="E361" s="3" t="s">
        <v>1218</v>
      </c>
      <c r="F361" s="3" t="s">
        <v>86</v>
      </c>
      <c r="G361" s="3" t="s">
        <v>1343</v>
      </c>
      <c r="H361" s="3">
        <v>2</v>
      </c>
      <c r="I361" s="5">
        <v>10</v>
      </c>
    </row>
    <row r="362" spans="1:9" x14ac:dyDescent="0.25">
      <c r="A362" s="1">
        <v>45672</v>
      </c>
      <c r="B362" s="3" t="s">
        <v>1249</v>
      </c>
      <c r="C362" s="3" t="s">
        <v>1250</v>
      </c>
      <c r="D362" s="3" t="s">
        <v>0</v>
      </c>
      <c r="E362" s="3" t="s">
        <v>1251</v>
      </c>
      <c r="F362" s="3" t="s">
        <v>39</v>
      </c>
      <c r="G362" s="3" t="s">
        <v>1343</v>
      </c>
      <c r="H362" s="3">
        <v>2</v>
      </c>
      <c r="I362" s="140">
        <v>11.5</v>
      </c>
    </row>
    <row r="363" spans="1:9" x14ac:dyDescent="0.25">
      <c r="A363" s="1">
        <v>45672</v>
      </c>
      <c r="B363" s="3" t="s">
        <v>1101</v>
      </c>
      <c r="C363" s="3" t="s">
        <v>1102</v>
      </c>
      <c r="D363" s="3" t="s">
        <v>0</v>
      </c>
      <c r="E363" s="3" t="s">
        <v>1103</v>
      </c>
      <c r="F363" s="3" t="s">
        <v>0</v>
      </c>
      <c r="G363" s="3" t="s">
        <v>1343</v>
      </c>
      <c r="H363" s="3">
        <v>2</v>
      </c>
      <c r="I363" s="5">
        <v>11.5</v>
      </c>
    </row>
    <row r="364" spans="1:9" x14ac:dyDescent="0.25">
      <c r="A364" s="1">
        <v>45672</v>
      </c>
      <c r="B364" s="3" t="s">
        <v>1067</v>
      </c>
      <c r="C364" s="3" t="s">
        <v>1068</v>
      </c>
      <c r="D364" s="3" t="s">
        <v>0</v>
      </c>
      <c r="E364" s="3" t="s">
        <v>1069</v>
      </c>
      <c r="F364" s="3" t="s">
        <v>994</v>
      </c>
      <c r="G364" s="3" t="s">
        <v>1340</v>
      </c>
      <c r="H364" s="3">
        <v>1</v>
      </c>
      <c r="I364" s="5">
        <v>18.5</v>
      </c>
    </row>
    <row r="365" spans="1:9" x14ac:dyDescent="0.25">
      <c r="A365" s="1">
        <v>45672</v>
      </c>
      <c r="B365" s="3" t="s">
        <v>1021</v>
      </c>
      <c r="C365" s="3" t="s">
        <v>1022</v>
      </c>
      <c r="D365" s="3" t="s">
        <v>0</v>
      </c>
      <c r="E365" s="3" t="s">
        <v>1023</v>
      </c>
      <c r="F365" s="3" t="s">
        <v>90</v>
      </c>
      <c r="G365" s="3" t="s">
        <v>1340</v>
      </c>
      <c r="H365" s="3">
        <v>1</v>
      </c>
      <c r="I365" s="140">
        <v>11.5</v>
      </c>
    </row>
    <row r="366" spans="1:9" x14ac:dyDescent="0.25">
      <c r="A366" s="1">
        <v>45672</v>
      </c>
      <c r="B366" s="3" t="s">
        <v>1147</v>
      </c>
      <c r="C366" s="3" t="s">
        <v>1148</v>
      </c>
      <c r="D366" s="3" t="s">
        <v>0</v>
      </c>
      <c r="E366" s="3" t="s">
        <v>1149</v>
      </c>
      <c r="F366" s="3" t="s">
        <v>86</v>
      </c>
      <c r="G366" s="3" t="s">
        <v>1340</v>
      </c>
      <c r="H366" s="3">
        <v>1</v>
      </c>
      <c r="I366" s="5">
        <v>25.5</v>
      </c>
    </row>
    <row r="367" spans="1:9" x14ac:dyDescent="0.25">
      <c r="A367" s="1">
        <v>45672</v>
      </c>
      <c r="B367" s="3" t="s">
        <v>1228</v>
      </c>
      <c r="C367" s="3" t="s">
        <v>1229</v>
      </c>
      <c r="D367" s="3" t="s">
        <v>0</v>
      </c>
      <c r="E367" s="3" t="s">
        <v>1230</v>
      </c>
      <c r="F367" s="3" t="s">
        <v>86</v>
      </c>
      <c r="G367" s="3" t="s">
        <v>1340</v>
      </c>
      <c r="H367" s="3">
        <v>1</v>
      </c>
      <c r="I367" s="5">
        <v>31.5</v>
      </c>
    </row>
    <row r="368" spans="1:9" x14ac:dyDescent="0.25">
      <c r="A368" s="1">
        <v>45672</v>
      </c>
      <c r="B368" s="3" t="s">
        <v>972</v>
      </c>
      <c r="C368" s="3" t="s">
        <v>973</v>
      </c>
      <c r="D368" s="3" t="s">
        <v>0</v>
      </c>
      <c r="E368" s="3" t="s">
        <v>974</v>
      </c>
      <c r="F368" s="3" t="s">
        <v>86</v>
      </c>
      <c r="G368" s="3" t="s">
        <v>1340</v>
      </c>
      <c r="H368" s="3">
        <v>1</v>
      </c>
      <c r="I368" s="140">
        <v>8.5</v>
      </c>
    </row>
    <row r="369" spans="1:9" x14ac:dyDescent="0.25">
      <c r="A369" s="1">
        <v>45672</v>
      </c>
      <c r="B369" s="3" t="s">
        <v>975</v>
      </c>
      <c r="C369" s="3" t="s">
        <v>976</v>
      </c>
      <c r="D369" s="3" t="s">
        <v>0</v>
      </c>
      <c r="E369" s="3" t="s">
        <v>977</v>
      </c>
      <c r="F369" s="3" t="s">
        <v>978</v>
      </c>
      <c r="G369" s="3" t="s">
        <v>1340</v>
      </c>
      <c r="H369" s="3">
        <v>1</v>
      </c>
      <c r="I369" s="5">
        <v>5</v>
      </c>
    </row>
    <row r="370" spans="1:9" x14ac:dyDescent="0.25">
      <c r="A370" s="1">
        <v>45672</v>
      </c>
      <c r="B370" s="3" t="s">
        <v>1141</v>
      </c>
      <c r="C370" s="3" t="s">
        <v>1142</v>
      </c>
      <c r="D370" s="3" t="s">
        <v>0</v>
      </c>
      <c r="E370" s="3" t="s">
        <v>1143</v>
      </c>
      <c r="F370" s="3" t="s">
        <v>33</v>
      </c>
      <c r="G370" s="3" t="s">
        <v>1340</v>
      </c>
      <c r="H370" s="3">
        <v>1</v>
      </c>
      <c r="I370" s="5">
        <v>5</v>
      </c>
    </row>
    <row r="371" spans="1:9" x14ac:dyDescent="0.25">
      <c r="A371" s="1">
        <v>45673</v>
      </c>
      <c r="B371" s="3" t="s">
        <v>1219</v>
      </c>
      <c r="C371" s="3" t="s">
        <v>1220</v>
      </c>
      <c r="D371" s="3" t="s">
        <v>0</v>
      </c>
      <c r="E371" s="3" t="s">
        <v>724</v>
      </c>
      <c r="F371" s="3" t="s">
        <v>39</v>
      </c>
      <c r="G371" s="3" t="s">
        <v>1339</v>
      </c>
      <c r="H371" s="3">
        <v>4</v>
      </c>
      <c r="I371" s="5">
        <v>62</v>
      </c>
    </row>
    <row r="372" spans="1:9" x14ac:dyDescent="0.25">
      <c r="A372" s="1">
        <v>45673</v>
      </c>
      <c r="B372" s="3" t="s">
        <v>1018</v>
      </c>
      <c r="C372" s="3" t="s">
        <v>1019</v>
      </c>
      <c r="D372" s="3" t="s">
        <v>0</v>
      </c>
      <c r="E372" s="3" t="s">
        <v>1020</v>
      </c>
      <c r="F372" s="3" t="s">
        <v>33</v>
      </c>
      <c r="G372" s="3" t="s">
        <v>1343</v>
      </c>
      <c r="H372" s="3">
        <v>2</v>
      </c>
      <c r="I372" s="5">
        <v>27</v>
      </c>
    </row>
    <row r="373" spans="1:9" x14ac:dyDescent="0.25">
      <c r="A373" s="1">
        <v>45673</v>
      </c>
      <c r="B373" s="3" t="s">
        <v>1000</v>
      </c>
      <c r="C373" s="3" t="s">
        <v>1001</v>
      </c>
      <c r="D373" s="3" t="s">
        <v>0</v>
      </c>
      <c r="E373" s="3" t="s">
        <v>1002</v>
      </c>
      <c r="F373" s="3" t="s">
        <v>38</v>
      </c>
      <c r="G373" s="3" t="s">
        <v>1340</v>
      </c>
      <c r="H373" s="3">
        <v>1</v>
      </c>
      <c r="I373" s="5">
        <v>6.5</v>
      </c>
    </row>
    <row r="374" spans="1:9" x14ac:dyDescent="0.25">
      <c r="A374" s="1">
        <v>45673</v>
      </c>
      <c r="B374" s="3" t="s">
        <v>1184</v>
      </c>
      <c r="C374" s="3" t="s">
        <v>1185</v>
      </c>
      <c r="D374" s="3" t="s">
        <v>0</v>
      </c>
      <c r="E374" s="3" t="s">
        <v>1186</v>
      </c>
      <c r="F374" s="3" t="s">
        <v>34</v>
      </c>
      <c r="G374" s="3" t="s">
        <v>1340</v>
      </c>
      <c r="H374" s="3">
        <v>1</v>
      </c>
      <c r="I374" s="5">
        <v>31.5</v>
      </c>
    </row>
    <row r="375" spans="1:9" x14ac:dyDescent="0.25">
      <c r="A375" s="1">
        <v>45673</v>
      </c>
      <c r="B375" s="3" t="s">
        <v>1187</v>
      </c>
      <c r="C375" s="3" t="s">
        <v>1188</v>
      </c>
      <c r="D375" s="3" t="s">
        <v>0</v>
      </c>
      <c r="E375" s="3" t="s">
        <v>1186</v>
      </c>
      <c r="F375" s="3" t="s">
        <v>876</v>
      </c>
      <c r="G375" s="3" t="s">
        <v>1340</v>
      </c>
      <c r="H375" s="3">
        <v>1</v>
      </c>
      <c r="I375" s="5">
        <v>5</v>
      </c>
    </row>
    <row r="376" spans="1:9" x14ac:dyDescent="0.25">
      <c r="A376" s="1">
        <v>45673</v>
      </c>
      <c r="B376" s="3" t="s">
        <v>1150</v>
      </c>
      <c r="C376" s="3" t="s">
        <v>1151</v>
      </c>
      <c r="D376" s="3" t="s">
        <v>0</v>
      </c>
      <c r="E376" s="3" t="s">
        <v>1152</v>
      </c>
      <c r="F376" s="3" t="s">
        <v>86</v>
      </c>
      <c r="G376" s="3" t="s">
        <v>1340</v>
      </c>
      <c r="H376" s="3">
        <v>1</v>
      </c>
      <c r="I376" s="5">
        <v>6.5</v>
      </c>
    </row>
    <row r="377" spans="1:9" x14ac:dyDescent="0.25">
      <c r="A377" s="1">
        <v>45673</v>
      </c>
      <c r="B377" s="3" t="s">
        <v>1278</v>
      </c>
      <c r="C377" s="3" t="s">
        <v>1279</v>
      </c>
      <c r="D377" s="3" t="s">
        <v>0</v>
      </c>
      <c r="E377" s="3" t="s">
        <v>1280</v>
      </c>
      <c r="F377" s="3" t="s">
        <v>86</v>
      </c>
      <c r="G377" s="3" t="s">
        <v>1340</v>
      </c>
      <c r="H377" s="3">
        <v>1</v>
      </c>
      <c r="I377" s="5">
        <v>24.5</v>
      </c>
    </row>
    <row r="378" spans="1:9" x14ac:dyDescent="0.25">
      <c r="A378" s="1">
        <v>45673</v>
      </c>
      <c r="B378" s="3" t="s">
        <v>1044</v>
      </c>
      <c r="C378" s="3" t="s">
        <v>1045</v>
      </c>
      <c r="D378" s="3" t="s">
        <v>0</v>
      </c>
      <c r="E378" s="3" t="s">
        <v>1046</v>
      </c>
      <c r="F378" s="3" t="s">
        <v>1047</v>
      </c>
      <c r="G378" s="3" t="s">
        <v>1340</v>
      </c>
      <c r="H378" s="3">
        <v>1</v>
      </c>
      <c r="I378" s="5">
        <v>15.5</v>
      </c>
    </row>
    <row r="379" spans="1:9" x14ac:dyDescent="0.25">
      <c r="A379" s="1">
        <v>45673</v>
      </c>
      <c r="B379" s="3" t="s">
        <v>1048</v>
      </c>
      <c r="C379" s="3" t="s">
        <v>1049</v>
      </c>
      <c r="D379" s="3" t="s">
        <v>0</v>
      </c>
      <c r="E379" s="3" t="s">
        <v>1050</v>
      </c>
      <c r="F379" s="3" t="s">
        <v>33</v>
      </c>
      <c r="G379" s="3" t="s">
        <v>1340</v>
      </c>
      <c r="H379" s="3">
        <v>1</v>
      </c>
      <c r="I379" s="5">
        <v>76.5</v>
      </c>
    </row>
    <row r="380" spans="1:9" x14ac:dyDescent="0.25">
      <c r="A380" s="1">
        <v>45674</v>
      </c>
      <c r="B380" s="3" t="s">
        <v>1156</v>
      </c>
      <c r="C380" s="3" t="s">
        <v>1157</v>
      </c>
      <c r="D380" s="3" t="s">
        <v>0</v>
      </c>
      <c r="E380" s="3" t="s">
        <v>1158</v>
      </c>
      <c r="F380" s="3" t="s">
        <v>33</v>
      </c>
      <c r="G380" s="3" t="s">
        <v>1343</v>
      </c>
      <c r="H380" s="3">
        <v>2</v>
      </c>
      <c r="I380" s="5">
        <v>63</v>
      </c>
    </row>
    <row r="381" spans="1:9" x14ac:dyDescent="0.25">
      <c r="A381" s="1">
        <v>45674</v>
      </c>
      <c r="B381" s="3" t="s">
        <v>1159</v>
      </c>
      <c r="C381" s="3" t="s">
        <v>1160</v>
      </c>
      <c r="D381" s="3" t="s">
        <v>0</v>
      </c>
      <c r="E381" s="3" t="s">
        <v>1161</v>
      </c>
      <c r="F381" s="3" t="s">
        <v>1162</v>
      </c>
      <c r="G381" s="3" t="s">
        <v>1340</v>
      </c>
      <c r="H381" s="3">
        <v>1</v>
      </c>
      <c r="I381" s="140">
        <v>8.5</v>
      </c>
    </row>
    <row r="382" spans="1:9" x14ac:dyDescent="0.25">
      <c r="A382" s="1">
        <v>45675</v>
      </c>
      <c r="B382" s="3" t="s">
        <v>1175</v>
      </c>
      <c r="C382" s="3" t="s">
        <v>1176</v>
      </c>
      <c r="D382" s="3" t="s">
        <v>0</v>
      </c>
      <c r="E382" s="3" t="s">
        <v>1177</v>
      </c>
      <c r="F382" s="3" t="s">
        <v>86</v>
      </c>
      <c r="G382" s="3" t="s">
        <v>1343</v>
      </c>
      <c r="H382" s="3">
        <v>2</v>
      </c>
      <c r="I382" s="5">
        <v>40</v>
      </c>
    </row>
    <row r="383" spans="1:9" x14ac:dyDescent="0.25">
      <c r="A383" s="1">
        <v>45675</v>
      </c>
      <c r="B383" s="3" t="s">
        <v>1166</v>
      </c>
      <c r="C383" s="3" t="s">
        <v>1167</v>
      </c>
      <c r="D383" s="3" t="s">
        <v>0</v>
      </c>
      <c r="E383" s="3" t="s">
        <v>1168</v>
      </c>
      <c r="F383" s="3" t="s">
        <v>86</v>
      </c>
      <c r="G383" s="3" t="s">
        <v>145</v>
      </c>
      <c r="H383" s="3">
        <v>1</v>
      </c>
      <c r="I383" s="5">
        <v>26.5</v>
      </c>
    </row>
    <row r="384" spans="1:9" x14ac:dyDescent="0.25">
      <c r="A384" s="1">
        <v>45677</v>
      </c>
      <c r="B384" s="3" t="s">
        <v>1207</v>
      </c>
      <c r="C384" s="3" t="s">
        <v>1208</v>
      </c>
      <c r="D384" s="3" t="s">
        <v>0</v>
      </c>
      <c r="E384" s="3" t="s">
        <v>1209</v>
      </c>
      <c r="F384" s="3" t="s">
        <v>904</v>
      </c>
      <c r="G384" s="3" t="s">
        <v>1343</v>
      </c>
      <c r="H384" s="3">
        <v>2</v>
      </c>
      <c r="I384" s="5">
        <v>32</v>
      </c>
    </row>
    <row r="385" spans="1:9" x14ac:dyDescent="0.25">
      <c r="A385" s="1">
        <v>45677</v>
      </c>
      <c r="B385" s="3" t="s">
        <v>922</v>
      </c>
      <c r="C385" s="3" t="s">
        <v>923</v>
      </c>
      <c r="D385" s="3" t="s">
        <v>0</v>
      </c>
      <c r="E385" s="3" t="s">
        <v>924</v>
      </c>
      <c r="F385" s="3" t="s">
        <v>925</v>
      </c>
      <c r="G385" s="3" t="s">
        <v>1343</v>
      </c>
      <c r="H385" s="3">
        <v>2</v>
      </c>
      <c r="I385" s="5">
        <v>40</v>
      </c>
    </row>
    <row r="386" spans="1:9" x14ac:dyDescent="0.25">
      <c r="A386" s="1">
        <v>45677</v>
      </c>
      <c r="B386" s="3" t="s">
        <v>982</v>
      </c>
      <c r="C386" s="3" t="s">
        <v>983</v>
      </c>
      <c r="D386" s="3" t="s">
        <v>0</v>
      </c>
      <c r="E386" s="3" t="s">
        <v>984</v>
      </c>
      <c r="F386" s="3" t="s">
        <v>86</v>
      </c>
      <c r="G386" s="3" t="s">
        <v>1340</v>
      </c>
      <c r="H386" s="3">
        <v>1</v>
      </c>
      <c r="I386" s="5">
        <v>5</v>
      </c>
    </row>
    <row r="387" spans="1:9" x14ac:dyDescent="0.25">
      <c r="A387" s="1">
        <v>45677</v>
      </c>
      <c r="B387" s="3" t="s">
        <v>1028</v>
      </c>
      <c r="C387" s="3" t="s">
        <v>1029</v>
      </c>
      <c r="D387" s="3" t="s">
        <v>0</v>
      </c>
      <c r="E387" s="3" t="s">
        <v>1030</v>
      </c>
      <c r="F387" s="3" t="s">
        <v>0</v>
      </c>
      <c r="G387" s="3" t="s">
        <v>1340</v>
      </c>
      <c r="H387" s="3">
        <v>1</v>
      </c>
      <c r="I387" s="5">
        <v>16.5</v>
      </c>
    </row>
    <row r="388" spans="1:9" x14ac:dyDescent="0.25">
      <c r="A388" s="1">
        <v>45678</v>
      </c>
      <c r="B388" s="3" t="s">
        <v>1252</v>
      </c>
      <c r="C388" s="3" t="s">
        <v>1253</v>
      </c>
      <c r="D388" s="3" t="s">
        <v>0</v>
      </c>
      <c r="E388" s="3" t="s">
        <v>1254</v>
      </c>
      <c r="F388" s="3" t="s">
        <v>39</v>
      </c>
      <c r="G388" s="3" t="s">
        <v>144</v>
      </c>
      <c r="H388" s="3">
        <v>3</v>
      </c>
      <c r="I388" s="140">
        <v>100.5</v>
      </c>
    </row>
    <row r="389" spans="1:9" x14ac:dyDescent="0.25">
      <c r="A389" s="1">
        <v>45678</v>
      </c>
      <c r="B389" s="3" t="s">
        <v>959</v>
      </c>
      <c r="C389" s="3" t="s">
        <v>960</v>
      </c>
      <c r="D389" s="3" t="s">
        <v>0</v>
      </c>
      <c r="E389" s="3" t="s">
        <v>961</v>
      </c>
      <c r="F389" s="3" t="s">
        <v>39</v>
      </c>
      <c r="G389" s="3" t="s">
        <v>1343</v>
      </c>
      <c r="H389" s="3">
        <v>2</v>
      </c>
      <c r="I389" s="5">
        <v>22</v>
      </c>
    </row>
    <row r="390" spans="1:9" x14ac:dyDescent="0.25">
      <c r="A390" s="1">
        <v>45678</v>
      </c>
      <c r="B390" s="3" t="s">
        <v>1120</v>
      </c>
      <c r="C390" s="3" t="s">
        <v>1121</v>
      </c>
      <c r="D390" s="3" t="s">
        <v>0</v>
      </c>
      <c r="E390" s="3" t="s">
        <v>1122</v>
      </c>
      <c r="F390" s="3" t="s">
        <v>38</v>
      </c>
      <c r="G390" s="3" t="s">
        <v>1340</v>
      </c>
      <c r="H390" s="3">
        <v>1</v>
      </c>
      <c r="I390" s="5">
        <v>6.5</v>
      </c>
    </row>
    <row r="391" spans="1:9" x14ac:dyDescent="0.25">
      <c r="A391" s="1">
        <v>45679</v>
      </c>
      <c r="B391" s="3" t="s">
        <v>1210</v>
      </c>
      <c r="C391" s="3" t="s">
        <v>1211</v>
      </c>
      <c r="D391" s="3" t="s">
        <v>0</v>
      </c>
      <c r="E391" s="3" t="s">
        <v>1212</v>
      </c>
      <c r="F391" s="3" t="s">
        <v>900</v>
      </c>
      <c r="G391" s="3" t="s">
        <v>1340</v>
      </c>
      <c r="H391" s="3">
        <v>1</v>
      </c>
      <c r="I391" s="5">
        <v>10.5</v>
      </c>
    </row>
    <row r="392" spans="1:9" x14ac:dyDescent="0.25">
      <c r="A392" s="1">
        <v>45679</v>
      </c>
      <c r="B392" s="3" t="s">
        <v>885</v>
      </c>
      <c r="C392" s="3" t="s">
        <v>886</v>
      </c>
      <c r="D392" s="3" t="s">
        <v>0</v>
      </c>
      <c r="E392" s="3" t="s">
        <v>887</v>
      </c>
      <c r="F392" s="3" t="s">
        <v>33</v>
      </c>
      <c r="G392" s="3" t="s">
        <v>1340</v>
      </c>
      <c r="H392" s="3">
        <v>1</v>
      </c>
      <c r="I392" s="5">
        <v>7.5</v>
      </c>
    </row>
    <row r="393" spans="1:9" x14ac:dyDescent="0.25">
      <c r="A393" s="1">
        <v>45679</v>
      </c>
      <c r="B393" s="3" t="s">
        <v>1169</v>
      </c>
      <c r="C393" s="3" t="s">
        <v>1170</v>
      </c>
      <c r="D393" s="3" t="s">
        <v>0</v>
      </c>
      <c r="E393" s="3" t="s">
        <v>1171</v>
      </c>
      <c r="F393" s="3" t="s">
        <v>968</v>
      </c>
      <c r="G393" s="3" t="s">
        <v>1343</v>
      </c>
      <c r="H393" s="3">
        <v>2</v>
      </c>
      <c r="I393" s="5">
        <v>10</v>
      </c>
    </row>
    <row r="394" spans="1:9" x14ac:dyDescent="0.25">
      <c r="A394" s="1">
        <v>45680</v>
      </c>
      <c r="B394" s="3" t="s">
        <v>1201</v>
      </c>
      <c r="C394" s="3" t="s">
        <v>1202</v>
      </c>
      <c r="D394" s="3" t="s">
        <v>0</v>
      </c>
      <c r="E394" s="3" t="s">
        <v>1203</v>
      </c>
      <c r="F394" s="3" t="s">
        <v>86</v>
      </c>
      <c r="G394" s="3" t="s">
        <v>1342</v>
      </c>
      <c r="H394" s="3">
        <v>3</v>
      </c>
      <c r="I394" s="5">
        <v>31.5</v>
      </c>
    </row>
    <row r="395" spans="1:9" x14ac:dyDescent="0.25">
      <c r="A395" s="1">
        <v>45680</v>
      </c>
      <c r="B395" s="3" t="s">
        <v>1287</v>
      </c>
      <c r="C395" s="3" t="s">
        <v>1288</v>
      </c>
      <c r="D395" s="3" t="s">
        <v>0</v>
      </c>
      <c r="E395" s="3" t="s">
        <v>1289</v>
      </c>
      <c r="F395" s="3" t="s">
        <v>86</v>
      </c>
      <c r="G395" s="3" t="s">
        <v>1342</v>
      </c>
      <c r="H395" s="3">
        <v>3</v>
      </c>
      <c r="I395" s="5">
        <v>53.5</v>
      </c>
    </row>
    <row r="396" spans="1:9" x14ac:dyDescent="0.25">
      <c r="A396" s="1">
        <v>45680</v>
      </c>
      <c r="B396" s="3" t="s">
        <v>1284</v>
      </c>
      <c r="C396" s="3" t="s">
        <v>1285</v>
      </c>
      <c r="D396" s="3" t="s">
        <v>0</v>
      </c>
      <c r="E396" s="3" t="s">
        <v>1286</v>
      </c>
      <c r="F396" s="3" t="s">
        <v>911</v>
      </c>
      <c r="G396" s="3" t="s">
        <v>1342</v>
      </c>
      <c r="H396" s="3">
        <v>3</v>
      </c>
      <c r="I396" s="5">
        <v>15</v>
      </c>
    </row>
    <row r="397" spans="1:9" x14ac:dyDescent="0.25">
      <c r="A397" s="1">
        <v>45680</v>
      </c>
      <c r="B397" s="3" t="s">
        <v>1314</v>
      </c>
      <c r="C397" s="3" t="s">
        <v>1315</v>
      </c>
      <c r="D397" s="3" t="s">
        <v>0</v>
      </c>
      <c r="E397" s="3" t="s">
        <v>1316</v>
      </c>
      <c r="F397" s="3" t="s">
        <v>948</v>
      </c>
      <c r="G397" s="3" t="s">
        <v>1342</v>
      </c>
      <c r="H397" s="3">
        <v>3</v>
      </c>
      <c r="I397" s="5">
        <v>32</v>
      </c>
    </row>
    <row r="398" spans="1:9" x14ac:dyDescent="0.25">
      <c r="A398" s="1">
        <v>45680</v>
      </c>
      <c r="B398" s="3" t="s">
        <v>956</v>
      </c>
      <c r="C398" s="3" t="s">
        <v>957</v>
      </c>
      <c r="D398" s="3" t="s">
        <v>0</v>
      </c>
      <c r="E398" s="3" t="s">
        <v>958</v>
      </c>
      <c r="F398" s="3" t="s">
        <v>86</v>
      </c>
      <c r="G398" s="3" t="s">
        <v>1342</v>
      </c>
      <c r="H398" s="3">
        <v>3</v>
      </c>
      <c r="I398" s="5">
        <v>43.5</v>
      </c>
    </row>
    <row r="399" spans="1:9" x14ac:dyDescent="0.25">
      <c r="A399" s="1">
        <v>45680</v>
      </c>
      <c r="B399" s="3" t="s">
        <v>1325</v>
      </c>
      <c r="C399" s="3" t="s">
        <v>1326</v>
      </c>
      <c r="D399" s="3" t="s">
        <v>0</v>
      </c>
      <c r="E399" s="3" t="s">
        <v>1327</v>
      </c>
      <c r="F399" s="3" t="s">
        <v>948</v>
      </c>
      <c r="G399" s="3" t="s">
        <v>1342</v>
      </c>
      <c r="H399" s="3">
        <v>3</v>
      </c>
      <c r="I399" s="5">
        <v>15</v>
      </c>
    </row>
    <row r="400" spans="1:9" x14ac:dyDescent="0.25">
      <c r="A400" s="1">
        <v>45680</v>
      </c>
      <c r="B400" s="3" t="s">
        <v>139</v>
      </c>
      <c r="C400" s="3" t="s">
        <v>140</v>
      </c>
      <c r="D400" s="3" t="s">
        <v>0</v>
      </c>
      <c r="E400" s="3" t="s">
        <v>141</v>
      </c>
      <c r="F400" s="3" t="s">
        <v>33</v>
      </c>
      <c r="G400" s="3" t="s">
        <v>1340</v>
      </c>
      <c r="H400" s="3">
        <v>1</v>
      </c>
      <c r="I400" s="5">
        <v>10.5</v>
      </c>
    </row>
    <row r="401" spans="1:9" x14ac:dyDescent="0.25">
      <c r="A401" s="1">
        <v>45681</v>
      </c>
      <c r="B401" s="3" t="s">
        <v>905</v>
      </c>
      <c r="C401" s="3" t="s">
        <v>906</v>
      </c>
      <c r="D401" s="3" t="s">
        <v>0</v>
      </c>
      <c r="E401" s="3" t="s">
        <v>907</v>
      </c>
      <c r="F401" s="3" t="s">
        <v>33</v>
      </c>
      <c r="G401" s="3" t="s">
        <v>1343</v>
      </c>
      <c r="H401" s="3">
        <v>2</v>
      </c>
      <c r="I401" s="5">
        <v>61</v>
      </c>
    </row>
    <row r="402" spans="1:9" x14ac:dyDescent="0.25">
      <c r="A402" s="1">
        <v>45681</v>
      </c>
      <c r="B402" s="3" t="s">
        <v>1237</v>
      </c>
      <c r="C402" s="3" t="s">
        <v>1238</v>
      </c>
      <c r="D402" s="3" t="s">
        <v>0</v>
      </c>
      <c r="E402" s="3" t="s">
        <v>1239</v>
      </c>
      <c r="F402" s="3" t="s">
        <v>86</v>
      </c>
      <c r="G402" s="3" t="s">
        <v>1340</v>
      </c>
      <c r="H402" s="3">
        <v>1</v>
      </c>
      <c r="I402" s="5">
        <v>11.5</v>
      </c>
    </row>
    <row r="403" spans="1:9" x14ac:dyDescent="0.25">
      <c r="A403" s="1">
        <v>45681</v>
      </c>
      <c r="B403" s="3" t="s">
        <v>1246</v>
      </c>
      <c r="C403" s="3" t="s">
        <v>1247</v>
      </c>
      <c r="D403" s="3" t="s">
        <v>0</v>
      </c>
      <c r="E403" s="3" t="s">
        <v>1248</v>
      </c>
      <c r="F403" s="3" t="s">
        <v>86</v>
      </c>
      <c r="G403" s="3" t="s">
        <v>1340</v>
      </c>
      <c r="H403" s="3">
        <v>1</v>
      </c>
      <c r="I403" s="5">
        <v>77.5</v>
      </c>
    </row>
    <row r="404" spans="1:9" x14ac:dyDescent="0.25">
      <c r="A404" s="1">
        <v>45681</v>
      </c>
      <c r="B404" s="3" t="s">
        <v>1240</v>
      </c>
      <c r="C404" s="3" t="s">
        <v>1241</v>
      </c>
      <c r="D404" s="3" t="s">
        <v>0</v>
      </c>
      <c r="E404" s="3" t="s">
        <v>1242</v>
      </c>
      <c r="F404" s="3" t="s">
        <v>86</v>
      </c>
      <c r="G404" s="3" t="s">
        <v>1340</v>
      </c>
      <c r="H404" s="3">
        <v>1</v>
      </c>
      <c r="I404" s="5">
        <v>8.5</v>
      </c>
    </row>
    <row r="405" spans="1:9" x14ac:dyDescent="0.25">
      <c r="A405" s="1">
        <v>45681</v>
      </c>
      <c r="B405" s="3" t="s">
        <v>1117</v>
      </c>
      <c r="C405" s="3" t="s">
        <v>1118</v>
      </c>
      <c r="D405" s="3" t="s">
        <v>0</v>
      </c>
      <c r="E405" s="3" t="s">
        <v>1119</v>
      </c>
      <c r="F405" s="3" t="s">
        <v>0</v>
      </c>
      <c r="G405" s="3" t="s">
        <v>1340</v>
      </c>
      <c r="H405" s="3">
        <v>1</v>
      </c>
      <c r="I405" s="5">
        <v>25.5</v>
      </c>
    </row>
    <row r="406" spans="1:9" x14ac:dyDescent="0.25">
      <c r="A406" s="1">
        <v>45681</v>
      </c>
      <c r="B406" s="3" t="s">
        <v>1273</v>
      </c>
      <c r="C406" s="3" t="s">
        <v>1274</v>
      </c>
      <c r="D406" s="3" t="s">
        <v>0</v>
      </c>
      <c r="E406" s="3" t="s">
        <v>1272</v>
      </c>
      <c r="F406" s="3" t="s">
        <v>968</v>
      </c>
      <c r="G406" s="3" t="s">
        <v>1340</v>
      </c>
      <c r="H406" s="3">
        <v>1</v>
      </c>
      <c r="I406" s="5">
        <v>103.5</v>
      </c>
    </row>
    <row r="407" spans="1:9" x14ac:dyDescent="0.25">
      <c r="A407" s="1">
        <v>45681</v>
      </c>
      <c r="B407" s="3" t="s">
        <v>1270</v>
      </c>
      <c r="C407" s="3" t="s">
        <v>1271</v>
      </c>
      <c r="D407" s="3" t="s">
        <v>0</v>
      </c>
      <c r="E407" s="3" t="s">
        <v>1272</v>
      </c>
      <c r="F407" s="3" t="s">
        <v>86</v>
      </c>
      <c r="G407" s="3" t="s">
        <v>1340</v>
      </c>
      <c r="H407" s="3">
        <v>1</v>
      </c>
      <c r="I407" s="140">
        <v>5</v>
      </c>
    </row>
    <row r="408" spans="1:9" x14ac:dyDescent="0.25">
      <c r="A408" s="1">
        <v>45681</v>
      </c>
      <c r="B408" s="3" t="s">
        <v>1275</v>
      </c>
      <c r="C408" s="3" t="s">
        <v>1276</v>
      </c>
      <c r="D408" s="3" t="s">
        <v>0</v>
      </c>
      <c r="E408" s="3" t="s">
        <v>1277</v>
      </c>
      <c r="F408" s="3" t="s">
        <v>1012</v>
      </c>
      <c r="G408" s="3" t="s">
        <v>1340</v>
      </c>
      <c r="H408" s="3">
        <v>1</v>
      </c>
      <c r="I408" s="5">
        <v>17.5</v>
      </c>
    </row>
    <row r="409" spans="1:9" x14ac:dyDescent="0.25">
      <c r="A409" s="1">
        <v>45681</v>
      </c>
      <c r="B409" s="3" t="s">
        <v>1264</v>
      </c>
      <c r="C409" s="3" t="s">
        <v>1265</v>
      </c>
      <c r="D409" s="3" t="s">
        <v>0</v>
      </c>
      <c r="E409" s="3" t="s">
        <v>1266</v>
      </c>
      <c r="F409" s="3" t="s">
        <v>33</v>
      </c>
      <c r="G409" s="3" t="s">
        <v>1340</v>
      </c>
      <c r="H409" s="3">
        <v>1</v>
      </c>
      <c r="I409" s="5">
        <v>19.5</v>
      </c>
    </row>
    <row r="410" spans="1:9" x14ac:dyDescent="0.25">
      <c r="A410" s="1">
        <v>45684</v>
      </c>
      <c r="B410" s="3" t="s">
        <v>1098</v>
      </c>
      <c r="C410" s="3" t="s">
        <v>1099</v>
      </c>
      <c r="D410" s="3" t="s">
        <v>0</v>
      </c>
      <c r="E410" s="3" t="s">
        <v>1100</v>
      </c>
      <c r="F410" s="3" t="s">
        <v>904</v>
      </c>
      <c r="G410" s="3" t="s">
        <v>1346</v>
      </c>
      <c r="H410" s="3">
        <v>6</v>
      </c>
      <c r="I410" s="5">
        <v>33</v>
      </c>
    </row>
    <row r="411" spans="1:9" x14ac:dyDescent="0.25">
      <c r="A411" s="1">
        <v>45684</v>
      </c>
      <c r="B411" s="3" t="s">
        <v>931</v>
      </c>
      <c r="C411" s="3" t="s">
        <v>932</v>
      </c>
      <c r="D411" s="3" t="s">
        <v>0</v>
      </c>
      <c r="E411" s="3" t="s">
        <v>933</v>
      </c>
      <c r="F411" s="3" t="s">
        <v>86</v>
      </c>
      <c r="G411" s="3" t="s">
        <v>1342</v>
      </c>
      <c r="H411" s="3">
        <v>3</v>
      </c>
      <c r="I411" s="5">
        <v>78.5</v>
      </c>
    </row>
    <row r="412" spans="1:9" x14ac:dyDescent="0.25">
      <c r="A412" s="1">
        <v>45684</v>
      </c>
      <c r="B412" s="3" t="s">
        <v>952</v>
      </c>
      <c r="C412" s="3" t="s">
        <v>953</v>
      </c>
      <c r="D412" s="3" t="s">
        <v>0</v>
      </c>
      <c r="E412" s="3" t="s">
        <v>954</v>
      </c>
      <c r="F412" s="3" t="s">
        <v>955</v>
      </c>
      <c r="G412" s="3" t="s">
        <v>1342</v>
      </c>
      <c r="H412" s="3">
        <v>3</v>
      </c>
      <c r="I412" s="5">
        <v>18.5</v>
      </c>
    </row>
    <row r="413" spans="1:9" x14ac:dyDescent="0.25">
      <c r="A413" s="1">
        <v>45684</v>
      </c>
      <c r="B413" s="3" t="s">
        <v>1293</v>
      </c>
      <c r="C413" s="3" t="s">
        <v>1294</v>
      </c>
      <c r="D413" s="3" t="s">
        <v>0</v>
      </c>
      <c r="E413" s="3" t="s">
        <v>1295</v>
      </c>
      <c r="F413" s="3" t="s">
        <v>911</v>
      </c>
      <c r="G413" s="3" t="s">
        <v>1343</v>
      </c>
      <c r="H413" s="3">
        <v>2</v>
      </c>
      <c r="I413" s="5">
        <v>18</v>
      </c>
    </row>
    <row r="414" spans="1:9" x14ac:dyDescent="0.25">
      <c r="A414" s="1">
        <v>45684</v>
      </c>
      <c r="B414" s="3" t="s">
        <v>893</v>
      </c>
      <c r="C414" s="3" t="s">
        <v>894</v>
      </c>
      <c r="D414" s="3" t="s">
        <v>0</v>
      </c>
      <c r="E414" s="3" t="s">
        <v>895</v>
      </c>
      <c r="F414" s="3" t="s">
        <v>896</v>
      </c>
      <c r="G414" s="3" t="s">
        <v>1340</v>
      </c>
      <c r="H414" s="3">
        <v>1</v>
      </c>
      <c r="I414" s="5">
        <v>20.5</v>
      </c>
    </row>
    <row r="415" spans="1:9" x14ac:dyDescent="0.25">
      <c r="A415" s="1">
        <v>45684</v>
      </c>
      <c r="B415" s="3" t="s">
        <v>1302</v>
      </c>
      <c r="C415" s="3" t="s">
        <v>1303</v>
      </c>
      <c r="D415" s="3" t="s">
        <v>0</v>
      </c>
      <c r="E415" s="3" t="s">
        <v>1304</v>
      </c>
      <c r="F415" s="3" t="s">
        <v>33</v>
      </c>
      <c r="G415" s="3" t="s">
        <v>1340</v>
      </c>
      <c r="H415" s="3">
        <v>1</v>
      </c>
      <c r="I415" s="5">
        <v>28.5</v>
      </c>
    </row>
    <row r="416" spans="1:9" x14ac:dyDescent="0.25">
      <c r="A416" s="1">
        <v>45684</v>
      </c>
      <c r="B416" s="3" t="s">
        <v>1305</v>
      </c>
      <c r="C416" s="3" t="s">
        <v>1306</v>
      </c>
      <c r="D416" s="3" t="s">
        <v>0</v>
      </c>
      <c r="E416" s="3" t="s">
        <v>1304</v>
      </c>
      <c r="F416" s="3" t="s">
        <v>1307</v>
      </c>
      <c r="G416" s="3" t="s">
        <v>1340</v>
      </c>
      <c r="H416" s="3">
        <v>1</v>
      </c>
      <c r="I416" s="5">
        <v>10.5</v>
      </c>
    </row>
    <row r="417" spans="1:9" x14ac:dyDescent="0.25">
      <c r="A417" s="1">
        <v>45684</v>
      </c>
      <c r="B417" s="3" t="s">
        <v>1089</v>
      </c>
      <c r="C417" s="3" t="s">
        <v>1090</v>
      </c>
      <c r="D417" s="3" t="s">
        <v>0</v>
      </c>
      <c r="E417" s="3" t="s">
        <v>1091</v>
      </c>
      <c r="F417" s="3" t="s">
        <v>900</v>
      </c>
      <c r="G417" s="3" t="s">
        <v>1340</v>
      </c>
      <c r="H417" s="3">
        <v>1</v>
      </c>
      <c r="I417" s="5">
        <v>5</v>
      </c>
    </row>
    <row r="418" spans="1:9" x14ac:dyDescent="0.25">
      <c r="A418" s="1">
        <v>45684</v>
      </c>
      <c r="B418" s="3" t="s">
        <v>1129</v>
      </c>
      <c r="C418" s="3" t="s">
        <v>1130</v>
      </c>
      <c r="D418" s="3" t="s">
        <v>0</v>
      </c>
      <c r="E418" s="3" t="s">
        <v>1131</v>
      </c>
      <c r="F418" s="3" t="s">
        <v>900</v>
      </c>
      <c r="G418" s="3" t="s">
        <v>1340</v>
      </c>
      <c r="H418" s="3">
        <v>1</v>
      </c>
      <c r="I418" s="5">
        <v>8.5</v>
      </c>
    </row>
    <row r="419" spans="1:9" x14ac:dyDescent="0.25">
      <c r="A419" s="1">
        <v>45684</v>
      </c>
      <c r="B419" s="3" t="s">
        <v>1095</v>
      </c>
      <c r="C419" s="3" t="s">
        <v>1096</v>
      </c>
      <c r="D419" s="3" t="s">
        <v>0</v>
      </c>
      <c r="E419" s="3" t="s">
        <v>1097</v>
      </c>
      <c r="F419" s="3" t="s">
        <v>39</v>
      </c>
      <c r="G419" s="3" t="s">
        <v>1340</v>
      </c>
      <c r="H419" s="3">
        <v>1</v>
      </c>
      <c r="I419" s="5">
        <v>5</v>
      </c>
    </row>
    <row r="420" spans="1:9" x14ac:dyDescent="0.25">
      <c r="A420" s="1">
        <v>45684</v>
      </c>
      <c r="B420" s="3" t="s">
        <v>1320</v>
      </c>
      <c r="C420" s="3" t="s">
        <v>1321</v>
      </c>
      <c r="D420" s="3" t="s">
        <v>0</v>
      </c>
      <c r="E420" s="3" t="s">
        <v>1319</v>
      </c>
      <c r="F420" s="3" t="s">
        <v>39</v>
      </c>
      <c r="G420" s="3" t="s">
        <v>1340</v>
      </c>
      <c r="H420" s="3">
        <v>1</v>
      </c>
      <c r="I420" s="5">
        <v>5</v>
      </c>
    </row>
    <row r="421" spans="1:9" x14ac:dyDescent="0.25">
      <c r="A421" s="1">
        <v>45684</v>
      </c>
      <c r="B421" s="3" t="s">
        <v>1317</v>
      </c>
      <c r="C421" s="3" t="s">
        <v>1318</v>
      </c>
      <c r="D421" s="3" t="s">
        <v>0</v>
      </c>
      <c r="E421" s="3" t="s">
        <v>1319</v>
      </c>
      <c r="F421" s="3" t="s">
        <v>39</v>
      </c>
      <c r="G421" s="3" t="s">
        <v>1340</v>
      </c>
      <c r="H421" s="3">
        <v>1</v>
      </c>
      <c r="I421" s="5">
        <v>9.5</v>
      </c>
    </row>
    <row r="422" spans="1:9" x14ac:dyDescent="0.25">
      <c r="A422" s="1">
        <v>45684</v>
      </c>
      <c r="B422" s="3" t="s">
        <v>985</v>
      </c>
      <c r="C422" s="3" t="s">
        <v>986</v>
      </c>
      <c r="D422" s="3" t="s">
        <v>0</v>
      </c>
      <c r="E422" s="3" t="s">
        <v>987</v>
      </c>
      <c r="F422" s="3" t="s">
        <v>86</v>
      </c>
      <c r="G422" s="3" t="s">
        <v>1340</v>
      </c>
      <c r="H422" s="3">
        <v>1</v>
      </c>
      <c r="I422" s="5">
        <v>21.5</v>
      </c>
    </row>
    <row r="423" spans="1:9" x14ac:dyDescent="0.25">
      <c r="A423" s="1">
        <v>45685</v>
      </c>
      <c r="B423" s="3" t="s">
        <v>1231</v>
      </c>
      <c r="C423" s="3" t="s">
        <v>1232</v>
      </c>
      <c r="D423" s="3" t="s">
        <v>0</v>
      </c>
      <c r="E423" s="3" t="s">
        <v>1233</v>
      </c>
      <c r="F423" s="3" t="s">
        <v>1027</v>
      </c>
      <c r="G423" s="3" t="s">
        <v>1343</v>
      </c>
      <c r="H423" s="3">
        <v>2</v>
      </c>
      <c r="I423" s="5">
        <v>63</v>
      </c>
    </row>
    <row r="424" spans="1:9" x14ac:dyDescent="0.25">
      <c r="A424" s="1">
        <v>45685</v>
      </c>
      <c r="B424" s="3" t="s">
        <v>1035</v>
      </c>
      <c r="C424" s="3" t="s">
        <v>1036</v>
      </c>
      <c r="D424" s="3" t="s">
        <v>0</v>
      </c>
      <c r="E424" s="3" t="s">
        <v>1037</v>
      </c>
      <c r="F424" s="3" t="s">
        <v>994</v>
      </c>
      <c r="G424" s="3" t="s">
        <v>1343</v>
      </c>
      <c r="H424" s="3">
        <v>2</v>
      </c>
      <c r="I424" s="5">
        <v>25</v>
      </c>
    </row>
    <row r="425" spans="1:9" x14ac:dyDescent="0.25">
      <c r="A425" s="1">
        <v>45685</v>
      </c>
      <c r="B425" s="3" t="s">
        <v>1086</v>
      </c>
      <c r="C425" s="3" t="s">
        <v>1087</v>
      </c>
      <c r="D425" s="3" t="s">
        <v>0</v>
      </c>
      <c r="E425" s="3" t="s">
        <v>1088</v>
      </c>
      <c r="F425" s="3" t="s">
        <v>39</v>
      </c>
      <c r="G425" s="3" t="s">
        <v>1343</v>
      </c>
      <c r="H425" s="3">
        <v>2</v>
      </c>
      <c r="I425" s="5">
        <v>10</v>
      </c>
    </row>
    <row r="426" spans="1:9" x14ac:dyDescent="0.25">
      <c r="A426" s="1">
        <v>45685</v>
      </c>
      <c r="B426" s="3" t="s">
        <v>1107</v>
      </c>
      <c r="C426" s="3" t="s">
        <v>1108</v>
      </c>
      <c r="D426" s="3" t="s">
        <v>0</v>
      </c>
      <c r="E426" s="3" t="s">
        <v>1109</v>
      </c>
      <c r="F426" s="3" t="s">
        <v>892</v>
      </c>
      <c r="G426" s="3" t="s">
        <v>1343</v>
      </c>
      <c r="H426" s="3">
        <v>2</v>
      </c>
      <c r="I426" s="5">
        <v>10</v>
      </c>
    </row>
    <row r="427" spans="1:9" x14ac:dyDescent="0.25">
      <c r="A427" s="1">
        <v>45685</v>
      </c>
      <c r="B427" s="3" t="s">
        <v>117</v>
      </c>
      <c r="C427" s="3" t="s">
        <v>118</v>
      </c>
      <c r="D427" s="3" t="s">
        <v>0</v>
      </c>
      <c r="E427" s="3" t="s">
        <v>119</v>
      </c>
      <c r="F427" s="3" t="s">
        <v>86</v>
      </c>
      <c r="G427" s="3" t="s">
        <v>1340</v>
      </c>
      <c r="H427" s="3">
        <v>1</v>
      </c>
      <c r="I427" s="5">
        <v>27.5</v>
      </c>
    </row>
    <row r="428" spans="1:9" x14ac:dyDescent="0.25">
      <c r="A428" s="1">
        <v>45685</v>
      </c>
      <c r="B428" s="3" t="s">
        <v>1234</v>
      </c>
      <c r="C428" s="3" t="s">
        <v>1235</v>
      </c>
      <c r="D428" s="3" t="s">
        <v>0</v>
      </c>
      <c r="E428" s="3" t="s">
        <v>1236</v>
      </c>
      <c r="F428" s="3" t="s">
        <v>33</v>
      </c>
      <c r="G428" s="3" t="s">
        <v>1340</v>
      </c>
      <c r="H428" s="3">
        <v>1</v>
      </c>
      <c r="I428" s="5">
        <v>15.5</v>
      </c>
    </row>
    <row r="429" spans="1:9" x14ac:dyDescent="0.25">
      <c r="A429" s="1">
        <v>45685</v>
      </c>
      <c r="B429" s="3" t="s">
        <v>901</v>
      </c>
      <c r="C429" s="3" t="s">
        <v>902</v>
      </c>
      <c r="D429" s="3" t="s">
        <v>0</v>
      </c>
      <c r="E429" s="3" t="s">
        <v>903</v>
      </c>
      <c r="F429" s="3" t="s">
        <v>904</v>
      </c>
      <c r="G429" s="3" t="s">
        <v>1340</v>
      </c>
      <c r="H429" s="3">
        <v>1</v>
      </c>
      <c r="I429" s="5">
        <v>12.5</v>
      </c>
    </row>
    <row r="430" spans="1:9" x14ac:dyDescent="0.25">
      <c r="A430" s="1">
        <v>45685</v>
      </c>
      <c r="B430" s="3" t="s">
        <v>1163</v>
      </c>
      <c r="C430" s="3" t="s">
        <v>1164</v>
      </c>
      <c r="D430" s="3" t="s">
        <v>0</v>
      </c>
      <c r="E430" s="3" t="s">
        <v>1165</v>
      </c>
      <c r="F430" s="3" t="s">
        <v>911</v>
      </c>
      <c r="G430" s="3" t="s">
        <v>1340</v>
      </c>
      <c r="H430" s="3">
        <v>1</v>
      </c>
      <c r="I430" s="5">
        <v>5</v>
      </c>
    </row>
    <row r="431" spans="1:9" x14ac:dyDescent="0.25">
      <c r="A431" s="1">
        <v>45685</v>
      </c>
      <c r="B431" s="3" t="s">
        <v>1178</v>
      </c>
      <c r="C431" s="3" t="s">
        <v>1179</v>
      </c>
      <c r="D431" s="3" t="s">
        <v>0</v>
      </c>
      <c r="E431" s="3" t="s">
        <v>1180</v>
      </c>
      <c r="F431" s="3" t="s">
        <v>1017</v>
      </c>
      <c r="G431" s="3" t="s">
        <v>1340</v>
      </c>
      <c r="H431" s="3">
        <v>1</v>
      </c>
      <c r="I431" s="5">
        <v>5</v>
      </c>
    </row>
    <row r="432" spans="1:9" x14ac:dyDescent="0.25">
      <c r="A432" s="1">
        <v>45685</v>
      </c>
      <c r="B432" s="3" t="s">
        <v>1221</v>
      </c>
      <c r="C432" s="3" t="s">
        <v>1222</v>
      </c>
      <c r="D432" s="3" t="s">
        <v>0</v>
      </c>
      <c r="E432" s="3" t="s">
        <v>1223</v>
      </c>
      <c r="F432" s="3" t="s">
        <v>86</v>
      </c>
      <c r="G432" s="3" t="s">
        <v>1340</v>
      </c>
      <c r="H432" s="3">
        <v>1</v>
      </c>
      <c r="I432" s="5">
        <v>5</v>
      </c>
    </row>
    <row r="433" spans="1:9" x14ac:dyDescent="0.25">
      <c r="A433" s="1">
        <v>45685</v>
      </c>
      <c r="B433" s="3" t="s">
        <v>869</v>
      </c>
      <c r="C433" s="3" t="s">
        <v>870</v>
      </c>
      <c r="D433" s="3" t="s">
        <v>0</v>
      </c>
      <c r="E433" s="3" t="s">
        <v>871</v>
      </c>
      <c r="F433" s="3" t="s">
        <v>872</v>
      </c>
      <c r="G433" s="3" t="s">
        <v>1340</v>
      </c>
      <c r="H433" s="3">
        <v>1</v>
      </c>
      <c r="I433" s="5">
        <v>5</v>
      </c>
    </row>
    <row r="434" spans="1:9" x14ac:dyDescent="0.25">
      <c r="A434" s="1">
        <v>45685</v>
      </c>
      <c r="B434" s="3" t="s">
        <v>1006</v>
      </c>
      <c r="C434" s="3" t="s">
        <v>1007</v>
      </c>
      <c r="D434" s="3" t="s">
        <v>0</v>
      </c>
      <c r="E434" s="3" t="s">
        <v>1008</v>
      </c>
      <c r="F434" s="3" t="s">
        <v>86</v>
      </c>
      <c r="G434" s="3" t="s">
        <v>1340</v>
      </c>
      <c r="H434" s="3">
        <v>1</v>
      </c>
      <c r="I434" s="5">
        <v>11.5</v>
      </c>
    </row>
    <row r="435" spans="1:9" x14ac:dyDescent="0.25">
      <c r="A435" s="1">
        <v>45685</v>
      </c>
      <c r="B435" s="3" t="s">
        <v>1192</v>
      </c>
      <c r="C435" s="3" t="s">
        <v>1193</v>
      </c>
      <c r="D435" s="3" t="s">
        <v>0</v>
      </c>
      <c r="E435" s="3" t="s">
        <v>1194</v>
      </c>
      <c r="F435" s="3" t="s">
        <v>1012</v>
      </c>
      <c r="G435" s="3" t="s">
        <v>1340</v>
      </c>
      <c r="H435" s="3">
        <v>1</v>
      </c>
      <c r="I435" s="5">
        <v>5</v>
      </c>
    </row>
    <row r="436" spans="1:9" x14ac:dyDescent="0.25">
      <c r="A436" s="1">
        <v>45685</v>
      </c>
      <c r="B436" s="3" t="s">
        <v>1189</v>
      </c>
      <c r="C436" s="3" t="s">
        <v>1190</v>
      </c>
      <c r="D436" s="3" t="s">
        <v>0</v>
      </c>
      <c r="E436" s="3" t="s">
        <v>1191</v>
      </c>
      <c r="F436" s="3" t="s">
        <v>1012</v>
      </c>
      <c r="G436" s="3" t="s">
        <v>1340</v>
      </c>
      <c r="H436" s="3">
        <v>1</v>
      </c>
      <c r="I436" s="5">
        <v>5</v>
      </c>
    </row>
    <row r="437" spans="1:9" x14ac:dyDescent="0.25">
      <c r="A437" s="1">
        <v>45685</v>
      </c>
      <c r="B437" s="3" t="s">
        <v>1198</v>
      </c>
      <c r="C437" s="3" t="s">
        <v>1199</v>
      </c>
      <c r="D437" s="3" t="s">
        <v>0</v>
      </c>
      <c r="E437" s="3" t="s">
        <v>1200</v>
      </c>
      <c r="F437" s="3" t="s">
        <v>876</v>
      </c>
      <c r="G437" s="3" t="s">
        <v>1340</v>
      </c>
      <c r="H437" s="3">
        <v>1</v>
      </c>
      <c r="I437" s="5">
        <v>5</v>
      </c>
    </row>
    <row r="438" spans="1:9" x14ac:dyDescent="0.25">
      <c r="A438" s="1">
        <v>45685</v>
      </c>
      <c r="B438" s="3" t="s">
        <v>1181</v>
      </c>
      <c r="C438" s="3" t="s">
        <v>1182</v>
      </c>
      <c r="D438" s="3" t="s">
        <v>0</v>
      </c>
      <c r="E438" s="3" t="s">
        <v>1183</v>
      </c>
      <c r="F438" s="3" t="s">
        <v>86</v>
      </c>
      <c r="G438" s="3" t="s">
        <v>1340</v>
      </c>
      <c r="H438" s="3">
        <v>1</v>
      </c>
      <c r="I438" s="5">
        <v>5</v>
      </c>
    </row>
    <row r="439" spans="1:9" x14ac:dyDescent="0.25">
      <c r="A439" s="1">
        <v>45685</v>
      </c>
      <c r="B439" s="3" t="s">
        <v>1195</v>
      </c>
      <c r="C439" s="3" t="s">
        <v>1196</v>
      </c>
      <c r="D439" s="3" t="s">
        <v>0</v>
      </c>
      <c r="E439" s="3" t="s">
        <v>1197</v>
      </c>
      <c r="F439" s="3" t="s">
        <v>86</v>
      </c>
      <c r="G439" s="3" t="s">
        <v>1340</v>
      </c>
      <c r="H439" s="3">
        <v>1</v>
      </c>
      <c r="I439" s="5">
        <v>5</v>
      </c>
    </row>
    <row r="440" spans="1:9" x14ac:dyDescent="0.25">
      <c r="A440" s="1">
        <v>45685</v>
      </c>
      <c r="B440" s="3" t="s">
        <v>1092</v>
      </c>
      <c r="C440" s="3" t="s">
        <v>1093</v>
      </c>
      <c r="D440" s="3" t="s">
        <v>0</v>
      </c>
      <c r="E440" s="3" t="s">
        <v>1094</v>
      </c>
      <c r="F440" s="3" t="s">
        <v>994</v>
      </c>
      <c r="G440" s="3" t="s">
        <v>1340</v>
      </c>
      <c r="H440" s="3">
        <v>1</v>
      </c>
      <c r="I440" s="5">
        <v>21.5</v>
      </c>
    </row>
    <row r="441" spans="1:9" x14ac:dyDescent="0.25">
      <c r="A441" s="1">
        <v>45686</v>
      </c>
      <c r="B441" s="3" t="s">
        <v>1074</v>
      </c>
      <c r="C441" s="3" t="s">
        <v>1075</v>
      </c>
      <c r="D441" s="3" t="s">
        <v>0</v>
      </c>
      <c r="E441" s="3" t="s">
        <v>1076</v>
      </c>
      <c r="F441" s="3" t="s">
        <v>39</v>
      </c>
      <c r="G441" s="3" t="s">
        <v>1342</v>
      </c>
      <c r="H441" s="3">
        <v>3</v>
      </c>
      <c r="I441" s="5">
        <v>62.5</v>
      </c>
    </row>
    <row r="442" spans="1:9" x14ac:dyDescent="0.25">
      <c r="A442" s="1">
        <v>45686</v>
      </c>
      <c r="B442" s="3" t="s">
        <v>1258</v>
      </c>
      <c r="C442" s="3" t="s">
        <v>1259</v>
      </c>
      <c r="D442" s="3" t="s">
        <v>0</v>
      </c>
      <c r="E442" s="3" t="s">
        <v>1260</v>
      </c>
      <c r="F442" s="3" t="s">
        <v>86</v>
      </c>
      <c r="G442" s="3" t="s">
        <v>1343</v>
      </c>
      <c r="H442" s="3">
        <v>2</v>
      </c>
      <c r="I442" s="5">
        <v>27</v>
      </c>
    </row>
    <row r="443" spans="1:9" x14ac:dyDescent="0.25">
      <c r="A443" s="1">
        <v>45686</v>
      </c>
      <c r="B443" s="3" t="s">
        <v>1267</v>
      </c>
      <c r="C443" s="3" t="s">
        <v>1268</v>
      </c>
      <c r="D443" s="3" t="s">
        <v>0</v>
      </c>
      <c r="E443" s="3" t="s">
        <v>1269</v>
      </c>
      <c r="F443" s="3" t="s">
        <v>34</v>
      </c>
      <c r="G443" s="3" t="s">
        <v>1343</v>
      </c>
      <c r="H443" s="3">
        <v>2</v>
      </c>
      <c r="I443" s="5">
        <v>48</v>
      </c>
    </row>
    <row r="444" spans="1:9" x14ac:dyDescent="0.25">
      <c r="A444" s="1">
        <v>45686</v>
      </c>
      <c r="B444" s="3" t="s">
        <v>1031</v>
      </c>
      <c r="C444" s="3" t="s">
        <v>1032</v>
      </c>
      <c r="D444" s="3" t="s">
        <v>0</v>
      </c>
      <c r="E444" s="3" t="s">
        <v>1033</v>
      </c>
      <c r="F444" s="3" t="s">
        <v>1034</v>
      </c>
      <c r="G444" s="3" t="s">
        <v>1340</v>
      </c>
      <c r="H444" s="3">
        <v>1</v>
      </c>
      <c r="I444" s="5">
        <v>18.5</v>
      </c>
    </row>
    <row r="445" spans="1:9" x14ac:dyDescent="0.25">
      <c r="A445" s="1">
        <v>45686</v>
      </c>
      <c r="B445" s="3" t="s">
        <v>938</v>
      </c>
      <c r="C445" s="3" t="s">
        <v>939</v>
      </c>
      <c r="D445" s="3" t="s">
        <v>0</v>
      </c>
      <c r="E445" s="3" t="s">
        <v>940</v>
      </c>
      <c r="F445" s="3" t="s">
        <v>941</v>
      </c>
      <c r="G445" s="3" t="s">
        <v>1340</v>
      </c>
      <c r="H445" s="3">
        <v>1</v>
      </c>
      <c r="I445" s="5">
        <v>16.5</v>
      </c>
    </row>
    <row r="446" spans="1:9" x14ac:dyDescent="0.25">
      <c r="A446" s="1">
        <v>45687</v>
      </c>
      <c r="B446" s="3" t="s">
        <v>1024</v>
      </c>
      <c r="C446" s="3" t="s">
        <v>1025</v>
      </c>
      <c r="D446" s="3" t="s">
        <v>0</v>
      </c>
      <c r="E446" s="3" t="s">
        <v>1026</v>
      </c>
      <c r="F446" s="3" t="s">
        <v>1027</v>
      </c>
      <c r="G446" s="3" t="s">
        <v>1343</v>
      </c>
      <c r="H446" s="3">
        <v>2</v>
      </c>
      <c r="I446" s="5">
        <v>11.5</v>
      </c>
    </row>
    <row r="447" spans="1:9" x14ac:dyDescent="0.25">
      <c r="A447" s="1">
        <v>45687</v>
      </c>
      <c r="B447" s="3" t="s">
        <v>1110</v>
      </c>
      <c r="C447" s="3" t="s">
        <v>1111</v>
      </c>
      <c r="D447" s="3" t="s">
        <v>0</v>
      </c>
      <c r="E447" s="3" t="s">
        <v>1112</v>
      </c>
      <c r="F447" s="3" t="s">
        <v>1113</v>
      </c>
      <c r="G447" s="3" t="s">
        <v>1343</v>
      </c>
      <c r="H447" s="3">
        <v>2</v>
      </c>
      <c r="I447" s="5">
        <v>23</v>
      </c>
    </row>
    <row r="448" spans="1:9" x14ac:dyDescent="0.25">
      <c r="A448" s="1">
        <v>45687</v>
      </c>
      <c r="B448" s="3" t="s">
        <v>928</v>
      </c>
      <c r="C448" s="3" t="s">
        <v>929</v>
      </c>
      <c r="D448" s="3" t="s">
        <v>0</v>
      </c>
      <c r="E448" s="3" t="s">
        <v>930</v>
      </c>
      <c r="F448" s="3" t="s">
        <v>86</v>
      </c>
      <c r="G448" s="3" t="s">
        <v>1343</v>
      </c>
      <c r="H448" s="3">
        <v>2</v>
      </c>
      <c r="I448" s="5">
        <v>11.5</v>
      </c>
    </row>
    <row r="449" spans="1:9" x14ac:dyDescent="0.25">
      <c r="A449" s="1">
        <v>45687</v>
      </c>
      <c r="B449" s="3" t="s">
        <v>1054</v>
      </c>
      <c r="C449" s="3" t="s">
        <v>1055</v>
      </c>
      <c r="D449" s="3" t="s">
        <v>0</v>
      </c>
      <c r="E449" s="3" t="s">
        <v>1056</v>
      </c>
      <c r="F449" s="3" t="s">
        <v>39</v>
      </c>
      <c r="G449" s="3" t="s">
        <v>1343</v>
      </c>
      <c r="H449" s="3">
        <v>2</v>
      </c>
      <c r="I449" s="5">
        <v>10</v>
      </c>
    </row>
    <row r="450" spans="1:9" x14ac:dyDescent="0.25">
      <c r="A450" s="1">
        <v>45687</v>
      </c>
      <c r="B450" s="3" t="s">
        <v>1051</v>
      </c>
      <c r="C450" s="3" t="s">
        <v>1052</v>
      </c>
      <c r="D450" s="3" t="s">
        <v>0</v>
      </c>
      <c r="E450" s="3" t="s">
        <v>553</v>
      </c>
      <c r="F450" s="3" t="s">
        <v>1053</v>
      </c>
      <c r="G450" s="3" t="s">
        <v>1343</v>
      </c>
      <c r="H450" s="3">
        <v>2</v>
      </c>
      <c r="I450" s="5">
        <v>38</v>
      </c>
    </row>
    <row r="451" spans="1:9" x14ac:dyDescent="0.25">
      <c r="A451" s="1">
        <v>45687</v>
      </c>
      <c r="B451" s="3" t="s">
        <v>969</v>
      </c>
      <c r="C451" s="3" t="s">
        <v>970</v>
      </c>
      <c r="D451" s="3" t="s">
        <v>0</v>
      </c>
      <c r="E451" s="3" t="s">
        <v>971</v>
      </c>
      <c r="F451" s="3" t="s">
        <v>39</v>
      </c>
      <c r="G451" s="3" t="s">
        <v>1340</v>
      </c>
      <c r="H451" s="3">
        <v>1</v>
      </c>
      <c r="I451" s="5">
        <v>5</v>
      </c>
    </row>
    <row r="452" spans="1:9" x14ac:dyDescent="0.25">
      <c r="A452" s="1">
        <v>45687</v>
      </c>
      <c r="B452" s="3" t="s">
        <v>942</v>
      </c>
      <c r="C452" s="3" t="s">
        <v>943</v>
      </c>
      <c r="D452" s="3" t="s">
        <v>0</v>
      </c>
      <c r="E452" s="3" t="s">
        <v>944</v>
      </c>
      <c r="F452" s="3" t="s">
        <v>39</v>
      </c>
      <c r="G452" s="3" t="s">
        <v>1340</v>
      </c>
      <c r="H452" s="3">
        <v>1</v>
      </c>
      <c r="I452" s="5">
        <v>24.5</v>
      </c>
    </row>
    <row r="453" spans="1:9" x14ac:dyDescent="0.25">
      <c r="A453" s="1">
        <v>45687</v>
      </c>
      <c r="B453" s="3" t="s">
        <v>965</v>
      </c>
      <c r="C453" s="3" t="s">
        <v>966</v>
      </c>
      <c r="D453" s="3" t="s">
        <v>0</v>
      </c>
      <c r="E453" s="3" t="s">
        <v>967</v>
      </c>
      <c r="F453" s="3" t="s">
        <v>968</v>
      </c>
      <c r="G453" s="3" t="s">
        <v>1340</v>
      </c>
      <c r="H453" s="3">
        <v>1</v>
      </c>
      <c r="I453" s="5">
        <v>5</v>
      </c>
    </row>
    <row r="454" spans="1:9" x14ac:dyDescent="0.25">
      <c r="A454" s="1">
        <v>45688</v>
      </c>
      <c r="B454" s="3" t="s">
        <v>979</v>
      </c>
      <c r="C454" s="3" t="s">
        <v>980</v>
      </c>
      <c r="D454" s="3" t="s">
        <v>0</v>
      </c>
      <c r="E454" s="3" t="s">
        <v>981</v>
      </c>
      <c r="F454" s="3" t="s">
        <v>86</v>
      </c>
      <c r="G454" s="3" t="s">
        <v>1339</v>
      </c>
      <c r="H454" s="3">
        <v>4</v>
      </c>
      <c r="I454" s="5">
        <v>43</v>
      </c>
    </row>
    <row r="455" spans="1:9" x14ac:dyDescent="0.25">
      <c r="A455" s="1">
        <v>45688</v>
      </c>
      <c r="B455" s="3" t="s">
        <v>1126</v>
      </c>
      <c r="C455" s="3" t="s">
        <v>1127</v>
      </c>
      <c r="D455" s="3" t="s">
        <v>0</v>
      </c>
      <c r="E455" s="3" t="s">
        <v>1128</v>
      </c>
      <c r="F455" s="3" t="s">
        <v>35</v>
      </c>
      <c r="G455" s="1" t="s">
        <v>1342</v>
      </c>
      <c r="H455" s="3">
        <v>3</v>
      </c>
      <c r="I455" s="140">
        <v>15</v>
      </c>
    </row>
    <row r="456" spans="1:9" x14ac:dyDescent="0.25">
      <c r="A456" s="1">
        <v>45688</v>
      </c>
      <c r="B456" s="3" t="s">
        <v>1063</v>
      </c>
      <c r="C456" s="3" t="s">
        <v>1064</v>
      </c>
      <c r="D456" s="3" t="s">
        <v>0</v>
      </c>
      <c r="E456" s="3" t="s">
        <v>1065</v>
      </c>
      <c r="F456" s="3" t="s">
        <v>1066</v>
      </c>
      <c r="G456" s="1" t="s">
        <v>1342</v>
      </c>
      <c r="H456" s="3">
        <v>3</v>
      </c>
      <c r="I456" s="140">
        <v>40.5</v>
      </c>
    </row>
    <row r="457" spans="1:9" x14ac:dyDescent="0.25">
      <c r="A457" s="1">
        <v>45688</v>
      </c>
      <c r="B457" s="3" t="s">
        <v>1213</v>
      </c>
      <c r="C457" s="3" t="s">
        <v>1214</v>
      </c>
      <c r="D457" s="3" t="s">
        <v>0</v>
      </c>
      <c r="E457" s="3" t="s">
        <v>1215</v>
      </c>
      <c r="F457" s="3" t="s">
        <v>38</v>
      </c>
      <c r="G457" s="1" t="s">
        <v>1342</v>
      </c>
      <c r="H457" s="3">
        <v>3</v>
      </c>
      <c r="I457" s="140">
        <v>39.5</v>
      </c>
    </row>
    <row r="458" spans="1:9" x14ac:dyDescent="0.25">
      <c r="A458" s="1">
        <v>45688</v>
      </c>
      <c r="B458" s="2" t="s">
        <v>107</v>
      </c>
      <c r="C458" s="2" t="s">
        <v>108</v>
      </c>
      <c r="D458" s="3" t="s">
        <v>0</v>
      </c>
      <c r="E458" s="3" t="s">
        <v>109</v>
      </c>
      <c r="F458" s="3" t="s">
        <v>110</v>
      </c>
      <c r="G458" s="3" t="s">
        <v>1340</v>
      </c>
      <c r="H458" s="3">
        <v>1</v>
      </c>
      <c r="I458" s="140">
        <v>11.5</v>
      </c>
    </row>
    <row r="459" spans="1:9" x14ac:dyDescent="0.25">
      <c r="A459" s="1">
        <v>45688</v>
      </c>
      <c r="B459" s="2" t="s">
        <v>104</v>
      </c>
      <c r="C459" s="2" t="s">
        <v>105</v>
      </c>
      <c r="D459" s="3" t="s">
        <v>0</v>
      </c>
      <c r="E459" s="3" t="s">
        <v>106</v>
      </c>
      <c r="F459" s="3" t="s">
        <v>33</v>
      </c>
      <c r="G459" s="3" t="s">
        <v>1340</v>
      </c>
      <c r="H459" s="3">
        <v>1</v>
      </c>
      <c r="I459" s="140">
        <v>5</v>
      </c>
    </row>
    <row r="460" spans="1:9" x14ac:dyDescent="0.25">
      <c r="A460" s="1">
        <v>45688</v>
      </c>
      <c r="B460" s="3" t="s">
        <v>945</v>
      </c>
      <c r="C460" s="3" t="s">
        <v>946</v>
      </c>
      <c r="D460" s="3" t="s">
        <v>0</v>
      </c>
      <c r="E460" s="3" t="s">
        <v>947</v>
      </c>
      <c r="F460" s="3" t="s">
        <v>948</v>
      </c>
      <c r="G460" s="3" t="s">
        <v>1340</v>
      </c>
      <c r="H460" s="3">
        <v>1</v>
      </c>
      <c r="I460" s="140">
        <v>5</v>
      </c>
    </row>
    <row r="461" spans="1:9" x14ac:dyDescent="0.25">
      <c r="A461" s="1">
        <v>45688</v>
      </c>
      <c r="B461" s="3" t="s">
        <v>949</v>
      </c>
      <c r="C461" s="3" t="s">
        <v>950</v>
      </c>
      <c r="D461" s="3" t="s">
        <v>0</v>
      </c>
      <c r="E461" s="3" t="s">
        <v>951</v>
      </c>
      <c r="F461" s="3" t="s">
        <v>948</v>
      </c>
      <c r="G461" s="3" t="s">
        <v>1340</v>
      </c>
      <c r="H461" s="3">
        <v>1</v>
      </c>
      <c r="I461" s="140">
        <v>16.5</v>
      </c>
    </row>
    <row r="462" spans="1:9" x14ac:dyDescent="0.25">
      <c r="A462" s="1">
        <v>45688</v>
      </c>
      <c r="B462" s="3" t="s">
        <v>1135</v>
      </c>
      <c r="C462" s="3" t="s">
        <v>1136</v>
      </c>
      <c r="D462" s="3" t="s">
        <v>0</v>
      </c>
      <c r="E462" s="3" t="s">
        <v>1137</v>
      </c>
      <c r="F462" s="3" t="s">
        <v>904</v>
      </c>
      <c r="G462" s="3" t="s">
        <v>1340</v>
      </c>
      <c r="H462" s="3">
        <v>1</v>
      </c>
      <c r="I462" s="140">
        <v>7.5</v>
      </c>
    </row>
    <row r="463" spans="1:9" x14ac:dyDescent="0.25">
      <c r="A463" s="1">
        <v>45688</v>
      </c>
      <c r="B463" s="3" t="s">
        <v>991</v>
      </c>
      <c r="C463" s="3" t="s">
        <v>992</v>
      </c>
      <c r="D463" s="3" t="s">
        <v>0</v>
      </c>
      <c r="E463" s="3" t="s">
        <v>993</v>
      </c>
      <c r="F463" s="3" t="s">
        <v>994</v>
      </c>
      <c r="G463" s="3" t="s">
        <v>1340</v>
      </c>
      <c r="H463" s="3">
        <v>1</v>
      </c>
      <c r="I463" s="140">
        <v>5</v>
      </c>
    </row>
    <row r="464" spans="1:9" x14ac:dyDescent="0.25">
      <c r="A464" s="1">
        <v>45688</v>
      </c>
      <c r="B464" s="3" t="s">
        <v>995</v>
      </c>
      <c r="C464" s="3" t="s">
        <v>996</v>
      </c>
      <c r="D464" s="3" t="s">
        <v>0</v>
      </c>
      <c r="E464" s="3" t="s">
        <v>997</v>
      </c>
      <c r="F464" s="3" t="s">
        <v>33</v>
      </c>
      <c r="G464" s="3" t="s">
        <v>1340</v>
      </c>
      <c r="H464" s="3">
        <v>1</v>
      </c>
      <c r="I464" s="140">
        <v>31.5</v>
      </c>
    </row>
    <row r="465" spans="5:9" ht="15.75" thickBot="1" x14ac:dyDescent="0.3"/>
    <row r="466" spans="5:9" ht="15.75" thickBot="1" x14ac:dyDescent="0.3">
      <c r="G466" s="37" t="s">
        <v>15</v>
      </c>
      <c r="I466" s="169">
        <f>SUM(I293:I465)</f>
        <v>4831.5</v>
      </c>
    </row>
    <row r="467" spans="5:9" ht="15.75" thickBot="1" x14ac:dyDescent="0.3"/>
    <row r="468" spans="5:9" ht="15.75" thickBot="1" x14ac:dyDescent="0.3">
      <c r="E468" s="37"/>
      <c r="F468" s="37"/>
      <c r="G468" s="170" t="s">
        <v>19</v>
      </c>
      <c r="H468" s="37"/>
      <c r="I468" s="90">
        <f>I466+I290+I235+I205+I198+I7</f>
        <v>11233.9</v>
      </c>
    </row>
  </sheetData>
  <pageMargins left="0.23622047244094491" right="0.23622047244094491" top="0.55118110236220474" bottom="0.55118110236220474" header="0.31496062992125984" footer="0.31496062992125984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B773-BE3F-4A12-B83C-96616E1D3374}">
  <dimension ref="A3:G754"/>
  <sheetViews>
    <sheetView topLeftCell="A669" workbookViewId="0">
      <selection activeCell="J699" sqref="J699"/>
    </sheetView>
  </sheetViews>
  <sheetFormatPr baseColWidth="10" defaultRowHeight="15" x14ac:dyDescent="0.25"/>
  <cols>
    <col min="2" max="2" width="10.140625" customWidth="1"/>
    <col min="3" max="3" width="10.42578125" customWidth="1"/>
    <col min="4" max="4" width="13.85546875" customWidth="1"/>
    <col min="5" max="5" width="45.7109375" customWidth="1"/>
    <col min="6" max="6" width="30.42578125" customWidth="1"/>
  </cols>
  <sheetData>
    <row r="3" spans="1:7" x14ac:dyDescent="0.25">
      <c r="A3" s="3"/>
      <c r="B3" s="247" t="s">
        <v>1442</v>
      </c>
      <c r="C3" s="247" t="s">
        <v>1441</v>
      </c>
      <c r="D3" s="3" t="s">
        <v>16</v>
      </c>
      <c r="E3" s="247" t="s">
        <v>1440</v>
      </c>
      <c r="F3" s="247" t="s">
        <v>56</v>
      </c>
      <c r="G3" s="3"/>
    </row>
    <row r="4" spans="1:7" x14ac:dyDescent="0.25">
      <c r="A4" s="3"/>
      <c r="B4" s="247" t="s">
        <v>169</v>
      </c>
      <c r="C4" s="247" t="s">
        <v>170</v>
      </c>
      <c r="D4" s="3" t="s">
        <v>16</v>
      </c>
      <c r="E4" s="247" t="s">
        <v>171</v>
      </c>
      <c r="F4" s="247" t="s">
        <v>56</v>
      </c>
      <c r="G4" s="3"/>
    </row>
    <row r="5" spans="1:7" x14ac:dyDescent="0.25">
      <c r="A5" s="3"/>
      <c r="B5" s="247" t="s">
        <v>1439</v>
      </c>
      <c r="C5" s="247" t="s">
        <v>1438</v>
      </c>
      <c r="D5" s="3" t="s">
        <v>16</v>
      </c>
      <c r="E5" s="247" t="s">
        <v>1437</v>
      </c>
      <c r="F5" s="247" t="s">
        <v>56</v>
      </c>
      <c r="G5" s="3"/>
    </row>
    <row r="6" spans="1:7" x14ac:dyDescent="0.25">
      <c r="A6" s="3"/>
      <c r="B6" s="247" t="s">
        <v>1436</v>
      </c>
      <c r="C6" s="247" t="s">
        <v>1435</v>
      </c>
      <c r="D6" s="3" t="s">
        <v>16</v>
      </c>
      <c r="E6" s="247" t="s">
        <v>1434</v>
      </c>
      <c r="F6" s="247" t="s">
        <v>56</v>
      </c>
      <c r="G6" s="3"/>
    </row>
    <row r="7" spans="1:7" x14ac:dyDescent="0.25">
      <c r="A7" s="3"/>
      <c r="B7" s="247" t="s">
        <v>1433</v>
      </c>
      <c r="C7" s="247" t="s">
        <v>1432</v>
      </c>
      <c r="D7" s="3" t="s">
        <v>16</v>
      </c>
      <c r="E7" s="247" t="s">
        <v>1431</v>
      </c>
      <c r="F7" s="247" t="s">
        <v>56</v>
      </c>
      <c r="G7" s="3"/>
    </row>
    <row r="8" spans="1:7" x14ac:dyDescent="0.25">
      <c r="A8" s="3"/>
      <c r="B8" s="247" t="s">
        <v>172</v>
      </c>
      <c r="C8" s="247" t="s">
        <v>173</v>
      </c>
      <c r="D8" s="3" t="s">
        <v>17</v>
      </c>
      <c r="E8" s="247" t="s">
        <v>174</v>
      </c>
      <c r="F8" s="247" t="s">
        <v>175</v>
      </c>
      <c r="G8" s="3"/>
    </row>
    <row r="9" spans="1:7" x14ac:dyDescent="0.25">
      <c r="A9" s="3"/>
      <c r="B9" s="247" t="s">
        <v>176</v>
      </c>
      <c r="C9" s="247" t="s">
        <v>177</v>
      </c>
      <c r="D9" s="3" t="s">
        <v>17</v>
      </c>
      <c r="E9" s="247" t="s">
        <v>178</v>
      </c>
      <c r="F9" s="247" t="s">
        <v>179</v>
      </c>
      <c r="G9" s="3"/>
    </row>
    <row r="10" spans="1:7" x14ac:dyDescent="0.25">
      <c r="A10" s="3"/>
      <c r="B10" s="247" t="s">
        <v>2064</v>
      </c>
      <c r="C10" s="247" t="s">
        <v>2065</v>
      </c>
      <c r="D10" s="3" t="s">
        <v>17</v>
      </c>
      <c r="E10" s="247" t="s">
        <v>2066</v>
      </c>
      <c r="F10" s="247" t="s">
        <v>179</v>
      </c>
      <c r="G10" s="3"/>
    </row>
    <row r="11" spans="1:7" x14ac:dyDescent="0.25">
      <c r="A11" s="3"/>
      <c r="B11" s="247" t="s">
        <v>1443</v>
      </c>
      <c r="C11" s="247" t="s">
        <v>1444</v>
      </c>
      <c r="D11" s="3" t="s">
        <v>17</v>
      </c>
      <c r="E11" s="247" t="s">
        <v>1445</v>
      </c>
      <c r="F11" s="247" t="s">
        <v>179</v>
      </c>
      <c r="G11" s="3"/>
    </row>
    <row r="12" spans="1:7" x14ac:dyDescent="0.25">
      <c r="A12" s="3"/>
      <c r="B12" s="247" t="s">
        <v>180</v>
      </c>
      <c r="C12" s="247" t="s">
        <v>181</v>
      </c>
      <c r="D12" s="3" t="s">
        <v>17</v>
      </c>
      <c r="E12" s="247" t="s">
        <v>182</v>
      </c>
      <c r="F12" s="247" t="s">
        <v>179</v>
      </c>
      <c r="G12" s="3"/>
    </row>
    <row r="13" spans="1:7" x14ac:dyDescent="0.25">
      <c r="A13" s="3"/>
      <c r="B13" s="247" t="s">
        <v>1446</v>
      </c>
      <c r="C13" s="247" t="s">
        <v>1447</v>
      </c>
      <c r="D13" s="3" t="s">
        <v>17</v>
      </c>
      <c r="E13" s="247" t="s">
        <v>1448</v>
      </c>
      <c r="F13" s="247" t="s">
        <v>179</v>
      </c>
      <c r="G13" s="3"/>
    </row>
    <row r="14" spans="1:7" x14ac:dyDescent="0.25">
      <c r="A14" s="3"/>
      <c r="B14" s="3" t="s">
        <v>2499</v>
      </c>
      <c r="C14" s="3" t="s">
        <v>2500</v>
      </c>
      <c r="D14" s="3" t="s">
        <v>13</v>
      </c>
      <c r="E14" s="3" t="s">
        <v>2503</v>
      </c>
      <c r="F14" s="3" t="s">
        <v>2504</v>
      </c>
      <c r="G14" s="3"/>
    </row>
    <row r="15" spans="1:7" x14ac:dyDescent="0.25">
      <c r="A15" s="3"/>
      <c r="B15" s="3" t="s">
        <v>183</v>
      </c>
      <c r="C15" s="3" t="s">
        <v>184</v>
      </c>
      <c r="D15" s="3" t="s">
        <v>13</v>
      </c>
      <c r="E15" s="3" t="s">
        <v>185</v>
      </c>
      <c r="F15" s="3" t="s">
        <v>43</v>
      </c>
      <c r="G15" s="3"/>
    </row>
    <row r="16" spans="1:7" x14ac:dyDescent="0.25">
      <c r="A16" s="3"/>
      <c r="B16" s="3" t="s">
        <v>186</v>
      </c>
      <c r="C16" s="3" t="s">
        <v>187</v>
      </c>
      <c r="D16" s="3" t="s">
        <v>13</v>
      </c>
      <c r="E16" s="3" t="s">
        <v>188</v>
      </c>
      <c r="F16" s="3" t="s">
        <v>43</v>
      </c>
      <c r="G16" s="3"/>
    </row>
    <row r="17" spans="1:7" x14ac:dyDescent="0.25">
      <c r="A17" s="3"/>
      <c r="B17" s="3" t="s">
        <v>2399</v>
      </c>
      <c r="C17" s="3" t="s">
        <v>2400</v>
      </c>
      <c r="D17" s="3" t="s">
        <v>13</v>
      </c>
      <c r="E17" s="3" t="s">
        <v>188</v>
      </c>
      <c r="F17" s="3" t="s">
        <v>43</v>
      </c>
      <c r="G17" s="3"/>
    </row>
    <row r="18" spans="1:7" x14ac:dyDescent="0.25">
      <c r="A18" s="3"/>
      <c r="B18" s="3" t="s">
        <v>2067</v>
      </c>
      <c r="C18" s="3" t="s">
        <v>2068</v>
      </c>
      <c r="D18" s="3" t="s">
        <v>13</v>
      </c>
      <c r="E18" s="3" t="s">
        <v>2069</v>
      </c>
      <c r="F18" s="3" t="s">
        <v>43</v>
      </c>
      <c r="G18" s="3"/>
    </row>
    <row r="19" spans="1:7" x14ac:dyDescent="0.25">
      <c r="A19" s="3"/>
      <c r="B19" s="3" t="s">
        <v>2501</v>
      </c>
      <c r="C19" s="3" t="s">
        <v>2502</v>
      </c>
      <c r="D19" s="3" t="s">
        <v>13</v>
      </c>
      <c r="E19" s="3" t="s">
        <v>2505</v>
      </c>
      <c r="F19" s="3" t="s">
        <v>43</v>
      </c>
      <c r="G19" s="3"/>
    </row>
    <row r="20" spans="1:7" x14ac:dyDescent="0.25">
      <c r="A20" s="3"/>
      <c r="B20" s="3" t="s">
        <v>189</v>
      </c>
      <c r="C20" s="3" t="s">
        <v>190</v>
      </c>
      <c r="D20" s="3" t="s">
        <v>13</v>
      </c>
      <c r="E20" s="3" t="s">
        <v>191</v>
      </c>
      <c r="F20" s="3" t="s">
        <v>43</v>
      </c>
      <c r="G20" s="3"/>
    </row>
    <row r="21" spans="1:7" x14ac:dyDescent="0.25">
      <c r="A21" s="3"/>
      <c r="B21" s="3" t="s">
        <v>192</v>
      </c>
      <c r="C21" s="3" t="s">
        <v>193</v>
      </c>
      <c r="D21" s="3" t="s">
        <v>13</v>
      </c>
      <c r="E21" s="3" t="s">
        <v>194</v>
      </c>
      <c r="F21" s="3" t="s">
        <v>43</v>
      </c>
      <c r="G21" s="3"/>
    </row>
    <row r="22" spans="1:7" x14ac:dyDescent="0.25">
      <c r="A22" s="3"/>
      <c r="B22" s="3" t="s">
        <v>195</v>
      </c>
      <c r="C22" s="3" t="s">
        <v>196</v>
      </c>
      <c r="D22" s="3" t="s">
        <v>13</v>
      </c>
      <c r="E22" s="3" t="s">
        <v>197</v>
      </c>
      <c r="F22" s="3" t="s">
        <v>43</v>
      </c>
      <c r="G22" s="3"/>
    </row>
    <row r="23" spans="1:7" x14ac:dyDescent="0.25">
      <c r="A23" s="3"/>
      <c r="B23" s="3" t="s">
        <v>202</v>
      </c>
      <c r="C23" s="3" t="s">
        <v>203</v>
      </c>
      <c r="D23" s="3" t="s">
        <v>13</v>
      </c>
      <c r="E23" s="3" t="s">
        <v>204</v>
      </c>
      <c r="F23" s="3" t="s">
        <v>43</v>
      </c>
      <c r="G23" s="3"/>
    </row>
    <row r="24" spans="1:7" x14ac:dyDescent="0.25">
      <c r="A24" s="3"/>
      <c r="B24" s="3" t="s">
        <v>205</v>
      </c>
      <c r="C24" s="3" t="s">
        <v>206</v>
      </c>
      <c r="D24" s="3" t="s">
        <v>13</v>
      </c>
      <c r="E24" s="3" t="s">
        <v>207</v>
      </c>
      <c r="F24" s="3" t="s">
        <v>43</v>
      </c>
      <c r="G24" s="3"/>
    </row>
    <row r="25" spans="1:7" x14ac:dyDescent="0.25">
      <c r="A25" s="3"/>
      <c r="B25" s="3" t="s">
        <v>208</v>
      </c>
      <c r="C25" s="3" t="s">
        <v>209</v>
      </c>
      <c r="D25" s="3" t="s">
        <v>13</v>
      </c>
      <c r="E25" s="3" t="s">
        <v>210</v>
      </c>
      <c r="F25" s="3" t="s">
        <v>43</v>
      </c>
      <c r="G25" s="3"/>
    </row>
    <row r="26" spans="1:7" x14ac:dyDescent="0.25">
      <c r="A26" s="3"/>
      <c r="B26" s="3" t="s">
        <v>1360</v>
      </c>
      <c r="C26" s="3" t="s">
        <v>1361</v>
      </c>
      <c r="D26" s="3" t="s">
        <v>13</v>
      </c>
      <c r="E26" s="3" t="s">
        <v>1362</v>
      </c>
      <c r="F26" s="3" t="s">
        <v>43</v>
      </c>
      <c r="G26" s="3"/>
    </row>
    <row r="27" spans="1:7" x14ac:dyDescent="0.25">
      <c r="A27" s="3"/>
      <c r="B27" s="3" t="s">
        <v>1364</v>
      </c>
      <c r="C27" s="3" t="s">
        <v>1365</v>
      </c>
      <c r="D27" s="3" t="s">
        <v>13</v>
      </c>
      <c r="E27" s="3" t="s">
        <v>1366</v>
      </c>
      <c r="F27" s="3" t="s">
        <v>43</v>
      </c>
      <c r="G27" s="3"/>
    </row>
    <row r="28" spans="1:7" x14ac:dyDescent="0.25">
      <c r="A28" s="3"/>
      <c r="B28" s="3" t="s">
        <v>211</v>
      </c>
      <c r="C28" s="3" t="s">
        <v>212</v>
      </c>
      <c r="D28" s="3" t="s">
        <v>13</v>
      </c>
      <c r="E28" s="3" t="s">
        <v>213</v>
      </c>
      <c r="F28" s="3" t="s">
        <v>214</v>
      </c>
      <c r="G28" s="3"/>
    </row>
    <row r="29" spans="1:7" x14ac:dyDescent="0.25">
      <c r="A29" s="3"/>
      <c r="B29" s="3" t="s">
        <v>1449</v>
      </c>
      <c r="C29" s="3" t="s">
        <v>1450</v>
      </c>
      <c r="D29" s="3" t="s">
        <v>13</v>
      </c>
      <c r="E29" s="3" t="s">
        <v>1451</v>
      </c>
      <c r="F29" s="3" t="s">
        <v>43</v>
      </c>
      <c r="G29" s="3"/>
    </row>
    <row r="30" spans="1:7" x14ac:dyDescent="0.25">
      <c r="A30" s="3"/>
      <c r="B30" s="3" t="s">
        <v>154</v>
      </c>
      <c r="C30" s="3" t="s">
        <v>155</v>
      </c>
      <c r="D30" s="3" t="s">
        <v>13</v>
      </c>
      <c r="E30" s="3" t="s">
        <v>156</v>
      </c>
      <c r="F30" s="3" t="s">
        <v>43</v>
      </c>
      <c r="G30" s="3"/>
    </row>
    <row r="31" spans="1:7" x14ac:dyDescent="0.25">
      <c r="A31" s="3"/>
      <c r="B31" s="3" t="s">
        <v>1452</v>
      </c>
      <c r="C31" s="3" t="s">
        <v>1453</v>
      </c>
      <c r="D31" s="3" t="s">
        <v>13</v>
      </c>
      <c r="E31" s="3" t="s">
        <v>1454</v>
      </c>
      <c r="F31" s="3" t="s">
        <v>43</v>
      </c>
      <c r="G31" s="3"/>
    </row>
    <row r="32" spans="1:7" x14ac:dyDescent="0.25">
      <c r="A32" s="3"/>
      <c r="B32" s="3" t="s">
        <v>1455</v>
      </c>
      <c r="C32" s="3" t="s">
        <v>1456</v>
      </c>
      <c r="D32" s="3" t="s">
        <v>13</v>
      </c>
      <c r="E32" s="3" t="s">
        <v>1457</v>
      </c>
      <c r="F32" s="3" t="s">
        <v>43</v>
      </c>
      <c r="G32" s="3"/>
    </row>
    <row r="33" spans="1:7" x14ac:dyDescent="0.25">
      <c r="A33" s="3"/>
      <c r="B33" s="3" t="s">
        <v>157</v>
      </c>
      <c r="C33" s="3" t="s">
        <v>158</v>
      </c>
      <c r="D33" s="3" t="s">
        <v>13</v>
      </c>
      <c r="E33" s="3" t="s">
        <v>159</v>
      </c>
      <c r="F33" s="3" t="s">
        <v>215</v>
      </c>
      <c r="G33" s="3"/>
    </row>
    <row r="34" spans="1:7" x14ac:dyDescent="0.25">
      <c r="A34" s="3"/>
      <c r="B34" s="3" t="s">
        <v>216</v>
      </c>
      <c r="C34" s="3" t="s">
        <v>217</v>
      </c>
      <c r="D34" s="3" t="s">
        <v>13</v>
      </c>
      <c r="E34" s="3" t="s">
        <v>218</v>
      </c>
      <c r="F34" s="3" t="s">
        <v>219</v>
      </c>
      <c r="G34" s="3"/>
    </row>
    <row r="35" spans="1:7" x14ac:dyDescent="0.25">
      <c r="A35" s="3"/>
      <c r="B35" s="3" t="s">
        <v>1458</v>
      </c>
      <c r="C35" s="3" t="s">
        <v>1459</v>
      </c>
      <c r="D35" s="3" t="s">
        <v>13</v>
      </c>
      <c r="E35" s="3" t="s">
        <v>1460</v>
      </c>
      <c r="F35" s="3" t="s">
        <v>43</v>
      </c>
      <c r="G35" s="3"/>
    </row>
    <row r="36" spans="1:7" x14ac:dyDescent="0.25">
      <c r="A36" s="3"/>
      <c r="B36" s="3" t="s">
        <v>220</v>
      </c>
      <c r="C36" s="3" t="s">
        <v>221</v>
      </c>
      <c r="D36" s="3" t="s">
        <v>13</v>
      </c>
      <c r="E36" s="3" t="s">
        <v>222</v>
      </c>
      <c r="F36" s="3" t="s">
        <v>215</v>
      </c>
      <c r="G36" s="3"/>
    </row>
    <row r="37" spans="1:7" x14ac:dyDescent="0.25">
      <c r="A37" s="3"/>
      <c r="B37" s="3" t="s">
        <v>1367</v>
      </c>
      <c r="C37" s="3" t="s">
        <v>1368</v>
      </c>
      <c r="D37" s="3" t="s">
        <v>13</v>
      </c>
      <c r="E37" s="3" t="s">
        <v>1369</v>
      </c>
      <c r="F37" s="3" t="s">
        <v>45</v>
      </c>
      <c r="G37" s="3"/>
    </row>
    <row r="38" spans="1:7" x14ac:dyDescent="0.25">
      <c r="A38" s="3"/>
      <c r="B38" s="3" t="s">
        <v>1461</v>
      </c>
      <c r="C38" s="3" t="s">
        <v>1462</v>
      </c>
      <c r="D38" s="3" t="s">
        <v>13</v>
      </c>
      <c r="E38" s="3" t="s">
        <v>1463</v>
      </c>
      <c r="F38" s="3" t="s">
        <v>43</v>
      </c>
      <c r="G38" s="3"/>
    </row>
    <row r="39" spans="1:7" x14ac:dyDescent="0.25">
      <c r="A39" s="3"/>
      <c r="B39" s="3" t="s">
        <v>223</v>
      </c>
      <c r="C39" s="3" t="s">
        <v>224</v>
      </c>
      <c r="D39" s="3" t="s">
        <v>13</v>
      </c>
      <c r="E39" s="3" t="s">
        <v>225</v>
      </c>
      <c r="F39" s="3" t="s">
        <v>43</v>
      </c>
      <c r="G39" s="3"/>
    </row>
    <row r="40" spans="1:7" x14ac:dyDescent="0.25">
      <c r="A40" s="3"/>
      <c r="B40" s="3" t="s">
        <v>226</v>
      </c>
      <c r="C40" s="3" t="s">
        <v>227</v>
      </c>
      <c r="D40" s="3" t="s">
        <v>13</v>
      </c>
      <c r="E40" s="3" t="s">
        <v>228</v>
      </c>
      <c r="F40" s="3" t="s">
        <v>43</v>
      </c>
      <c r="G40" s="3"/>
    </row>
    <row r="41" spans="1:7" x14ac:dyDescent="0.25">
      <c r="A41" s="3"/>
      <c r="B41" s="3" t="s">
        <v>229</v>
      </c>
      <c r="C41" s="3" t="s">
        <v>230</v>
      </c>
      <c r="D41" s="3" t="s">
        <v>13</v>
      </c>
      <c r="E41" s="3" t="s">
        <v>231</v>
      </c>
      <c r="F41" s="3" t="s">
        <v>43</v>
      </c>
      <c r="G41" s="3"/>
    </row>
    <row r="42" spans="1:7" x14ac:dyDescent="0.25">
      <c r="A42" s="3"/>
      <c r="B42" s="3" t="s">
        <v>232</v>
      </c>
      <c r="C42" s="3" t="s">
        <v>233</v>
      </c>
      <c r="D42" s="3" t="s">
        <v>13</v>
      </c>
      <c r="E42" s="3" t="s">
        <v>234</v>
      </c>
      <c r="F42" s="3" t="s">
        <v>43</v>
      </c>
      <c r="G42" s="3"/>
    </row>
    <row r="43" spans="1:7" x14ac:dyDescent="0.25">
      <c r="A43" s="3"/>
      <c r="B43" s="3" t="s">
        <v>235</v>
      </c>
      <c r="C43" s="3" t="s">
        <v>236</v>
      </c>
      <c r="D43" s="3" t="s">
        <v>13</v>
      </c>
      <c r="E43" s="3" t="s">
        <v>237</v>
      </c>
      <c r="F43" s="3" t="s">
        <v>43</v>
      </c>
      <c r="G43" s="3"/>
    </row>
    <row r="44" spans="1:7" x14ac:dyDescent="0.25">
      <c r="A44" s="3"/>
      <c r="B44" s="3" t="s">
        <v>1464</v>
      </c>
      <c r="C44" s="3" t="s">
        <v>1465</v>
      </c>
      <c r="D44" s="3" t="s">
        <v>13</v>
      </c>
      <c r="E44" s="3" t="s">
        <v>1466</v>
      </c>
      <c r="F44" s="3" t="s">
        <v>43</v>
      </c>
      <c r="G44" s="3"/>
    </row>
    <row r="45" spans="1:7" x14ac:dyDescent="0.25">
      <c r="A45" s="3"/>
      <c r="B45" s="3" t="s">
        <v>238</v>
      </c>
      <c r="C45" s="3" t="s">
        <v>239</v>
      </c>
      <c r="D45" s="3" t="s">
        <v>13</v>
      </c>
      <c r="E45" s="3" t="s">
        <v>240</v>
      </c>
      <c r="F45" s="3" t="s">
        <v>43</v>
      </c>
      <c r="G45" s="3"/>
    </row>
    <row r="46" spans="1:7" x14ac:dyDescent="0.25">
      <c r="A46" s="3"/>
      <c r="B46" s="3" t="s">
        <v>241</v>
      </c>
      <c r="C46" s="3" t="s">
        <v>242</v>
      </c>
      <c r="D46" s="3" t="s">
        <v>13</v>
      </c>
      <c r="E46" s="3" t="s">
        <v>243</v>
      </c>
      <c r="F46" s="3" t="s">
        <v>43</v>
      </c>
      <c r="G46" s="3"/>
    </row>
    <row r="47" spans="1:7" x14ac:dyDescent="0.25">
      <c r="A47" s="3"/>
      <c r="B47" s="3" t="s">
        <v>244</v>
      </c>
      <c r="C47" s="3" t="s">
        <v>245</v>
      </c>
      <c r="D47" s="3" t="s">
        <v>13</v>
      </c>
      <c r="E47" s="3" t="s">
        <v>246</v>
      </c>
      <c r="F47" s="3" t="s">
        <v>43</v>
      </c>
      <c r="G47" s="3"/>
    </row>
    <row r="48" spans="1:7" x14ac:dyDescent="0.25">
      <c r="A48" s="3"/>
      <c r="B48" s="3" t="s">
        <v>247</v>
      </c>
      <c r="C48" s="3" t="s">
        <v>248</v>
      </c>
      <c r="D48" s="3" t="s">
        <v>13</v>
      </c>
      <c r="E48" s="3" t="s">
        <v>249</v>
      </c>
      <c r="F48" s="3" t="s">
        <v>43</v>
      </c>
      <c r="G48" s="3"/>
    </row>
    <row r="49" spans="1:7" x14ac:dyDescent="0.25">
      <c r="A49" s="3"/>
      <c r="B49" s="3" t="s">
        <v>250</v>
      </c>
      <c r="C49" s="3" t="s">
        <v>251</v>
      </c>
      <c r="D49" s="3" t="s">
        <v>13</v>
      </c>
      <c r="E49" s="3" t="s">
        <v>252</v>
      </c>
      <c r="F49" s="3" t="s">
        <v>43</v>
      </c>
      <c r="G49" s="3"/>
    </row>
    <row r="50" spans="1:7" x14ac:dyDescent="0.25">
      <c r="A50" s="3"/>
      <c r="B50" s="3" t="s">
        <v>253</v>
      </c>
      <c r="C50" s="3" t="s">
        <v>254</v>
      </c>
      <c r="D50" s="3" t="s">
        <v>13</v>
      </c>
      <c r="E50" s="3" t="s">
        <v>255</v>
      </c>
      <c r="F50" s="3" t="s">
        <v>43</v>
      </c>
      <c r="G50" s="3"/>
    </row>
    <row r="51" spans="1:7" x14ac:dyDescent="0.25">
      <c r="A51" s="3"/>
      <c r="B51" s="3" t="s">
        <v>256</v>
      </c>
      <c r="C51" s="3" t="s">
        <v>257</v>
      </c>
      <c r="D51" s="3" t="s">
        <v>13</v>
      </c>
      <c r="E51" s="3" t="s">
        <v>258</v>
      </c>
      <c r="F51" s="3" t="s">
        <v>43</v>
      </c>
      <c r="G51" s="3"/>
    </row>
    <row r="52" spans="1:7" x14ac:dyDescent="0.25">
      <c r="A52" s="3"/>
      <c r="B52" s="3" t="s">
        <v>259</v>
      </c>
      <c r="C52" s="3" t="s">
        <v>260</v>
      </c>
      <c r="D52" s="3" t="s">
        <v>13</v>
      </c>
      <c r="E52" s="3" t="s">
        <v>261</v>
      </c>
      <c r="F52" s="3" t="s">
        <v>43</v>
      </c>
      <c r="G52" s="3"/>
    </row>
    <row r="53" spans="1:7" x14ac:dyDescent="0.25">
      <c r="A53" s="3"/>
      <c r="B53" s="3" t="s">
        <v>1467</v>
      </c>
      <c r="C53" s="3" t="s">
        <v>1468</v>
      </c>
      <c r="D53" s="3" t="s">
        <v>13</v>
      </c>
      <c r="E53" s="3" t="s">
        <v>1469</v>
      </c>
      <c r="F53" s="3" t="s">
        <v>43</v>
      </c>
      <c r="G53" s="3"/>
    </row>
    <row r="54" spans="1:7" x14ac:dyDescent="0.25">
      <c r="A54" s="3"/>
      <c r="B54" s="3" t="s">
        <v>262</v>
      </c>
      <c r="C54" s="3" t="s">
        <v>263</v>
      </c>
      <c r="D54" s="3" t="s">
        <v>13</v>
      </c>
      <c r="E54" s="3" t="s">
        <v>264</v>
      </c>
      <c r="F54" s="3" t="s">
        <v>43</v>
      </c>
      <c r="G54" s="3"/>
    </row>
    <row r="55" spans="1:7" x14ac:dyDescent="0.25">
      <c r="A55" s="3"/>
      <c r="B55" s="3" t="s">
        <v>2359</v>
      </c>
      <c r="C55" s="3" t="s">
        <v>2360</v>
      </c>
      <c r="D55" s="3" t="s">
        <v>13</v>
      </c>
      <c r="E55" s="3" t="s">
        <v>2361</v>
      </c>
      <c r="F55" s="3" t="s">
        <v>2362</v>
      </c>
      <c r="G55" s="3"/>
    </row>
    <row r="56" spans="1:7" x14ac:dyDescent="0.25">
      <c r="A56" s="3"/>
      <c r="B56" s="3" t="s">
        <v>162</v>
      </c>
      <c r="C56" s="3" t="s">
        <v>163</v>
      </c>
      <c r="D56" s="3" t="s">
        <v>13</v>
      </c>
      <c r="E56" s="3" t="s">
        <v>164</v>
      </c>
      <c r="F56" s="3" t="s">
        <v>43</v>
      </c>
      <c r="G56" s="3"/>
    </row>
    <row r="57" spans="1:7" x14ac:dyDescent="0.25">
      <c r="A57" s="3"/>
      <c r="B57" s="3" t="s">
        <v>160</v>
      </c>
      <c r="C57" s="3" t="s">
        <v>2070</v>
      </c>
      <c r="D57" s="3" t="s">
        <v>13</v>
      </c>
      <c r="E57" s="3" t="s">
        <v>161</v>
      </c>
      <c r="F57" s="3" t="s">
        <v>43</v>
      </c>
      <c r="G57" s="3"/>
    </row>
    <row r="58" spans="1:7" x14ac:dyDescent="0.25">
      <c r="A58" s="3"/>
      <c r="B58" s="3" t="s">
        <v>265</v>
      </c>
      <c r="C58" s="3" t="s">
        <v>266</v>
      </c>
      <c r="D58" s="3" t="s">
        <v>13</v>
      </c>
      <c r="E58" s="3" t="s">
        <v>267</v>
      </c>
      <c r="F58" s="3" t="s">
        <v>43</v>
      </c>
      <c r="G58" s="3"/>
    </row>
    <row r="59" spans="1:7" x14ac:dyDescent="0.25">
      <c r="A59" s="3"/>
      <c r="B59" s="3" t="s">
        <v>268</v>
      </c>
      <c r="C59" s="3" t="s">
        <v>269</v>
      </c>
      <c r="D59" s="3" t="s">
        <v>13</v>
      </c>
      <c r="E59" s="3" t="s">
        <v>270</v>
      </c>
      <c r="F59" s="3" t="s">
        <v>43</v>
      </c>
      <c r="G59" s="3"/>
    </row>
    <row r="60" spans="1:7" x14ac:dyDescent="0.25">
      <c r="A60" s="3"/>
      <c r="B60" s="3" t="s">
        <v>271</v>
      </c>
      <c r="C60" s="3" t="s">
        <v>272</v>
      </c>
      <c r="D60" s="3" t="s">
        <v>13</v>
      </c>
      <c r="E60" s="3" t="s">
        <v>273</v>
      </c>
      <c r="F60" s="3" t="s">
        <v>43</v>
      </c>
      <c r="G60" s="3"/>
    </row>
    <row r="61" spans="1:7" x14ac:dyDescent="0.25">
      <c r="A61" s="3"/>
      <c r="B61" s="3" t="s">
        <v>1470</v>
      </c>
      <c r="C61" s="3" t="s">
        <v>1471</v>
      </c>
      <c r="D61" s="3" t="s">
        <v>13</v>
      </c>
      <c r="E61" s="3" t="s">
        <v>1472</v>
      </c>
      <c r="F61" s="3" t="s">
        <v>43</v>
      </c>
      <c r="G61" s="3"/>
    </row>
    <row r="62" spans="1:7" x14ac:dyDescent="0.25">
      <c r="A62" s="3"/>
      <c r="B62" s="3" t="s">
        <v>274</v>
      </c>
      <c r="C62" s="3" t="s">
        <v>275</v>
      </c>
      <c r="D62" s="3" t="s">
        <v>13</v>
      </c>
      <c r="E62" s="3" t="s">
        <v>276</v>
      </c>
      <c r="F62" s="3" t="s">
        <v>43</v>
      </c>
      <c r="G62" s="3"/>
    </row>
    <row r="63" spans="1:7" x14ac:dyDescent="0.25">
      <c r="A63" s="3"/>
      <c r="B63" s="3" t="s">
        <v>2071</v>
      </c>
      <c r="C63" s="3" t="s">
        <v>2072</v>
      </c>
      <c r="D63" s="3" t="s">
        <v>13</v>
      </c>
      <c r="E63" s="3" t="s">
        <v>2073</v>
      </c>
      <c r="F63" s="3" t="s">
        <v>43</v>
      </c>
      <c r="G63" s="3"/>
    </row>
    <row r="64" spans="1:7" x14ac:dyDescent="0.25">
      <c r="A64" s="3"/>
      <c r="B64" s="3" t="s">
        <v>277</v>
      </c>
      <c r="C64" s="3" t="s">
        <v>278</v>
      </c>
      <c r="D64" s="3" t="s">
        <v>13</v>
      </c>
      <c r="E64" s="3" t="s">
        <v>279</v>
      </c>
      <c r="F64" s="3" t="s">
        <v>43</v>
      </c>
      <c r="G64" s="3"/>
    </row>
    <row r="65" spans="1:7" x14ac:dyDescent="0.25">
      <c r="A65" s="3"/>
      <c r="B65" s="3" t="s">
        <v>280</v>
      </c>
      <c r="C65" s="3" t="s">
        <v>281</v>
      </c>
      <c r="D65" s="3" t="s">
        <v>13</v>
      </c>
      <c r="E65" s="3" t="s">
        <v>282</v>
      </c>
      <c r="F65" s="3" t="s">
        <v>43</v>
      </c>
      <c r="G65" s="3"/>
    </row>
    <row r="66" spans="1:7" x14ac:dyDescent="0.25">
      <c r="A66" s="3"/>
      <c r="B66" s="3" t="s">
        <v>283</v>
      </c>
      <c r="C66" s="3" t="s">
        <v>284</v>
      </c>
      <c r="D66" s="3" t="s">
        <v>13</v>
      </c>
      <c r="E66" s="3" t="s">
        <v>285</v>
      </c>
      <c r="F66" s="3" t="s">
        <v>43</v>
      </c>
      <c r="G66" s="3"/>
    </row>
    <row r="67" spans="1:7" x14ac:dyDescent="0.25">
      <c r="A67" s="3"/>
      <c r="B67" s="3" t="s">
        <v>286</v>
      </c>
      <c r="C67" s="3" t="s">
        <v>287</v>
      </c>
      <c r="D67" s="3" t="s">
        <v>13</v>
      </c>
      <c r="E67" s="3" t="s">
        <v>288</v>
      </c>
      <c r="F67" s="3" t="s">
        <v>43</v>
      </c>
      <c r="G67" s="3"/>
    </row>
    <row r="68" spans="1:7" x14ac:dyDescent="0.25">
      <c r="A68" s="3"/>
      <c r="B68" s="3" t="s">
        <v>1473</v>
      </c>
      <c r="C68" s="3" t="s">
        <v>1474</v>
      </c>
      <c r="D68" s="3" t="s">
        <v>13</v>
      </c>
      <c r="E68" s="3" t="s">
        <v>1475</v>
      </c>
      <c r="F68" s="3" t="s">
        <v>43</v>
      </c>
      <c r="G68" s="3"/>
    </row>
    <row r="69" spans="1:7" x14ac:dyDescent="0.25">
      <c r="A69" s="3"/>
      <c r="B69" s="3" t="s">
        <v>1375</v>
      </c>
      <c r="C69" s="3" t="s">
        <v>1376</v>
      </c>
      <c r="D69" s="3" t="s">
        <v>13</v>
      </c>
      <c r="E69" s="3" t="s">
        <v>1377</v>
      </c>
      <c r="F69" s="3" t="s">
        <v>43</v>
      </c>
      <c r="G69" s="3"/>
    </row>
    <row r="70" spans="1:7" x14ac:dyDescent="0.25">
      <c r="A70" s="3"/>
      <c r="B70" s="3" t="s">
        <v>1476</v>
      </c>
      <c r="C70" s="3" t="s">
        <v>1477</v>
      </c>
      <c r="D70" s="3" t="s">
        <v>13</v>
      </c>
      <c r="E70" s="3" t="s">
        <v>1478</v>
      </c>
      <c r="F70" s="3" t="s">
        <v>43</v>
      </c>
      <c r="G70" s="3"/>
    </row>
    <row r="71" spans="1:7" x14ac:dyDescent="0.25">
      <c r="A71" s="3"/>
      <c r="B71" s="3" t="s">
        <v>289</v>
      </c>
      <c r="C71" s="3" t="s">
        <v>290</v>
      </c>
      <c r="D71" s="3" t="s">
        <v>13</v>
      </c>
      <c r="E71" s="3" t="s">
        <v>291</v>
      </c>
      <c r="F71" s="3" t="s">
        <v>43</v>
      </c>
      <c r="G71" s="3"/>
    </row>
    <row r="72" spans="1:7" x14ac:dyDescent="0.25">
      <c r="A72" s="3"/>
      <c r="B72" s="3" t="s">
        <v>55</v>
      </c>
      <c r="C72" s="3" t="s">
        <v>54</v>
      </c>
      <c r="D72" s="3" t="s">
        <v>13</v>
      </c>
      <c r="E72" s="3" t="s">
        <v>53</v>
      </c>
      <c r="F72" s="3" t="s">
        <v>43</v>
      </c>
      <c r="G72" s="3"/>
    </row>
    <row r="73" spans="1:7" x14ac:dyDescent="0.25">
      <c r="A73" s="3"/>
      <c r="B73" s="3" t="s">
        <v>198</v>
      </c>
      <c r="C73" s="3" t="s">
        <v>199</v>
      </c>
      <c r="D73" s="3" t="s">
        <v>13</v>
      </c>
      <c r="E73" s="3" t="s">
        <v>2402</v>
      </c>
      <c r="F73" s="3" t="s">
        <v>201</v>
      </c>
      <c r="G73" s="3"/>
    </row>
    <row r="74" spans="1:7" x14ac:dyDescent="0.25">
      <c r="A74" s="3"/>
      <c r="B74" s="3" t="s">
        <v>292</v>
      </c>
      <c r="C74" s="3" t="s">
        <v>293</v>
      </c>
      <c r="D74" s="3" t="s">
        <v>13</v>
      </c>
      <c r="E74" s="3" t="s">
        <v>294</v>
      </c>
      <c r="F74" s="3" t="s">
        <v>43</v>
      </c>
      <c r="G74" s="3"/>
    </row>
    <row r="75" spans="1:7" x14ac:dyDescent="0.25">
      <c r="A75" s="3"/>
      <c r="B75" s="3" t="s">
        <v>1479</v>
      </c>
      <c r="C75" s="3" t="s">
        <v>1480</v>
      </c>
      <c r="D75" s="3" t="s">
        <v>13</v>
      </c>
      <c r="E75" s="3" t="s">
        <v>1481</v>
      </c>
      <c r="F75" s="3" t="s">
        <v>45</v>
      </c>
      <c r="G75" s="3"/>
    </row>
    <row r="76" spans="1:7" x14ac:dyDescent="0.25">
      <c r="A76" s="3"/>
      <c r="B76" s="3" t="s">
        <v>295</v>
      </c>
      <c r="C76" s="3" t="s">
        <v>296</v>
      </c>
      <c r="D76" s="3" t="s">
        <v>13</v>
      </c>
      <c r="E76" s="3" t="s">
        <v>297</v>
      </c>
      <c r="F76" s="3" t="s">
        <v>43</v>
      </c>
      <c r="G76" s="3"/>
    </row>
    <row r="77" spans="1:7" x14ac:dyDescent="0.25">
      <c r="A77" s="3"/>
      <c r="B77" s="3" t="s">
        <v>1482</v>
      </c>
      <c r="C77" s="3" t="s">
        <v>1483</v>
      </c>
      <c r="D77" s="3" t="s">
        <v>13</v>
      </c>
      <c r="E77" s="3" t="s">
        <v>1484</v>
      </c>
      <c r="F77" s="3" t="s">
        <v>43</v>
      </c>
      <c r="G77" s="3"/>
    </row>
    <row r="78" spans="1:7" x14ac:dyDescent="0.25">
      <c r="A78" s="3"/>
      <c r="B78" s="3" t="s">
        <v>298</v>
      </c>
      <c r="C78" s="3" t="s">
        <v>299</v>
      </c>
      <c r="D78" s="3" t="s">
        <v>13</v>
      </c>
      <c r="E78" s="3" t="s">
        <v>300</v>
      </c>
      <c r="F78" s="3" t="s">
        <v>43</v>
      </c>
      <c r="G78" s="3"/>
    </row>
    <row r="79" spans="1:7" x14ac:dyDescent="0.25">
      <c r="A79" s="3"/>
      <c r="B79" s="3" t="s">
        <v>1485</v>
      </c>
      <c r="C79" s="3" t="s">
        <v>1486</v>
      </c>
      <c r="D79" s="3" t="s">
        <v>13</v>
      </c>
      <c r="E79" s="3" t="s">
        <v>1487</v>
      </c>
      <c r="F79" s="3" t="s">
        <v>219</v>
      </c>
      <c r="G79" s="3"/>
    </row>
    <row r="80" spans="1:7" x14ac:dyDescent="0.25">
      <c r="A80" s="3"/>
      <c r="B80" s="3" t="s">
        <v>1488</v>
      </c>
      <c r="C80" s="3" t="s">
        <v>1489</v>
      </c>
      <c r="D80" s="3" t="s">
        <v>12</v>
      </c>
      <c r="E80" s="3" t="s">
        <v>1490</v>
      </c>
      <c r="F80" s="3" t="s">
        <v>47</v>
      </c>
      <c r="G80" s="3"/>
    </row>
    <row r="81" spans="1:7" x14ac:dyDescent="0.25">
      <c r="A81" s="3"/>
      <c r="B81" s="3" t="s">
        <v>301</v>
      </c>
      <c r="C81" s="3" t="s">
        <v>302</v>
      </c>
      <c r="D81" s="3" t="s">
        <v>12</v>
      </c>
      <c r="E81" s="3" t="s">
        <v>303</v>
      </c>
      <c r="F81" s="3" t="s">
        <v>304</v>
      </c>
      <c r="G81" s="3"/>
    </row>
    <row r="82" spans="1:7" x14ac:dyDescent="0.25">
      <c r="A82" s="3"/>
      <c r="B82" s="3" t="s">
        <v>305</v>
      </c>
      <c r="C82" s="3" t="s">
        <v>306</v>
      </c>
      <c r="D82" s="3" t="s">
        <v>12</v>
      </c>
      <c r="E82" s="3" t="s">
        <v>303</v>
      </c>
      <c r="F82" s="3" t="s">
        <v>307</v>
      </c>
      <c r="G82" s="3"/>
    </row>
    <row r="83" spans="1:7" x14ac:dyDescent="0.25">
      <c r="A83" s="3"/>
      <c r="B83" s="3" t="s">
        <v>308</v>
      </c>
      <c r="C83" s="3" t="s">
        <v>309</v>
      </c>
      <c r="D83" s="3" t="s">
        <v>12</v>
      </c>
      <c r="E83" s="3" t="s">
        <v>310</v>
      </c>
      <c r="F83" s="3" t="s">
        <v>311</v>
      </c>
      <c r="G83" s="3"/>
    </row>
    <row r="84" spans="1:7" x14ac:dyDescent="0.25">
      <c r="A84" s="3"/>
      <c r="B84" s="3" t="s">
        <v>312</v>
      </c>
      <c r="C84" s="3" t="s">
        <v>313</v>
      </c>
      <c r="D84" s="3" t="s">
        <v>12</v>
      </c>
      <c r="E84" s="3" t="s">
        <v>314</v>
      </c>
      <c r="F84" s="3" t="s">
        <v>315</v>
      </c>
      <c r="G84" s="3"/>
    </row>
    <row r="85" spans="1:7" x14ac:dyDescent="0.25">
      <c r="A85" s="3"/>
      <c r="B85" s="3" t="s">
        <v>1491</v>
      </c>
      <c r="C85" s="3" t="s">
        <v>1492</v>
      </c>
      <c r="D85" s="3" t="s">
        <v>12</v>
      </c>
      <c r="E85" s="3" t="s">
        <v>1493</v>
      </c>
      <c r="F85" s="3" t="s">
        <v>201</v>
      </c>
      <c r="G85" s="3"/>
    </row>
    <row r="86" spans="1:7" x14ac:dyDescent="0.25">
      <c r="A86" s="3"/>
      <c r="B86" s="3" t="s">
        <v>316</v>
      </c>
      <c r="C86" s="3" t="s">
        <v>317</v>
      </c>
      <c r="D86" s="3" t="s">
        <v>12</v>
      </c>
      <c r="E86" s="3" t="s">
        <v>318</v>
      </c>
      <c r="F86" s="3" t="s">
        <v>43</v>
      </c>
      <c r="G86" s="3"/>
    </row>
    <row r="87" spans="1:7" x14ac:dyDescent="0.25">
      <c r="A87" s="3"/>
      <c r="B87" s="3" t="s">
        <v>1494</v>
      </c>
      <c r="C87" s="3" t="s">
        <v>1495</v>
      </c>
      <c r="D87" s="3" t="s">
        <v>12</v>
      </c>
      <c r="E87" s="3" t="s">
        <v>1496</v>
      </c>
      <c r="F87" s="3" t="s">
        <v>43</v>
      </c>
      <c r="G87" s="3"/>
    </row>
    <row r="88" spans="1:7" x14ac:dyDescent="0.25">
      <c r="A88" s="3"/>
      <c r="B88" s="3" t="s">
        <v>165</v>
      </c>
      <c r="C88" s="3" t="s">
        <v>166</v>
      </c>
      <c r="D88" s="3" t="s">
        <v>12</v>
      </c>
      <c r="E88" s="3" t="s">
        <v>167</v>
      </c>
      <c r="F88" s="3" t="s">
        <v>319</v>
      </c>
      <c r="G88" s="3"/>
    </row>
    <row r="89" spans="1:7" x14ac:dyDescent="0.25">
      <c r="A89" s="3"/>
      <c r="B89" s="3" t="s">
        <v>320</v>
      </c>
      <c r="C89" s="3" t="s">
        <v>2444</v>
      </c>
      <c r="D89" s="3" t="s">
        <v>12</v>
      </c>
      <c r="E89" s="3" t="s">
        <v>322</v>
      </c>
      <c r="F89" s="3" t="s">
        <v>43</v>
      </c>
      <c r="G89" s="3"/>
    </row>
    <row r="90" spans="1:7" x14ac:dyDescent="0.25">
      <c r="A90" s="3"/>
      <c r="B90" s="3" t="s">
        <v>323</v>
      </c>
      <c r="C90" s="3" t="s">
        <v>324</v>
      </c>
      <c r="D90" s="3" t="s">
        <v>12</v>
      </c>
      <c r="E90" s="3" t="s">
        <v>325</v>
      </c>
      <c r="F90" s="3" t="s">
        <v>326</v>
      </c>
      <c r="G90" s="3"/>
    </row>
    <row r="91" spans="1:7" x14ac:dyDescent="0.25">
      <c r="A91" s="3"/>
      <c r="B91" s="3" t="s">
        <v>2074</v>
      </c>
      <c r="C91" s="3" t="s">
        <v>2075</v>
      </c>
      <c r="D91" s="3" t="s">
        <v>12</v>
      </c>
      <c r="E91" s="3" t="s">
        <v>2076</v>
      </c>
      <c r="F91" s="3" t="s">
        <v>327</v>
      </c>
      <c r="G91" s="3"/>
    </row>
    <row r="92" spans="1:7" x14ac:dyDescent="0.25">
      <c r="A92" s="3"/>
      <c r="B92" s="3" t="s">
        <v>1497</v>
      </c>
      <c r="C92" s="3" t="s">
        <v>1498</v>
      </c>
      <c r="D92" s="3" t="s">
        <v>12</v>
      </c>
      <c r="E92" s="3" t="s">
        <v>1499</v>
      </c>
      <c r="F92" s="3" t="s">
        <v>47</v>
      </c>
      <c r="G92" s="3"/>
    </row>
    <row r="93" spans="1:7" x14ac:dyDescent="0.25">
      <c r="A93" s="3"/>
      <c r="B93" s="3" t="s">
        <v>1500</v>
      </c>
      <c r="C93" s="3" t="s">
        <v>1501</v>
      </c>
      <c r="D93" s="3" t="s">
        <v>12</v>
      </c>
      <c r="E93" s="3" t="s">
        <v>1502</v>
      </c>
      <c r="F93" s="3" t="s">
        <v>43</v>
      </c>
      <c r="G93" s="3"/>
    </row>
    <row r="94" spans="1:7" x14ac:dyDescent="0.25">
      <c r="A94" s="3"/>
      <c r="B94" s="3" t="s">
        <v>123</v>
      </c>
      <c r="C94" s="3" t="s">
        <v>124</v>
      </c>
      <c r="D94" s="3" t="s">
        <v>12</v>
      </c>
      <c r="E94" s="3" t="s">
        <v>125</v>
      </c>
      <c r="F94" s="3" t="s">
        <v>46</v>
      </c>
      <c r="G94" s="3"/>
    </row>
    <row r="95" spans="1:7" x14ac:dyDescent="0.25">
      <c r="A95" s="3"/>
      <c r="B95" s="3" t="s">
        <v>1503</v>
      </c>
      <c r="C95" s="3" t="s">
        <v>1504</v>
      </c>
      <c r="D95" s="3" t="s">
        <v>12</v>
      </c>
      <c r="E95" s="3" t="s">
        <v>1505</v>
      </c>
      <c r="F95" s="3" t="s">
        <v>43</v>
      </c>
      <c r="G95" s="3"/>
    </row>
    <row r="96" spans="1:7" x14ac:dyDescent="0.25">
      <c r="A96" s="3"/>
      <c r="B96" s="3" t="s">
        <v>328</v>
      </c>
      <c r="C96" s="3" t="s">
        <v>329</v>
      </c>
      <c r="D96" s="3" t="s">
        <v>12</v>
      </c>
      <c r="E96" s="3" t="s">
        <v>330</v>
      </c>
      <c r="F96" s="3" t="s">
        <v>46</v>
      </c>
      <c r="G96" s="3"/>
    </row>
    <row r="97" spans="1:7" x14ac:dyDescent="0.25">
      <c r="A97" s="3"/>
      <c r="B97" s="3" t="s">
        <v>331</v>
      </c>
      <c r="C97" s="3" t="s">
        <v>332</v>
      </c>
      <c r="D97" s="3" t="s">
        <v>12</v>
      </c>
      <c r="E97" s="3" t="s">
        <v>333</v>
      </c>
      <c r="F97" s="3" t="s">
        <v>46</v>
      </c>
      <c r="G97" s="3"/>
    </row>
    <row r="98" spans="1:7" x14ac:dyDescent="0.25">
      <c r="A98" s="3"/>
      <c r="B98" s="3" t="s">
        <v>334</v>
      </c>
      <c r="C98" s="3" t="s">
        <v>335</v>
      </c>
      <c r="D98" s="3" t="s">
        <v>12</v>
      </c>
      <c r="E98" s="3" t="s">
        <v>333</v>
      </c>
      <c r="F98" s="3" t="s">
        <v>336</v>
      </c>
      <c r="G98" s="3"/>
    </row>
    <row r="99" spans="1:7" x14ac:dyDescent="0.25">
      <c r="A99" s="3"/>
      <c r="B99" s="3" t="s">
        <v>337</v>
      </c>
      <c r="C99" s="3" t="s">
        <v>338</v>
      </c>
      <c r="D99" s="3" t="s">
        <v>12</v>
      </c>
      <c r="E99" s="3" t="s">
        <v>339</v>
      </c>
      <c r="F99" s="3" t="s">
        <v>46</v>
      </c>
      <c r="G99" s="3"/>
    </row>
    <row r="100" spans="1:7" x14ac:dyDescent="0.25">
      <c r="A100" s="3"/>
      <c r="B100" s="3" t="s">
        <v>1506</v>
      </c>
      <c r="C100" s="3" t="s">
        <v>1507</v>
      </c>
      <c r="D100" s="3" t="s">
        <v>12</v>
      </c>
      <c r="E100" s="3" t="s">
        <v>1508</v>
      </c>
      <c r="F100" s="3" t="s">
        <v>340</v>
      </c>
      <c r="G100" s="3"/>
    </row>
    <row r="101" spans="1:7" x14ac:dyDescent="0.25">
      <c r="A101" s="3"/>
      <c r="B101" s="3" t="s">
        <v>341</v>
      </c>
      <c r="C101" s="3" t="s">
        <v>342</v>
      </c>
      <c r="D101" s="3" t="s">
        <v>12</v>
      </c>
      <c r="E101" s="3" t="s">
        <v>343</v>
      </c>
      <c r="F101" s="3" t="s">
        <v>93</v>
      </c>
      <c r="G101" s="3"/>
    </row>
    <row r="102" spans="1:7" x14ac:dyDescent="0.25">
      <c r="A102" s="3"/>
      <c r="B102" s="3" t="s">
        <v>344</v>
      </c>
      <c r="C102" s="3" t="s">
        <v>345</v>
      </c>
      <c r="D102" s="3" t="s">
        <v>12</v>
      </c>
      <c r="E102" s="3" t="s">
        <v>346</v>
      </c>
      <c r="F102" s="3" t="s">
        <v>150</v>
      </c>
      <c r="G102" s="3"/>
    </row>
    <row r="103" spans="1:7" x14ac:dyDescent="0.25">
      <c r="A103" s="3"/>
      <c r="B103" s="3" t="s">
        <v>347</v>
      </c>
      <c r="C103" s="3" t="s">
        <v>348</v>
      </c>
      <c r="D103" s="3" t="s">
        <v>12</v>
      </c>
      <c r="E103" s="3" t="s">
        <v>349</v>
      </c>
      <c r="F103" s="3" t="s">
        <v>46</v>
      </c>
      <c r="G103" s="3"/>
    </row>
    <row r="104" spans="1:7" x14ac:dyDescent="0.25">
      <c r="A104" s="3"/>
      <c r="B104" s="3" t="s">
        <v>350</v>
      </c>
      <c r="C104" s="3" t="s">
        <v>351</v>
      </c>
      <c r="D104" s="3" t="s">
        <v>12</v>
      </c>
      <c r="E104" s="3" t="s">
        <v>352</v>
      </c>
      <c r="F104" s="3" t="s">
        <v>43</v>
      </c>
      <c r="G104" s="3"/>
    </row>
    <row r="105" spans="1:7" x14ac:dyDescent="0.25">
      <c r="A105" s="3"/>
      <c r="B105" s="3" t="s">
        <v>353</v>
      </c>
      <c r="C105" s="3" t="s">
        <v>354</v>
      </c>
      <c r="D105" s="3" t="s">
        <v>12</v>
      </c>
      <c r="E105" s="3" t="s">
        <v>355</v>
      </c>
      <c r="F105" s="3" t="s">
        <v>327</v>
      </c>
      <c r="G105" s="3"/>
    </row>
    <row r="106" spans="1:7" x14ac:dyDescent="0.25">
      <c r="A106" s="3"/>
      <c r="B106" s="3" t="s">
        <v>356</v>
      </c>
      <c r="C106" s="3" t="s">
        <v>357</v>
      </c>
      <c r="D106" s="3" t="s">
        <v>12</v>
      </c>
      <c r="E106" s="3" t="s">
        <v>358</v>
      </c>
      <c r="F106" s="3" t="s">
        <v>46</v>
      </c>
      <c r="G106" s="3"/>
    </row>
    <row r="107" spans="1:7" x14ac:dyDescent="0.25">
      <c r="A107" s="3"/>
      <c r="B107" s="3" t="s">
        <v>359</v>
      </c>
      <c r="C107" s="3" t="s">
        <v>360</v>
      </c>
      <c r="D107" s="3" t="s">
        <v>12</v>
      </c>
      <c r="E107" s="3" t="s">
        <v>361</v>
      </c>
      <c r="F107" s="3" t="s">
        <v>46</v>
      </c>
      <c r="G107" s="3"/>
    </row>
    <row r="108" spans="1:7" x14ac:dyDescent="0.25">
      <c r="A108" s="3"/>
      <c r="B108" s="3" t="s">
        <v>2077</v>
      </c>
      <c r="C108" s="3" t="s">
        <v>2078</v>
      </c>
      <c r="D108" s="3" t="s">
        <v>12</v>
      </c>
      <c r="E108" s="3" t="s">
        <v>2079</v>
      </c>
      <c r="F108" s="3" t="s">
        <v>2080</v>
      </c>
      <c r="G108" s="3"/>
    </row>
    <row r="109" spans="1:7" x14ac:dyDescent="0.25">
      <c r="A109" s="3"/>
      <c r="B109" s="3" t="s">
        <v>362</v>
      </c>
      <c r="C109" s="3" t="s">
        <v>363</v>
      </c>
      <c r="D109" s="3" t="s">
        <v>12</v>
      </c>
      <c r="E109" s="3" t="s">
        <v>364</v>
      </c>
      <c r="F109" s="3" t="s">
        <v>43</v>
      </c>
      <c r="G109" s="3"/>
    </row>
    <row r="110" spans="1:7" x14ac:dyDescent="0.25">
      <c r="A110" s="3"/>
      <c r="B110" s="3" t="s">
        <v>365</v>
      </c>
      <c r="C110" s="3" t="s">
        <v>366</v>
      </c>
      <c r="D110" s="3" t="s">
        <v>12</v>
      </c>
      <c r="E110" s="3" t="s">
        <v>207</v>
      </c>
      <c r="F110" s="3" t="s">
        <v>336</v>
      </c>
      <c r="G110" s="3"/>
    </row>
    <row r="111" spans="1:7" x14ac:dyDescent="0.25">
      <c r="A111" s="3"/>
      <c r="B111" s="3" t="s">
        <v>1509</v>
      </c>
      <c r="C111" s="3" t="s">
        <v>1510</v>
      </c>
      <c r="D111" s="3" t="s">
        <v>12</v>
      </c>
      <c r="E111" s="3" t="s">
        <v>1511</v>
      </c>
      <c r="F111" s="3" t="s">
        <v>52</v>
      </c>
      <c r="G111" s="3"/>
    </row>
    <row r="112" spans="1:7" x14ac:dyDescent="0.25">
      <c r="A112" s="3"/>
      <c r="B112" s="3" t="s">
        <v>2081</v>
      </c>
      <c r="C112" s="3" t="s">
        <v>2082</v>
      </c>
      <c r="D112" s="3" t="s">
        <v>12</v>
      </c>
      <c r="E112" s="3" t="s">
        <v>2083</v>
      </c>
      <c r="F112" s="3" t="s">
        <v>12</v>
      </c>
      <c r="G112" s="3"/>
    </row>
    <row r="113" spans="1:7" x14ac:dyDescent="0.25">
      <c r="A113" s="3"/>
      <c r="B113" s="3" t="s">
        <v>367</v>
      </c>
      <c r="C113" s="3" t="s">
        <v>368</v>
      </c>
      <c r="D113" s="3" t="s">
        <v>12</v>
      </c>
      <c r="E113" s="3" t="s">
        <v>369</v>
      </c>
      <c r="F113" s="3" t="s">
        <v>43</v>
      </c>
      <c r="G113" s="3"/>
    </row>
    <row r="114" spans="1:7" x14ac:dyDescent="0.25">
      <c r="A114" s="3"/>
      <c r="B114" s="3" t="s">
        <v>370</v>
      </c>
      <c r="C114" s="3" t="s">
        <v>371</v>
      </c>
      <c r="D114" s="3" t="s">
        <v>12</v>
      </c>
      <c r="E114" s="3" t="s">
        <v>372</v>
      </c>
      <c r="F114" s="3" t="s">
        <v>46</v>
      </c>
      <c r="G114" s="3"/>
    </row>
    <row r="115" spans="1:7" x14ac:dyDescent="0.25">
      <c r="A115" s="3"/>
      <c r="B115" s="3" t="s">
        <v>373</v>
      </c>
      <c r="C115" s="3" t="s">
        <v>374</v>
      </c>
      <c r="D115" s="3" t="s">
        <v>12</v>
      </c>
      <c r="E115" s="3" t="s">
        <v>375</v>
      </c>
      <c r="F115" s="3" t="s">
        <v>311</v>
      </c>
      <c r="G115" s="3"/>
    </row>
    <row r="116" spans="1:7" x14ac:dyDescent="0.25">
      <c r="A116" s="3"/>
      <c r="B116" s="3" t="s">
        <v>376</v>
      </c>
      <c r="C116" s="3" t="s">
        <v>377</v>
      </c>
      <c r="D116" s="3" t="s">
        <v>12</v>
      </c>
      <c r="E116" s="3" t="s">
        <v>378</v>
      </c>
      <c r="F116" s="3" t="s">
        <v>49</v>
      </c>
      <c r="G116" s="3"/>
    </row>
    <row r="117" spans="1:7" x14ac:dyDescent="0.25">
      <c r="A117" s="3"/>
      <c r="B117" s="3" t="s">
        <v>120</v>
      </c>
      <c r="C117" s="3" t="s">
        <v>121</v>
      </c>
      <c r="D117" s="3" t="s">
        <v>12</v>
      </c>
      <c r="E117" s="3" t="s">
        <v>2084</v>
      </c>
      <c r="F117" s="3" t="s">
        <v>48</v>
      </c>
      <c r="G117" s="3"/>
    </row>
    <row r="118" spans="1:7" x14ac:dyDescent="0.25">
      <c r="A118" s="3"/>
      <c r="B118" s="3" t="s">
        <v>2457</v>
      </c>
      <c r="C118" s="3" t="s">
        <v>2458</v>
      </c>
      <c r="D118" s="3" t="s">
        <v>12</v>
      </c>
      <c r="E118" s="3" t="s">
        <v>2465</v>
      </c>
      <c r="F118" s="3" t="s">
        <v>311</v>
      </c>
      <c r="G118" s="3"/>
    </row>
    <row r="119" spans="1:7" x14ac:dyDescent="0.25">
      <c r="A119" s="3"/>
      <c r="B119" s="3" t="s">
        <v>1512</v>
      </c>
      <c r="C119" s="3" t="s">
        <v>1513</v>
      </c>
      <c r="D119" s="3" t="s">
        <v>12</v>
      </c>
      <c r="E119" s="3" t="s">
        <v>1514</v>
      </c>
      <c r="F119" s="3" t="s">
        <v>327</v>
      </c>
      <c r="G119" s="3"/>
    </row>
    <row r="120" spans="1:7" x14ac:dyDescent="0.25">
      <c r="A120" s="3"/>
      <c r="B120" s="3" t="s">
        <v>379</v>
      </c>
      <c r="C120" s="3" t="s">
        <v>380</v>
      </c>
      <c r="D120" s="3" t="s">
        <v>12</v>
      </c>
      <c r="E120" s="3" t="s">
        <v>381</v>
      </c>
      <c r="F120" s="3" t="s">
        <v>311</v>
      </c>
      <c r="G120" s="3"/>
    </row>
    <row r="121" spans="1:7" x14ac:dyDescent="0.25">
      <c r="A121" s="3"/>
      <c r="B121" s="3" t="s">
        <v>1515</v>
      </c>
      <c r="C121" s="3" t="s">
        <v>1516</v>
      </c>
      <c r="D121" s="3" t="s">
        <v>12</v>
      </c>
      <c r="E121" s="3" t="s">
        <v>1517</v>
      </c>
      <c r="F121" s="3" t="s">
        <v>48</v>
      </c>
      <c r="G121" s="3"/>
    </row>
    <row r="122" spans="1:7" x14ac:dyDescent="0.25">
      <c r="A122" s="3"/>
      <c r="B122" s="3" t="s">
        <v>1518</v>
      </c>
      <c r="C122" s="3" t="s">
        <v>1519</v>
      </c>
      <c r="D122" s="3" t="s">
        <v>12</v>
      </c>
      <c r="E122" s="3" t="s">
        <v>1520</v>
      </c>
      <c r="F122" s="3" t="s">
        <v>1521</v>
      </c>
      <c r="G122" s="3"/>
    </row>
    <row r="123" spans="1:7" x14ac:dyDescent="0.25">
      <c r="A123" s="3"/>
      <c r="B123" s="3" t="s">
        <v>382</v>
      </c>
      <c r="C123" s="3" t="s">
        <v>383</v>
      </c>
      <c r="D123" s="3" t="s">
        <v>12</v>
      </c>
      <c r="E123" s="3" t="s">
        <v>384</v>
      </c>
      <c r="F123" s="3" t="s">
        <v>43</v>
      </c>
      <c r="G123" s="3"/>
    </row>
    <row r="124" spans="1:7" x14ac:dyDescent="0.25">
      <c r="A124" s="3"/>
      <c r="B124" s="3" t="s">
        <v>385</v>
      </c>
      <c r="C124" s="3" t="s">
        <v>386</v>
      </c>
      <c r="D124" s="3" t="s">
        <v>12</v>
      </c>
      <c r="E124" s="3" t="s">
        <v>387</v>
      </c>
      <c r="F124" s="3" t="s">
        <v>129</v>
      </c>
      <c r="G124" s="3"/>
    </row>
    <row r="125" spans="1:7" x14ac:dyDescent="0.25">
      <c r="A125" s="3"/>
      <c r="B125" s="3" t="s">
        <v>388</v>
      </c>
      <c r="C125" s="3" t="s">
        <v>389</v>
      </c>
      <c r="D125" s="3" t="s">
        <v>12</v>
      </c>
      <c r="E125" s="3" t="s">
        <v>390</v>
      </c>
      <c r="F125" s="3" t="s">
        <v>129</v>
      </c>
      <c r="G125" s="3"/>
    </row>
    <row r="126" spans="1:7" x14ac:dyDescent="0.25">
      <c r="A126" s="3"/>
      <c r="B126" s="3" t="s">
        <v>391</v>
      </c>
      <c r="C126" s="3" t="s">
        <v>392</v>
      </c>
      <c r="D126" s="3" t="s">
        <v>12</v>
      </c>
      <c r="E126" s="3" t="s">
        <v>393</v>
      </c>
      <c r="F126" s="3" t="s">
        <v>129</v>
      </c>
      <c r="G126" s="3"/>
    </row>
    <row r="127" spans="1:7" x14ac:dyDescent="0.25">
      <c r="A127" s="3"/>
      <c r="B127" s="3" t="s">
        <v>1522</v>
      </c>
      <c r="C127" s="3" t="s">
        <v>1523</v>
      </c>
      <c r="D127" s="3" t="s">
        <v>12</v>
      </c>
      <c r="E127" s="3" t="s">
        <v>1524</v>
      </c>
      <c r="F127" s="3" t="s">
        <v>43</v>
      </c>
      <c r="G127" s="3"/>
    </row>
    <row r="128" spans="1:7" x14ac:dyDescent="0.25">
      <c r="A128" s="3"/>
      <c r="B128" s="3" t="s">
        <v>1525</v>
      </c>
      <c r="C128" s="3" t="s">
        <v>1526</v>
      </c>
      <c r="D128" s="3" t="s">
        <v>12</v>
      </c>
      <c r="E128" s="3" t="s">
        <v>1527</v>
      </c>
      <c r="F128" s="3" t="s">
        <v>1528</v>
      </c>
      <c r="G128" s="3"/>
    </row>
    <row r="129" spans="1:7" x14ac:dyDescent="0.25">
      <c r="A129" s="3"/>
      <c r="B129" s="3" t="s">
        <v>1529</v>
      </c>
      <c r="C129" s="3" t="s">
        <v>1530</v>
      </c>
      <c r="D129" s="3" t="s">
        <v>12</v>
      </c>
      <c r="E129" s="3" t="s">
        <v>1531</v>
      </c>
      <c r="F129" s="3" t="s">
        <v>44</v>
      </c>
      <c r="G129" s="3"/>
    </row>
    <row r="130" spans="1:7" x14ac:dyDescent="0.25">
      <c r="A130" s="3"/>
      <c r="B130" s="3" t="s">
        <v>394</v>
      </c>
      <c r="C130" s="3" t="s">
        <v>395</v>
      </c>
      <c r="D130" s="3" t="s">
        <v>12</v>
      </c>
      <c r="E130" s="3" t="s">
        <v>396</v>
      </c>
      <c r="F130" s="3" t="s">
        <v>327</v>
      </c>
      <c r="G130" s="3"/>
    </row>
    <row r="131" spans="1:7" x14ac:dyDescent="0.25">
      <c r="A131" s="3"/>
      <c r="B131" s="3" t="s">
        <v>1532</v>
      </c>
      <c r="C131" s="3" t="s">
        <v>1533</v>
      </c>
      <c r="D131" s="3" t="s">
        <v>12</v>
      </c>
      <c r="E131" s="3" t="s">
        <v>1534</v>
      </c>
      <c r="F131" s="3" t="s">
        <v>93</v>
      </c>
      <c r="G131" s="3"/>
    </row>
    <row r="132" spans="1:7" x14ac:dyDescent="0.25">
      <c r="A132" s="3"/>
      <c r="B132" s="3" t="s">
        <v>1535</v>
      </c>
      <c r="C132" s="3" t="s">
        <v>1536</v>
      </c>
      <c r="D132" s="3" t="s">
        <v>12</v>
      </c>
      <c r="E132" s="3" t="s">
        <v>1537</v>
      </c>
      <c r="F132" s="3" t="s">
        <v>1538</v>
      </c>
      <c r="G132" s="3"/>
    </row>
    <row r="133" spans="1:7" x14ac:dyDescent="0.25">
      <c r="A133" s="3"/>
      <c r="B133" s="3" t="s">
        <v>1539</v>
      </c>
      <c r="C133" s="3" t="s">
        <v>1540</v>
      </c>
      <c r="D133" s="3" t="s">
        <v>12</v>
      </c>
      <c r="E133" s="3" t="s">
        <v>1541</v>
      </c>
      <c r="F133" s="3" t="s">
        <v>1542</v>
      </c>
      <c r="G133" s="3"/>
    </row>
    <row r="134" spans="1:7" x14ac:dyDescent="0.25">
      <c r="A134" s="3"/>
      <c r="B134" s="3" t="s">
        <v>397</v>
      </c>
      <c r="C134" s="3" t="s">
        <v>398</v>
      </c>
      <c r="D134" s="3" t="s">
        <v>12</v>
      </c>
      <c r="E134" s="3" t="s">
        <v>399</v>
      </c>
      <c r="F134" s="3" t="s">
        <v>311</v>
      </c>
      <c r="G134" s="3"/>
    </row>
    <row r="135" spans="1:7" x14ac:dyDescent="0.25">
      <c r="A135" s="3"/>
      <c r="B135" s="3" t="s">
        <v>1543</v>
      </c>
      <c r="C135" s="3" t="s">
        <v>1544</v>
      </c>
      <c r="D135" s="3" t="s">
        <v>12</v>
      </c>
      <c r="E135" s="3" t="s">
        <v>1545</v>
      </c>
      <c r="F135" s="3" t="s">
        <v>1546</v>
      </c>
      <c r="G135" s="3"/>
    </row>
    <row r="136" spans="1:7" x14ac:dyDescent="0.25">
      <c r="A136" s="3"/>
      <c r="B136" s="3" t="s">
        <v>400</v>
      </c>
      <c r="C136" s="3" t="s">
        <v>401</v>
      </c>
      <c r="D136" s="3" t="s">
        <v>12</v>
      </c>
      <c r="E136" s="3" t="s">
        <v>402</v>
      </c>
      <c r="F136" s="3" t="s">
        <v>340</v>
      </c>
      <c r="G136" s="3"/>
    </row>
    <row r="137" spans="1:7" x14ac:dyDescent="0.25">
      <c r="A137" s="3"/>
      <c r="B137" s="3" t="s">
        <v>403</v>
      </c>
      <c r="C137" s="3" t="s">
        <v>404</v>
      </c>
      <c r="D137" s="3" t="s">
        <v>12</v>
      </c>
      <c r="E137" s="3" t="s">
        <v>405</v>
      </c>
      <c r="F137" s="3" t="s">
        <v>406</v>
      </c>
      <c r="G137" s="3"/>
    </row>
    <row r="138" spans="1:7" x14ac:dyDescent="0.25">
      <c r="A138" s="3"/>
      <c r="B138" s="3" t="s">
        <v>407</v>
      </c>
      <c r="C138" s="3" t="s">
        <v>408</v>
      </c>
      <c r="D138" s="3" t="s">
        <v>12</v>
      </c>
      <c r="E138" s="3" t="s">
        <v>409</v>
      </c>
      <c r="F138" s="3" t="s">
        <v>44</v>
      </c>
      <c r="G138" s="3"/>
    </row>
    <row r="139" spans="1:7" x14ac:dyDescent="0.25">
      <c r="A139" s="3"/>
      <c r="B139" s="3" t="s">
        <v>2085</v>
      </c>
      <c r="C139" s="3" t="s">
        <v>2086</v>
      </c>
      <c r="D139" s="3" t="s">
        <v>12</v>
      </c>
      <c r="E139" s="3" t="s">
        <v>2087</v>
      </c>
      <c r="F139" s="3" t="s">
        <v>311</v>
      </c>
      <c r="G139" s="3"/>
    </row>
    <row r="140" spans="1:7" x14ac:dyDescent="0.25">
      <c r="A140" s="3"/>
      <c r="B140" s="3" t="s">
        <v>410</v>
      </c>
      <c r="C140" s="3" t="s">
        <v>411</v>
      </c>
      <c r="D140" s="3" t="s">
        <v>12</v>
      </c>
      <c r="E140" s="3" t="s">
        <v>412</v>
      </c>
      <c r="F140" s="3" t="s">
        <v>43</v>
      </c>
      <c r="G140" s="3"/>
    </row>
    <row r="141" spans="1:7" x14ac:dyDescent="0.25">
      <c r="A141" s="3"/>
      <c r="B141" s="3" t="s">
        <v>1547</v>
      </c>
      <c r="C141" s="3" t="s">
        <v>1548</v>
      </c>
      <c r="D141" s="3" t="s">
        <v>12</v>
      </c>
      <c r="E141" s="3" t="s">
        <v>1549</v>
      </c>
      <c r="F141" s="3" t="s">
        <v>46</v>
      </c>
      <c r="G141" s="3"/>
    </row>
    <row r="142" spans="1:7" x14ac:dyDescent="0.25">
      <c r="A142" s="3"/>
      <c r="B142" s="3" t="s">
        <v>413</v>
      </c>
      <c r="C142" s="3" t="s">
        <v>414</v>
      </c>
      <c r="D142" s="3" t="s">
        <v>12</v>
      </c>
      <c r="E142" s="3" t="s">
        <v>415</v>
      </c>
      <c r="F142" s="3" t="s">
        <v>327</v>
      </c>
      <c r="G142" s="3"/>
    </row>
    <row r="143" spans="1:7" x14ac:dyDescent="0.25">
      <c r="A143" s="3"/>
      <c r="B143" s="3" t="s">
        <v>416</v>
      </c>
      <c r="C143" s="3" t="s">
        <v>417</v>
      </c>
      <c r="D143" s="3" t="s">
        <v>12</v>
      </c>
      <c r="E143" s="3" t="s">
        <v>418</v>
      </c>
      <c r="F143" s="3" t="s">
        <v>419</v>
      </c>
      <c r="G143" s="3"/>
    </row>
    <row r="144" spans="1:7" x14ac:dyDescent="0.25">
      <c r="A144" s="3"/>
      <c r="B144" s="3" t="s">
        <v>2088</v>
      </c>
      <c r="C144" s="3" t="s">
        <v>2089</v>
      </c>
      <c r="D144" s="3" t="s">
        <v>12</v>
      </c>
      <c r="E144" s="3" t="s">
        <v>2090</v>
      </c>
      <c r="F144" s="3" t="s">
        <v>307</v>
      </c>
      <c r="G144" s="3"/>
    </row>
    <row r="145" spans="1:7" x14ac:dyDescent="0.25">
      <c r="A145" s="3"/>
      <c r="B145" s="3" t="s">
        <v>420</v>
      </c>
      <c r="C145" s="3" t="s">
        <v>421</v>
      </c>
      <c r="D145" s="3" t="s">
        <v>12</v>
      </c>
      <c r="E145" s="3" t="s">
        <v>422</v>
      </c>
      <c r="F145" s="3" t="s">
        <v>315</v>
      </c>
      <c r="G145" s="3"/>
    </row>
    <row r="146" spans="1:7" x14ac:dyDescent="0.25">
      <c r="A146" s="3"/>
      <c r="B146" s="3" t="s">
        <v>2091</v>
      </c>
      <c r="C146" s="3" t="s">
        <v>2092</v>
      </c>
      <c r="D146" s="3" t="s">
        <v>12</v>
      </c>
      <c r="E146" s="3" t="s">
        <v>2093</v>
      </c>
      <c r="F146" s="3" t="s">
        <v>1528</v>
      </c>
      <c r="G146" s="3"/>
    </row>
    <row r="147" spans="1:7" x14ac:dyDescent="0.25">
      <c r="A147" s="3"/>
      <c r="B147" s="3" t="s">
        <v>1550</v>
      </c>
      <c r="C147" s="3" t="s">
        <v>1551</v>
      </c>
      <c r="D147" s="3" t="s">
        <v>12</v>
      </c>
      <c r="E147" s="3" t="s">
        <v>1552</v>
      </c>
      <c r="F147" s="3" t="s">
        <v>44</v>
      </c>
      <c r="G147" s="3"/>
    </row>
    <row r="148" spans="1:7" x14ac:dyDescent="0.25">
      <c r="A148" s="3"/>
      <c r="B148" s="3" t="s">
        <v>1553</v>
      </c>
      <c r="C148" s="3" t="s">
        <v>1554</v>
      </c>
      <c r="D148" s="3" t="s">
        <v>12</v>
      </c>
      <c r="E148" s="3" t="s">
        <v>1555</v>
      </c>
      <c r="F148" s="3" t="s">
        <v>1528</v>
      </c>
      <c r="G148" s="3"/>
    </row>
    <row r="149" spans="1:7" x14ac:dyDescent="0.25">
      <c r="A149" s="3"/>
      <c r="B149" s="3" t="s">
        <v>423</v>
      </c>
      <c r="C149" s="3" t="s">
        <v>424</v>
      </c>
      <c r="D149" s="3" t="s">
        <v>12</v>
      </c>
      <c r="E149" s="3" t="s">
        <v>425</v>
      </c>
      <c r="F149" s="3" t="s">
        <v>327</v>
      </c>
      <c r="G149" s="3"/>
    </row>
    <row r="150" spans="1:7" x14ac:dyDescent="0.25">
      <c r="A150" s="3"/>
      <c r="B150" s="3" t="s">
        <v>2094</v>
      </c>
      <c r="C150" s="3" t="s">
        <v>2095</v>
      </c>
      <c r="D150" s="3" t="s">
        <v>12</v>
      </c>
      <c r="E150" s="3" t="s">
        <v>2096</v>
      </c>
      <c r="F150" s="3" t="s">
        <v>327</v>
      </c>
      <c r="G150" s="3"/>
    </row>
    <row r="151" spans="1:7" x14ac:dyDescent="0.25">
      <c r="A151" s="3"/>
      <c r="B151" s="3" t="s">
        <v>426</v>
      </c>
      <c r="C151" s="3" t="s">
        <v>427</v>
      </c>
      <c r="D151" s="3" t="s">
        <v>12</v>
      </c>
      <c r="E151" s="3" t="s">
        <v>428</v>
      </c>
      <c r="F151" s="3" t="s">
        <v>327</v>
      </c>
      <c r="G151" s="3"/>
    </row>
    <row r="152" spans="1:7" x14ac:dyDescent="0.25">
      <c r="A152" s="3"/>
      <c r="B152" s="3" t="s">
        <v>429</v>
      </c>
      <c r="C152" s="3" t="s">
        <v>430</v>
      </c>
      <c r="D152" s="3" t="s">
        <v>12</v>
      </c>
      <c r="E152" s="3" t="s">
        <v>431</v>
      </c>
      <c r="F152" s="3" t="s">
        <v>44</v>
      </c>
      <c r="G152" s="3"/>
    </row>
    <row r="153" spans="1:7" x14ac:dyDescent="0.25">
      <c r="A153" s="3"/>
      <c r="B153" s="3" t="s">
        <v>2097</v>
      </c>
      <c r="C153" s="3" t="s">
        <v>2098</v>
      </c>
      <c r="D153" s="3" t="s">
        <v>12</v>
      </c>
      <c r="E153" s="3" t="s">
        <v>2099</v>
      </c>
      <c r="F153" s="3" t="s">
        <v>47</v>
      </c>
      <c r="G153" s="3"/>
    </row>
    <row r="154" spans="1:7" x14ac:dyDescent="0.25">
      <c r="A154" s="3"/>
      <c r="B154" s="3" t="s">
        <v>432</v>
      </c>
      <c r="C154" s="3" t="s">
        <v>433</v>
      </c>
      <c r="D154" s="3" t="s">
        <v>12</v>
      </c>
      <c r="E154" s="3" t="s">
        <v>434</v>
      </c>
      <c r="F154" s="3" t="s">
        <v>43</v>
      </c>
      <c r="G154" s="3"/>
    </row>
    <row r="155" spans="1:7" x14ac:dyDescent="0.25">
      <c r="A155" s="3"/>
      <c r="B155" s="3" t="s">
        <v>435</v>
      </c>
      <c r="C155" s="3" t="s">
        <v>436</v>
      </c>
      <c r="D155" s="3" t="s">
        <v>12</v>
      </c>
      <c r="E155" s="3" t="s">
        <v>437</v>
      </c>
      <c r="F155" s="3" t="s">
        <v>48</v>
      </c>
      <c r="G155" s="3"/>
    </row>
    <row r="156" spans="1:7" x14ac:dyDescent="0.25">
      <c r="A156" s="3"/>
      <c r="B156" s="3" t="s">
        <v>1556</v>
      </c>
      <c r="C156" s="3" t="s">
        <v>1557</v>
      </c>
      <c r="D156" s="3" t="s">
        <v>12</v>
      </c>
      <c r="E156" s="3" t="s">
        <v>1558</v>
      </c>
      <c r="F156" s="3" t="s">
        <v>47</v>
      </c>
      <c r="G156" s="3"/>
    </row>
    <row r="157" spans="1:7" x14ac:dyDescent="0.25">
      <c r="A157" s="3"/>
      <c r="B157" s="3" t="s">
        <v>1559</v>
      </c>
      <c r="C157" s="3" t="s">
        <v>1560</v>
      </c>
      <c r="D157" s="3" t="s">
        <v>12</v>
      </c>
      <c r="E157" s="3" t="s">
        <v>1561</v>
      </c>
      <c r="F157" s="3" t="s">
        <v>48</v>
      </c>
      <c r="G157" s="3"/>
    </row>
    <row r="158" spans="1:7" x14ac:dyDescent="0.25">
      <c r="A158" s="3"/>
      <c r="B158" s="3" t="s">
        <v>2100</v>
      </c>
      <c r="C158" s="3" t="s">
        <v>2101</v>
      </c>
      <c r="D158" s="3" t="s">
        <v>12</v>
      </c>
      <c r="E158" s="3" t="s">
        <v>2102</v>
      </c>
      <c r="F158" s="3" t="s">
        <v>48</v>
      </c>
      <c r="G158" s="3"/>
    </row>
    <row r="159" spans="1:7" x14ac:dyDescent="0.25">
      <c r="A159" s="3"/>
      <c r="B159" s="3" t="s">
        <v>438</v>
      </c>
      <c r="C159" s="3" t="s">
        <v>439</v>
      </c>
      <c r="D159" s="3" t="s">
        <v>12</v>
      </c>
      <c r="E159" s="3" t="s">
        <v>440</v>
      </c>
      <c r="F159" s="3" t="s">
        <v>48</v>
      </c>
      <c r="G159" s="3"/>
    </row>
    <row r="160" spans="1:7" x14ac:dyDescent="0.25">
      <c r="A160" s="3"/>
      <c r="B160" s="3" t="s">
        <v>75</v>
      </c>
      <c r="C160" s="3" t="s">
        <v>76</v>
      </c>
      <c r="D160" s="3" t="s">
        <v>12</v>
      </c>
      <c r="E160" s="3" t="s">
        <v>1562</v>
      </c>
      <c r="F160" s="3" t="s">
        <v>1563</v>
      </c>
      <c r="G160" s="3"/>
    </row>
    <row r="161" spans="1:7" x14ac:dyDescent="0.25">
      <c r="A161" s="3"/>
      <c r="B161" s="3" t="s">
        <v>1378</v>
      </c>
      <c r="C161" s="3" t="s">
        <v>1379</v>
      </c>
      <c r="D161" s="3" t="s">
        <v>12</v>
      </c>
      <c r="E161" s="3" t="s">
        <v>1380</v>
      </c>
      <c r="F161" s="3" t="s">
        <v>44</v>
      </c>
      <c r="G161" s="3"/>
    </row>
    <row r="162" spans="1:7" x14ac:dyDescent="0.25">
      <c r="A162" s="3"/>
      <c r="B162" s="3" t="s">
        <v>441</v>
      </c>
      <c r="C162" s="3" t="s">
        <v>442</v>
      </c>
      <c r="D162" s="3" t="s">
        <v>12</v>
      </c>
      <c r="E162" s="3" t="s">
        <v>443</v>
      </c>
      <c r="F162" s="3" t="s">
        <v>129</v>
      </c>
      <c r="G162" s="3"/>
    </row>
    <row r="163" spans="1:7" x14ac:dyDescent="0.25">
      <c r="A163" s="3"/>
      <c r="B163" s="3" t="s">
        <v>444</v>
      </c>
      <c r="C163" s="3" t="s">
        <v>445</v>
      </c>
      <c r="D163" s="3" t="s">
        <v>12</v>
      </c>
      <c r="E163" s="3" t="s">
        <v>446</v>
      </c>
      <c r="F163" s="3" t="s">
        <v>44</v>
      </c>
      <c r="G163" s="3"/>
    </row>
    <row r="164" spans="1:7" x14ac:dyDescent="0.25">
      <c r="A164" s="3"/>
      <c r="B164" s="3" t="s">
        <v>1564</v>
      </c>
      <c r="C164" s="3" t="s">
        <v>1565</v>
      </c>
      <c r="D164" s="3" t="s">
        <v>12</v>
      </c>
      <c r="E164" s="3" t="s">
        <v>1566</v>
      </c>
      <c r="F164" s="3" t="s">
        <v>340</v>
      </c>
      <c r="G164" s="3"/>
    </row>
    <row r="165" spans="1:7" x14ac:dyDescent="0.25">
      <c r="A165" s="3"/>
      <c r="B165" s="3" t="s">
        <v>447</v>
      </c>
      <c r="C165" s="3" t="s">
        <v>448</v>
      </c>
      <c r="D165" s="3" t="s">
        <v>12</v>
      </c>
      <c r="E165" s="3" t="s">
        <v>449</v>
      </c>
      <c r="F165" s="3" t="s">
        <v>45</v>
      </c>
      <c r="G165" s="3"/>
    </row>
    <row r="166" spans="1:7" x14ac:dyDescent="0.25">
      <c r="A166" s="3"/>
      <c r="B166" s="3" t="s">
        <v>1567</v>
      </c>
      <c r="C166" s="3" t="s">
        <v>1568</v>
      </c>
      <c r="D166" s="3" t="s">
        <v>12</v>
      </c>
      <c r="E166" s="3" t="s">
        <v>1569</v>
      </c>
      <c r="F166" s="3" t="s">
        <v>1570</v>
      </c>
      <c r="G166" s="3"/>
    </row>
    <row r="167" spans="1:7" x14ac:dyDescent="0.25">
      <c r="A167" s="3"/>
      <c r="B167" s="3" t="s">
        <v>450</v>
      </c>
      <c r="C167" s="3" t="s">
        <v>451</v>
      </c>
      <c r="D167" s="3" t="s">
        <v>12</v>
      </c>
      <c r="E167" s="3" t="s">
        <v>452</v>
      </c>
      <c r="F167" s="3" t="s">
        <v>49</v>
      </c>
      <c r="G167" s="3"/>
    </row>
    <row r="168" spans="1:7" x14ac:dyDescent="0.25">
      <c r="A168" s="3"/>
      <c r="B168" s="3" t="s">
        <v>2103</v>
      </c>
      <c r="C168" s="3" t="s">
        <v>2104</v>
      </c>
      <c r="D168" s="3" t="s">
        <v>12</v>
      </c>
      <c r="E168" s="3" t="s">
        <v>452</v>
      </c>
      <c r="F168" s="3" t="s">
        <v>46</v>
      </c>
      <c r="G168" s="3"/>
    </row>
    <row r="169" spans="1:7" x14ac:dyDescent="0.25">
      <c r="A169" s="3"/>
      <c r="B169" s="3" t="s">
        <v>2105</v>
      </c>
      <c r="C169" s="3" t="s">
        <v>2106</v>
      </c>
      <c r="D169" s="3" t="s">
        <v>12</v>
      </c>
      <c r="E169" s="3" t="s">
        <v>2107</v>
      </c>
      <c r="F169" s="3" t="s">
        <v>1528</v>
      </c>
      <c r="G169" s="3"/>
    </row>
    <row r="170" spans="1:7" x14ac:dyDescent="0.25">
      <c r="A170" s="3"/>
      <c r="B170" s="3" t="s">
        <v>453</v>
      </c>
      <c r="C170" s="3" t="s">
        <v>454</v>
      </c>
      <c r="D170" s="3" t="s">
        <v>12</v>
      </c>
      <c r="E170" s="3" t="s">
        <v>455</v>
      </c>
      <c r="F170" s="3" t="s">
        <v>44</v>
      </c>
      <c r="G170" s="3"/>
    </row>
    <row r="171" spans="1:7" x14ac:dyDescent="0.25">
      <c r="A171" s="3"/>
      <c r="B171" s="3" t="s">
        <v>101</v>
      </c>
      <c r="C171" s="3" t="s">
        <v>102</v>
      </c>
      <c r="D171" s="3" t="s">
        <v>12</v>
      </c>
      <c r="E171" s="3" t="s">
        <v>103</v>
      </c>
      <c r="F171" s="3" t="s">
        <v>46</v>
      </c>
      <c r="G171" s="3"/>
    </row>
    <row r="172" spans="1:7" x14ac:dyDescent="0.25">
      <c r="A172" s="3"/>
      <c r="B172" s="3" t="s">
        <v>1571</v>
      </c>
      <c r="C172" s="3" t="s">
        <v>1572</v>
      </c>
      <c r="D172" s="3" t="s">
        <v>12</v>
      </c>
      <c r="E172" s="3" t="s">
        <v>1573</v>
      </c>
      <c r="F172" s="3" t="s">
        <v>46</v>
      </c>
      <c r="G172" s="3"/>
    </row>
    <row r="173" spans="1:7" x14ac:dyDescent="0.25">
      <c r="A173" s="3"/>
      <c r="B173" s="3" t="s">
        <v>456</v>
      </c>
      <c r="C173" s="3" t="s">
        <v>457</v>
      </c>
      <c r="D173" s="3" t="s">
        <v>12</v>
      </c>
      <c r="E173" s="3" t="s">
        <v>458</v>
      </c>
      <c r="F173" s="3" t="s">
        <v>129</v>
      </c>
      <c r="G173" s="3"/>
    </row>
    <row r="174" spans="1:7" x14ac:dyDescent="0.25">
      <c r="A174" s="3"/>
      <c r="B174" s="3" t="s">
        <v>1574</v>
      </c>
      <c r="C174" s="3" t="s">
        <v>1575</v>
      </c>
      <c r="D174" s="3" t="s">
        <v>12</v>
      </c>
      <c r="E174" s="3" t="s">
        <v>1576</v>
      </c>
      <c r="F174" s="3" t="s">
        <v>48</v>
      </c>
      <c r="G174" s="3"/>
    </row>
    <row r="175" spans="1:7" x14ac:dyDescent="0.25">
      <c r="A175" s="3"/>
      <c r="B175" s="3" t="s">
        <v>459</v>
      </c>
      <c r="C175" s="3" t="s">
        <v>460</v>
      </c>
      <c r="D175" s="3" t="s">
        <v>12</v>
      </c>
      <c r="E175" s="3" t="s">
        <v>461</v>
      </c>
      <c r="F175" s="3" t="s">
        <v>43</v>
      </c>
      <c r="G175" s="3"/>
    </row>
    <row r="176" spans="1:7" x14ac:dyDescent="0.25">
      <c r="A176" s="3"/>
      <c r="B176" s="3" t="s">
        <v>2403</v>
      </c>
      <c r="C176" s="3" t="s">
        <v>2404</v>
      </c>
      <c r="D176" s="3" t="s">
        <v>12</v>
      </c>
      <c r="E176" s="3" t="s">
        <v>2407</v>
      </c>
      <c r="F176" s="3" t="s">
        <v>43</v>
      </c>
      <c r="G176" s="3"/>
    </row>
    <row r="177" spans="1:7" x14ac:dyDescent="0.25">
      <c r="A177" s="3"/>
      <c r="B177" s="3" t="s">
        <v>462</v>
      </c>
      <c r="C177" s="3" t="s">
        <v>463</v>
      </c>
      <c r="D177" s="3" t="s">
        <v>12</v>
      </c>
      <c r="E177" s="3" t="s">
        <v>464</v>
      </c>
      <c r="F177" s="3" t="s">
        <v>46</v>
      </c>
      <c r="G177" s="3"/>
    </row>
    <row r="178" spans="1:7" x14ac:dyDescent="0.25">
      <c r="A178" s="3"/>
      <c r="B178" s="3" t="s">
        <v>78</v>
      </c>
      <c r="C178" s="3" t="s">
        <v>79</v>
      </c>
      <c r="D178" s="3" t="s">
        <v>12</v>
      </c>
      <c r="E178" s="3" t="s">
        <v>80</v>
      </c>
      <c r="F178" s="3" t="s">
        <v>52</v>
      </c>
      <c r="G178" s="3"/>
    </row>
    <row r="179" spans="1:7" x14ac:dyDescent="0.25">
      <c r="A179" s="3"/>
      <c r="B179" s="3" t="s">
        <v>81</v>
      </c>
      <c r="C179" s="3" t="s">
        <v>82</v>
      </c>
      <c r="D179" s="3" t="s">
        <v>12</v>
      </c>
      <c r="E179" s="3" t="s">
        <v>80</v>
      </c>
      <c r="F179" s="3" t="s">
        <v>49</v>
      </c>
      <c r="G179" s="3"/>
    </row>
    <row r="180" spans="1:7" x14ac:dyDescent="0.25">
      <c r="A180" s="3"/>
      <c r="B180" s="3" t="s">
        <v>465</v>
      </c>
      <c r="C180" s="3" t="s">
        <v>466</v>
      </c>
      <c r="D180" s="3" t="s">
        <v>12</v>
      </c>
      <c r="E180" s="3" t="s">
        <v>467</v>
      </c>
      <c r="F180" s="3" t="s">
        <v>44</v>
      </c>
      <c r="G180" s="3"/>
    </row>
    <row r="181" spans="1:7" x14ac:dyDescent="0.25">
      <c r="A181" s="3"/>
      <c r="B181" s="3" t="s">
        <v>468</v>
      </c>
      <c r="C181" s="3" t="s">
        <v>469</v>
      </c>
      <c r="D181" s="3" t="s">
        <v>12</v>
      </c>
      <c r="E181" s="3" t="s">
        <v>470</v>
      </c>
      <c r="F181" s="3" t="s">
        <v>43</v>
      </c>
      <c r="G181" s="3"/>
    </row>
    <row r="182" spans="1:7" x14ac:dyDescent="0.25">
      <c r="A182" s="3"/>
      <c r="B182" s="3" t="s">
        <v>1577</v>
      </c>
      <c r="C182" s="3" t="s">
        <v>1578</v>
      </c>
      <c r="D182" s="3" t="s">
        <v>12</v>
      </c>
      <c r="E182" s="3" t="s">
        <v>1579</v>
      </c>
      <c r="F182" s="3" t="s">
        <v>46</v>
      </c>
      <c r="G182" s="3"/>
    </row>
    <row r="183" spans="1:7" x14ac:dyDescent="0.25">
      <c r="A183" s="3"/>
      <c r="B183" s="3" t="s">
        <v>471</v>
      </c>
      <c r="C183" s="3" t="s">
        <v>472</v>
      </c>
      <c r="D183" s="3" t="s">
        <v>12</v>
      </c>
      <c r="E183" s="3" t="s">
        <v>473</v>
      </c>
      <c r="F183" s="3" t="s">
        <v>43</v>
      </c>
      <c r="G183" s="3"/>
    </row>
    <row r="184" spans="1:7" x14ac:dyDescent="0.25">
      <c r="A184" s="3"/>
      <c r="B184" s="3" t="s">
        <v>474</v>
      </c>
      <c r="C184" s="3" t="s">
        <v>475</v>
      </c>
      <c r="D184" s="3" t="s">
        <v>12</v>
      </c>
      <c r="E184" s="3" t="s">
        <v>476</v>
      </c>
      <c r="F184" s="3" t="s">
        <v>46</v>
      </c>
      <c r="G184" s="3"/>
    </row>
    <row r="185" spans="1:7" x14ac:dyDescent="0.25">
      <c r="A185" s="3"/>
      <c r="B185" s="3" t="s">
        <v>477</v>
      </c>
      <c r="C185" s="3" t="s">
        <v>478</v>
      </c>
      <c r="D185" s="3" t="s">
        <v>12</v>
      </c>
      <c r="E185" s="3" t="s">
        <v>476</v>
      </c>
      <c r="F185" s="3" t="s">
        <v>46</v>
      </c>
      <c r="G185" s="3"/>
    </row>
    <row r="186" spans="1:7" x14ac:dyDescent="0.25">
      <c r="A186" s="3"/>
      <c r="B186" s="3" t="s">
        <v>2424</v>
      </c>
      <c r="C186" s="3" t="s">
        <v>2425</v>
      </c>
      <c r="D186" s="3" t="s">
        <v>12</v>
      </c>
      <c r="E186" s="3" t="s">
        <v>2428</v>
      </c>
      <c r="F186" s="3" t="s">
        <v>319</v>
      </c>
      <c r="G186" s="3"/>
    </row>
    <row r="187" spans="1:7" x14ac:dyDescent="0.25">
      <c r="A187" s="3"/>
      <c r="B187" s="3" t="s">
        <v>1580</v>
      </c>
      <c r="C187" s="3" t="s">
        <v>2369</v>
      </c>
      <c r="D187" s="3" t="s">
        <v>12</v>
      </c>
      <c r="E187" s="3" t="s">
        <v>1383</v>
      </c>
      <c r="F187" s="3" t="s">
        <v>43</v>
      </c>
      <c r="G187" s="3"/>
    </row>
    <row r="188" spans="1:7" x14ac:dyDescent="0.25">
      <c r="A188" s="3"/>
      <c r="B188" s="3" t="s">
        <v>1381</v>
      </c>
      <c r="C188" s="3" t="s">
        <v>1581</v>
      </c>
      <c r="D188" s="3" t="s">
        <v>12</v>
      </c>
      <c r="E188" s="3" t="s">
        <v>2370</v>
      </c>
      <c r="F188" s="3" t="s">
        <v>43</v>
      </c>
      <c r="G188" s="3"/>
    </row>
    <row r="189" spans="1:7" x14ac:dyDescent="0.25">
      <c r="A189" s="3"/>
      <c r="B189" s="3" t="s">
        <v>479</v>
      </c>
      <c r="C189" s="3" t="s">
        <v>480</v>
      </c>
      <c r="D189" s="3" t="s">
        <v>12</v>
      </c>
      <c r="E189" s="3" t="s">
        <v>481</v>
      </c>
      <c r="F189" s="3" t="s">
        <v>46</v>
      </c>
      <c r="G189" s="3"/>
    </row>
    <row r="190" spans="1:7" x14ac:dyDescent="0.25">
      <c r="A190" s="3"/>
      <c r="B190" s="3" t="s">
        <v>482</v>
      </c>
      <c r="C190" s="3" t="s">
        <v>483</v>
      </c>
      <c r="D190" s="3" t="s">
        <v>12</v>
      </c>
      <c r="E190" s="3" t="s">
        <v>484</v>
      </c>
      <c r="F190" s="3" t="s">
        <v>100</v>
      </c>
      <c r="G190" s="3"/>
    </row>
    <row r="191" spans="1:7" x14ac:dyDescent="0.25">
      <c r="A191" s="3"/>
      <c r="B191" s="3" t="s">
        <v>1582</v>
      </c>
      <c r="C191" s="3" t="s">
        <v>1583</v>
      </c>
      <c r="D191" s="3" t="s">
        <v>12</v>
      </c>
      <c r="E191" s="3" t="s">
        <v>1584</v>
      </c>
      <c r="F191" s="3" t="s">
        <v>43</v>
      </c>
      <c r="G191" s="3"/>
    </row>
    <row r="192" spans="1:7" x14ac:dyDescent="0.25">
      <c r="A192" s="3"/>
      <c r="B192" s="3" t="s">
        <v>2108</v>
      </c>
      <c r="C192" s="3" t="s">
        <v>2109</v>
      </c>
      <c r="D192" s="3" t="s">
        <v>12</v>
      </c>
      <c r="E192" s="3" t="s">
        <v>2110</v>
      </c>
      <c r="F192" s="3" t="s">
        <v>1591</v>
      </c>
      <c r="G192" s="3"/>
    </row>
    <row r="193" spans="1:7" x14ac:dyDescent="0.25">
      <c r="A193" s="3"/>
      <c r="B193" s="3" t="s">
        <v>91</v>
      </c>
      <c r="C193" s="3" t="s">
        <v>146</v>
      </c>
      <c r="D193" s="3" t="s">
        <v>12</v>
      </c>
      <c r="E193" s="3" t="s">
        <v>92</v>
      </c>
      <c r="F193" s="3" t="s">
        <v>93</v>
      </c>
      <c r="G193" s="3"/>
    </row>
    <row r="194" spans="1:7" x14ac:dyDescent="0.25">
      <c r="A194" s="3"/>
      <c r="B194" s="3" t="s">
        <v>485</v>
      </c>
      <c r="C194" s="3" t="s">
        <v>486</v>
      </c>
      <c r="D194" s="3" t="s">
        <v>12</v>
      </c>
      <c r="E194" s="3" t="s">
        <v>487</v>
      </c>
      <c r="F194" s="3" t="s">
        <v>44</v>
      </c>
      <c r="G194" s="3"/>
    </row>
    <row r="195" spans="1:7" x14ac:dyDescent="0.25">
      <c r="A195" s="3"/>
      <c r="B195" s="3" t="s">
        <v>1585</v>
      </c>
      <c r="C195" s="3" t="s">
        <v>1586</v>
      </c>
      <c r="D195" s="3" t="s">
        <v>12</v>
      </c>
      <c r="E195" s="3" t="s">
        <v>1587</v>
      </c>
      <c r="F195" s="3" t="s">
        <v>44</v>
      </c>
      <c r="G195" s="3"/>
    </row>
    <row r="196" spans="1:7" x14ac:dyDescent="0.25">
      <c r="A196" s="3"/>
      <c r="B196" s="3" t="s">
        <v>1588</v>
      </c>
      <c r="C196" s="3" t="s">
        <v>1589</v>
      </c>
      <c r="D196" s="3" t="s">
        <v>12</v>
      </c>
      <c r="E196" s="3" t="s">
        <v>1590</v>
      </c>
      <c r="F196" s="3" t="s">
        <v>1591</v>
      </c>
      <c r="G196" s="3"/>
    </row>
    <row r="197" spans="1:7" x14ac:dyDescent="0.25">
      <c r="A197" s="3"/>
      <c r="B197" s="3" t="s">
        <v>488</v>
      </c>
      <c r="C197" s="3" t="s">
        <v>489</v>
      </c>
      <c r="D197" s="3" t="s">
        <v>12</v>
      </c>
      <c r="E197" s="3" t="s">
        <v>490</v>
      </c>
      <c r="F197" s="3" t="s">
        <v>93</v>
      </c>
      <c r="G197" s="3"/>
    </row>
    <row r="198" spans="1:7" x14ac:dyDescent="0.25">
      <c r="A198" s="3"/>
      <c r="B198" s="3" t="s">
        <v>2111</v>
      </c>
      <c r="C198" s="3" t="s">
        <v>2112</v>
      </c>
      <c r="D198" s="3" t="s">
        <v>12</v>
      </c>
      <c r="E198" s="3" t="s">
        <v>2113</v>
      </c>
      <c r="F198" s="3" t="s">
        <v>129</v>
      </c>
      <c r="G198" s="3"/>
    </row>
    <row r="199" spans="1:7" x14ac:dyDescent="0.25">
      <c r="A199" s="3"/>
      <c r="B199" s="3" t="s">
        <v>491</v>
      </c>
      <c r="C199" s="3" t="s">
        <v>492</v>
      </c>
      <c r="D199" s="3" t="s">
        <v>12</v>
      </c>
      <c r="E199" s="3" t="s">
        <v>493</v>
      </c>
      <c r="F199" s="3" t="s">
        <v>48</v>
      </c>
      <c r="G199" s="3"/>
    </row>
    <row r="200" spans="1:7" x14ac:dyDescent="0.25">
      <c r="A200" s="3"/>
      <c r="B200" s="3" t="s">
        <v>1592</v>
      </c>
      <c r="C200" s="3" t="s">
        <v>1593</v>
      </c>
      <c r="D200" s="3" t="s">
        <v>12</v>
      </c>
      <c r="E200" s="3" t="s">
        <v>1594</v>
      </c>
      <c r="F200" s="3" t="s">
        <v>43</v>
      </c>
      <c r="G200" s="3"/>
    </row>
    <row r="201" spans="1:7" x14ac:dyDescent="0.25">
      <c r="A201" s="3"/>
      <c r="B201" s="3" t="s">
        <v>494</v>
      </c>
      <c r="C201" s="3" t="s">
        <v>495</v>
      </c>
      <c r="D201" s="3" t="s">
        <v>12</v>
      </c>
      <c r="E201" s="3" t="s">
        <v>496</v>
      </c>
      <c r="F201" s="3" t="s">
        <v>311</v>
      </c>
      <c r="G201" s="3"/>
    </row>
    <row r="202" spans="1:7" x14ac:dyDescent="0.25">
      <c r="A202" s="3"/>
      <c r="B202" s="3" t="s">
        <v>2114</v>
      </c>
      <c r="C202" s="3" t="s">
        <v>2115</v>
      </c>
      <c r="D202" s="3" t="s">
        <v>12</v>
      </c>
      <c r="E202" s="3" t="s">
        <v>2116</v>
      </c>
      <c r="F202" s="3" t="s">
        <v>327</v>
      </c>
      <c r="G202" s="3"/>
    </row>
    <row r="203" spans="1:7" x14ac:dyDescent="0.25">
      <c r="A203" s="3"/>
      <c r="B203" s="3" t="s">
        <v>497</v>
      </c>
      <c r="C203" s="3" t="s">
        <v>498</v>
      </c>
      <c r="D203" s="3" t="s">
        <v>12</v>
      </c>
      <c r="E203" s="3" t="s">
        <v>499</v>
      </c>
      <c r="F203" s="3" t="s">
        <v>43</v>
      </c>
      <c r="G203" s="3"/>
    </row>
    <row r="204" spans="1:7" x14ac:dyDescent="0.25">
      <c r="A204" s="3"/>
      <c r="B204" s="3" t="s">
        <v>500</v>
      </c>
      <c r="C204" s="3" t="s">
        <v>501</v>
      </c>
      <c r="D204" s="3" t="s">
        <v>12</v>
      </c>
      <c r="E204" s="3" t="s">
        <v>502</v>
      </c>
      <c r="F204" s="3" t="s">
        <v>129</v>
      </c>
      <c r="G204" s="3"/>
    </row>
    <row r="205" spans="1:7" x14ac:dyDescent="0.25">
      <c r="A205" s="3"/>
      <c r="B205" s="3" t="s">
        <v>503</v>
      </c>
      <c r="C205" s="3" t="s">
        <v>504</v>
      </c>
      <c r="D205" s="3" t="s">
        <v>12</v>
      </c>
      <c r="E205" s="3" t="s">
        <v>505</v>
      </c>
      <c r="F205" s="3" t="s">
        <v>100</v>
      </c>
      <c r="G205" s="3"/>
    </row>
    <row r="206" spans="1:7" x14ac:dyDescent="0.25">
      <c r="A206" s="3"/>
      <c r="B206" s="3" t="s">
        <v>506</v>
      </c>
      <c r="C206" s="3" t="s">
        <v>507</v>
      </c>
      <c r="D206" s="3" t="s">
        <v>12</v>
      </c>
      <c r="E206" s="3" t="s">
        <v>508</v>
      </c>
      <c r="F206" s="3" t="s">
        <v>116</v>
      </c>
      <c r="G206" s="3"/>
    </row>
    <row r="207" spans="1:7" x14ac:dyDescent="0.25">
      <c r="A207" s="3"/>
      <c r="B207" s="3" t="s">
        <v>2117</v>
      </c>
      <c r="C207" s="3" t="s">
        <v>2118</v>
      </c>
      <c r="D207" s="3" t="s">
        <v>12</v>
      </c>
      <c r="E207" s="3" t="s">
        <v>2119</v>
      </c>
      <c r="F207" s="3" t="s">
        <v>129</v>
      </c>
      <c r="G207" s="3"/>
    </row>
    <row r="208" spans="1:7" x14ac:dyDescent="0.25">
      <c r="A208" s="3"/>
      <c r="B208" s="3" t="s">
        <v>1595</v>
      </c>
      <c r="C208" s="3" t="s">
        <v>1596</v>
      </c>
      <c r="D208" s="3" t="s">
        <v>12</v>
      </c>
      <c r="E208" s="3" t="s">
        <v>1597</v>
      </c>
      <c r="F208" s="3" t="s">
        <v>1598</v>
      </c>
      <c r="G208" s="3"/>
    </row>
    <row r="209" spans="1:7" x14ac:dyDescent="0.25">
      <c r="A209" s="3"/>
      <c r="B209" s="3" t="s">
        <v>509</v>
      </c>
      <c r="C209" s="3" t="s">
        <v>510</v>
      </c>
      <c r="D209" s="3" t="s">
        <v>12</v>
      </c>
      <c r="E209" s="3" t="s">
        <v>511</v>
      </c>
      <c r="F209" s="3" t="s">
        <v>46</v>
      </c>
      <c r="G209" s="3"/>
    </row>
    <row r="210" spans="1:7" x14ac:dyDescent="0.25">
      <c r="A210" s="3"/>
      <c r="B210" s="3" t="s">
        <v>512</v>
      </c>
      <c r="C210" s="3" t="s">
        <v>513</v>
      </c>
      <c r="D210" s="3" t="s">
        <v>12</v>
      </c>
      <c r="E210" s="3" t="s">
        <v>514</v>
      </c>
      <c r="F210" s="3" t="s">
        <v>311</v>
      </c>
      <c r="G210" s="3"/>
    </row>
    <row r="211" spans="1:7" x14ac:dyDescent="0.25">
      <c r="A211" s="3"/>
      <c r="B211" s="3" t="s">
        <v>515</v>
      </c>
      <c r="C211" s="3" t="s">
        <v>516</v>
      </c>
      <c r="D211" s="3" t="s">
        <v>12</v>
      </c>
      <c r="E211" s="3" t="s">
        <v>517</v>
      </c>
      <c r="F211" s="3" t="s">
        <v>311</v>
      </c>
      <c r="G211" s="3"/>
    </row>
    <row r="212" spans="1:7" x14ac:dyDescent="0.25">
      <c r="A212" s="3"/>
      <c r="B212" s="3" t="s">
        <v>518</v>
      </c>
      <c r="C212" s="3" t="s">
        <v>519</v>
      </c>
      <c r="D212" s="3" t="s">
        <v>12</v>
      </c>
      <c r="E212" s="3" t="s">
        <v>520</v>
      </c>
      <c r="F212" s="3" t="s">
        <v>129</v>
      </c>
      <c r="G212" s="3"/>
    </row>
    <row r="213" spans="1:7" x14ac:dyDescent="0.25">
      <c r="A213" s="3"/>
      <c r="B213" s="3" t="s">
        <v>2120</v>
      </c>
      <c r="C213" s="3" t="s">
        <v>2121</v>
      </c>
      <c r="D213" s="3" t="s">
        <v>12</v>
      </c>
      <c r="E213" s="3" t="s">
        <v>2122</v>
      </c>
      <c r="F213" s="3" t="s">
        <v>311</v>
      </c>
      <c r="G213" s="3"/>
    </row>
    <row r="214" spans="1:7" x14ac:dyDescent="0.25">
      <c r="A214" s="3"/>
      <c r="B214" s="3" t="s">
        <v>521</v>
      </c>
      <c r="C214" s="3" t="s">
        <v>522</v>
      </c>
      <c r="D214" s="3" t="s">
        <v>12</v>
      </c>
      <c r="E214" s="3" t="s">
        <v>523</v>
      </c>
      <c r="F214" s="3" t="s">
        <v>319</v>
      </c>
      <c r="G214" s="3"/>
    </row>
    <row r="215" spans="1:7" x14ac:dyDescent="0.25">
      <c r="A215" s="3"/>
      <c r="B215" s="3" t="s">
        <v>524</v>
      </c>
      <c r="C215" s="3" t="s">
        <v>525</v>
      </c>
      <c r="D215" s="3" t="s">
        <v>12</v>
      </c>
      <c r="E215" s="3" t="s">
        <v>526</v>
      </c>
      <c r="F215" s="3" t="s">
        <v>45</v>
      </c>
      <c r="G215" s="3"/>
    </row>
    <row r="216" spans="1:7" x14ac:dyDescent="0.25">
      <c r="A216" s="3"/>
      <c r="B216" s="3" t="s">
        <v>527</v>
      </c>
      <c r="C216" s="3" t="s">
        <v>528</v>
      </c>
      <c r="D216" s="3" t="s">
        <v>12</v>
      </c>
      <c r="E216" s="3" t="s">
        <v>529</v>
      </c>
      <c r="F216" s="3" t="s">
        <v>129</v>
      </c>
      <c r="G216" s="3"/>
    </row>
    <row r="217" spans="1:7" x14ac:dyDescent="0.25">
      <c r="A217" s="3"/>
      <c r="B217" s="3" t="s">
        <v>530</v>
      </c>
      <c r="C217" s="3" t="s">
        <v>531</v>
      </c>
      <c r="D217" s="3" t="s">
        <v>12</v>
      </c>
      <c r="E217" s="3" t="s">
        <v>532</v>
      </c>
      <c r="F217" s="3" t="s">
        <v>129</v>
      </c>
      <c r="G217" s="3"/>
    </row>
    <row r="218" spans="1:7" x14ac:dyDescent="0.25">
      <c r="A218" s="3"/>
      <c r="B218" s="3" t="s">
        <v>533</v>
      </c>
      <c r="C218" s="3" t="s">
        <v>534</v>
      </c>
      <c r="D218" s="3" t="s">
        <v>12</v>
      </c>
      <c r="E218" s="3" t="s">
        <v>535</v>
      </c>
      <c r="F218" s="3" t="s">
        <v>47</v>
      </c>
      <c r="G218" s="3"/>
    </row>
    <row r="219" spans="1:7" x14ac:dyDescent="0.25">
      <c r="A219" s="3"/>
      <c r="B219" s="3" t="s">
        <v>536</v>
      </c>
      <c r="C219" s="3" t="s">
        <v>537</v>
      </c>
      <c r="D219" s="3" t="s">
        <v>12</v>
      </c>
      <c r="E219" s="3" t="s">
        <v>538</v>
      </c>
      <c r="F219" s="3" t="s">
        <v>100</v>
      </c>
      <c r="G219" s="3"/>
    </row>
    <row r="220" spans="1:7" x14ac:dyDescent="0.25">
      <c r="A220" s="3"/>
      <c r="B220" s="3" t="s">
        <v>1599</v>
      </c>
      <c r="C220" s="3" t="s">
        <v>1600</v>
      </c>
      <c r="D220" s="3" t="s">
        <v>12</v>
      </c>
      <c r="E220" s="3" t="s">
        <v>1601</v>
      </c>
      <c r="F220" s="3" t="s">
        <v>340</v>
      </c>
      <c r="G220" s="3"/>
    </row>
    <row r="221" spans="1:7" x14ac:dyDescent="0.25">
      <c r="A221" s="3"/>
      <c r="B221" s="3" t="s">
        <v>539</v>
      </c>
      <c r="C221" s="3" t="s">
        <v>1602</v>
      </c>
      <c r="D221" s="3" t="s">
        <v>12</v>
      </c>
      <c r="E221" s="3" t="s">
        <v>541</v>
      </c>
      <c r="F221" s="3" t="s">
        <v>43</v>
      </c>
      <c r="G221" s="3"/>
    </row>
    <row r="222" spans="1:7" x14ac:dyDescent="0.25">
      <c r="A222" s="3"/>
      <c r="B222" s="3" t="s">
        <v>2377</v>
      </c>
      <c r="C222" s="3" t="s">
        <v>2378</v>
      </c>
      <c r="D222" s="3" t="s">
        <v>12</v>
      </c>
      <c r="E222" s="3" t="s">
        <v>2379</v>
      </c>
      <c r="F222" s="3" t="s">
        <v>2380</v>
      </c>
      <c r="G222" s="3"/>
    </row>
    <row r="223" spans="1:7" x14ac:dyDescent="0.25">
      <c r="A223" s="3"/>
      <c r="B223" s="3" t="s">
        <v>1603</v>
      </c>
      <c r="C223" s="3" t="s">
        <v>1604</v>
      </c>
      <c r="D223" s="3" t="s">
        <v>12</v>
      </c>
      <c r="E223" s="3" t="s">
        <v>1605</v>
      </c>
      <c r="F223" s="3" t="s">
        <v>315</v>
      </c>
      <c r="G223" s="3"/>
    </row>
    <row r="224" spans="1:7" x14ac:dyDescent="0.25">
      <c r="A224" s="3"/>
      <c r="B224" s="3" t="s">
        <v>2123</v>
      </c>
      <c r="C224" s="3" t="s">
        <v>2124</v>
      </c>
      <c r="D224" s="3" t="s">
        <v>12</v>
      </c>
      <c r="E224" s="3" t="s">
        <v>2125</v>
      </c>
      <c r="F224" s="3" t="s">
        <v>49</v>
      </c>
      <c r="G224" s="3"/>
    </row>
    <row r="225" spans="1:7" x14ac:dyDescent="0.25">
      <c r="A225" s="3"/>
      <c r="B225" s="3" t="s">
        <v>542</v>
      </c>
      <c r="C225" s="3" t="s">
        <v>543</v>
      </c>
      <c r="D225" s="3" t="s">
        <v>12</v>
      </c>
      <c r="E225" s="3" t="s">
        <v>544</v>
      </c>
      <c r="F225" s="3" t="s">
        <v>43</v>
      </c>
      <c r="G225" s="3"/>
    </row>
    <row r="226" spans="1:7" x14ac:dyDescent="0.25">
      <c r="A226" s="3"/>
      <c r="B226" s="3" t="s">
        <v>545</v>
      </c>
      <c r="C226" s="3" t="s">
        <v>546</v>
      </c>
      <c r="D226" s="3" t="s">
        <v>12</v>
      </c>
      <c r="E226" s="3" t="s">
        <v>547</v>
      </c>
      <c r="F226" s="3" t="s">
        <v>49</v>
      </c>
      <c r="G226" s="3"/>
    </row>
    <row r="227" spans="1:7" x14ac:dyDescent="0.25">
      <c r="A227" s="3"/>
      <c r="B227" s="3" t="s">
        <v>1606</v>
      </c>
      <c r="C227" s="3" t="s">
        <v>1607</v>
      </c>
      <c r="D227" s="3" t="s">
        <v>12</v>
      </c>
      <c r="E227" s="3" t="s">
        <v>1608</v>
      </c>
      <c r="F227" s="3" t="s">
        <v>1609</v>
      </c>
      <c r="G227" s="3"/>
    </row>
    <row r="228" spans="1:7" x14ac:dyDescent="0.25">
      <c r="A228" s="3"/>
      <c r="B228" s="3" t="s">
        <v>548</v>
      </c>
      <c r="C228" s="3" t="s">
        <v>549</v>
      </c>
      <c r="D228" s="3" t="s">
        <v>12</v>
      </c>
      <c r="E228" s="3" t="s">
        <v>550</v>
      </c>
      <c r="F228" s="3" t="s">
        <v>129</v>
      </c>
      <c r="G228" s="3"/>
    </row>
    <row r="229" spans="1:7" x14ac:dyDescent="0.25">
      <c r="A229" s="3"/>
      <c r="B229" s="3" t="s">
        <v>551</v>
      </c>
      <c r="C229" s="3" t="s">
        <v>552</v>
      </c>
      <c r="D229" s="3" t="s">
        <v>12</v>
      </c>
      <c r="E229" s="3" t="s">
        <v>553</v>
      </c>
      <c r="F229" s="3" t="s">
        <v>44</v>
      </c>
      <c r="G229" s="3"/>
    </row>
    <row r="230" spans="1:7" x14ac:dyDescent="0.25">
      <c r="A230" s="3"/>
      <c r="B230" s="3" t="s">
        <v>554</v>
      </c>
      <c r="C230" s="3" t="s">
        <v>555</v>
      </c>
      <c r="D230" s="3" t="s">
        <v>12</v>
      </c>
      <c r="E230" s="3" t="s">
        <v>556</v>
      </c>
      <c r="F230" s="3" t="s">
        <v>47</v>
      </c>
      <c r="G230" s="3"/>
    </row>
    <row r="231" spans="1:7" x14ac:dyDescent="0.25">
      <c r="A231" s="3"/>
      <c r="B231" s="3" t="s">
        <v>557</v>
      </c>
      <c r="C231" s="3" t="s">
        <v>558</v>
      </c>
      <c r="D231" s="3" t="s">
        <v>12</v>
      </c>
      <c r="E231" s="3" t="s">
        <v>559</v>
      </c>
      <c r="F231" s="3" t="s">
        <v>46</v>
      </c>
      <c r="G231" s="3"/>
    </row>
    <row r="232" spans="1:7" x14ac:dyDescent="0.25">
      <c r="A232" s="3"/>
      <c r="B232" s="3" t="s">
        <v>1610</v>
      </c>
      <c r="C232" s="3" t="s">
        <v>1611</v>
      </c>
      <c r="D232" s="3" t="s">
        <v>12</v>
      </c>
      <c r="E232" s="3" t="s">
        <v>1612</v>
      </c>
      <c r="F232" s="3" t="s">
        <v>311</v>
      </c>
      <c r="G232" s="3"/>
    </row>
    <row r="233" spans="1:7" x14ac:dyDescent="0.25">
      <c r="A233" s="3"/>
      <c r="B233" s="3" t="s">
        <v>2126</v>
      </c>
      <c r="C233" s="3" t="s">
        <v>2127</v>
      </c>
      <c r="D233" s="3" t="s">
        <v>12</v>
      </c>
      <c r="E233" s="3" t="s">
        <v>2128</v>
      </c>
      <c r="F233" s="3" t="s">
        <v>44</v>
      </c>
      <c r="G233" s="3"/>
    </row>
    <row r="234" spans="1:7" x14ac:dyDescent="0.25">
      <c r="A234" s="3"/>
      <c r="B234" s="3" t="s">
        <v>126</v>
      </c>
      <c r="C234" s="3" t="s">
        <v>127</v>
      </c>
      <c r="D234" s="3" t="s">
        <v>12</v>
      </c>
      <c r="E234" s="3" t="s">
        <v>128</v>
      </c>
      <c r="F234" s="3" t="s">
        <v>129</v>
      </c>
      <c r="G234" s="3"/>
    </row>
    <row r="235" spans="1:7" x14ac:dyDescent="0.25">
      <c r="A235" s="3"/>
      <c r="B235" s="3" t="s">
        <v>560</v>
      </c>
      <c r="C235" s="3" t="s">
        <v>561</v>
      </c>
      <c r="D235" s="3" t="s">
        <v>12</v>
      </c>
      <c r="E235" s="3" t="s">
        <v>562</v>
      </c>
      <c r="F235" s="3" t="s">
        <v>327</v>
      </c>
      <c r="G235" s="3"/>
    </row>
    <row r="236" spans="1:7" x14ac:dyDescent="0.25">
      <c r="A236" s="3"/>
      <c r="B236" s="3" t="s">
        <v>1613</v>
      </c>
      <c r="C236" s="3" t="s">
        <v>1614</v>
      </c>
      <c r="D236" s="3" t="s">
        <v>12</v>
      </c>
      <c r="E236" s="3" t="s">
        <v>1615</v>
      </c>
      <c r="F236" s="3" t="s">
        <v>44</v>
      </c>
      <c r="G236" s="3"/>
    </row>
    <row r="237" spans="1:7" x14ac:dyDescent="0.25">
      <c r="A237" s="3"/>
      <c r="B237" s="3" t="s">
        <v>114</v>
      </c>
      <c r="C237" s="3" t="s">
        <v>115</v>
      </c>
      <c r="D237" s="3" t="s">
        <v>12</v>
      </c>
      <c r="E237" s="3" t="s">
        <v>113</v>
      </c>
      <c r="F237" s="3" t="s">
        <v>116</v>
      </c>
      <c r="G237" s="3"/>
    </row>
    <row r="238" spans="1:7" x14ac:dyDescent="0.25">
      <c r="A238" s="3"/>
      <c r="B238" s="3" t="s">
        <v>563</v>
      </c>
      <c r="C238" s="3" t="s">
        <v>564</v>
      </c>
      <c r="D238" s="3" t="s">
        <v>12</v>
      </c>
      <c r="E238" s="3" t="s">
        <v>565</v>
      </c>
      <c r="F238" s="3" t="s">
        <v>44</v>
      </c>
      <c r="G238" s="3"/>
    </row>
    <row r="239" spans="1:7" x14ac:dyDescent="0.25">
      <c r="A239" s="3"/>
      <c r="B239" s="3" t="s">
        <v>566</v>
      </c>
      <c r="C239" s="3" t="s">
        <v>567</v>
      </c>
      <c r="D239" s="3" t="s">
        <v>12</v>
      </c>
      <c r="E239" s="3" t="s">
        <v>568</v>
      </c>
      <c r="F239" s="3" t="s">
        <v>569</v>
      </c>
      <c r="G239" s="3"/>
    </row>
    <row r="240" spans="1:7" x14ac:dyDescent="0.25">
      <c r="A240" s="3"/>
      <c r="B240" s="3" t="s">
        <v>2459</v>
      </c>
      <c r="C240" s="3" t="s">
        <v>2460</v>
      </c>
      <c r="D240" s="3" t="s">
        <v>12</v>
      </c>
      <c r="E240" s="3" t="s">
        <v>2466</v>
      </c>
      <c r="F240" s="3" t="s">
        <v>43</v>
      </c>
      <c r="G240" s="3"/>
    </row>
    <row r="241" spans="1:7" x14ac:dyDescent="0.25">
      <c r="A241" s="3"/>
      <c r="B241" s="3" t="s">
        <v>1616</v>
      </c>
      <c r="C241" s="3" t="s">
        <v>1617</v>
      </c>
      <c r="D241" s="3" t="s">
        <v>12</v>
      </c>
      <c r="E241" s="3" t="s">
        <v>1618</v>
      </c>
      <c r="F241" s="3" t="s">
        <v>129</v>
      </c>
      <c r="G241" s="3"/>
    </row>
    <row r="242" spans="1:7" x14ac:dyDescent="0.25">
      <c r="A242" s="3"/>
      <c r="B242" s="3" t="s">
        <v>1619</v>
      </c>
      <c r="C242" s="3" t="s">
        <v>1620</v>
      </c>
      <c r="D242" s="3" t="s">
        <v>12</v>
      </c>
      <c r="E242" s="3" t="s">
        <v>1618</v>
      </c>
      <c r="F242" s="3" t="s">
        <v>129</v>
      </c>
      <c r="G242" s="3"/>
    </row>
    <row r="243" spans="1:7" x14ac:dyDescent="0.25">
      <c r="A243" s="3"/>
      <c r="B243" s="3" t="s">
        <v>1621</v>
      </c>
      <c r="C243" s="3" t="s">
        <v>1622</v>
      </c>
      <c r="D243" s="3" t="s">
        <v>12</v>
      </c>
      <c r="E243" s="3" t="s">
        <v>1623</v>
      </c>
      <c r="F243" s="3" t="s">
        <v>1624</v>
      </c>
      <c r="G243" s="3"/>
    </row>
    <row r="244" spans="1:7" x14ac:dyDescent="0.25">
      <c r="A244" s="3"/>
      <c r="B244" s="3" t="s">
        <v>2129</v>
      </c>
      <c r="C244" s="3" t="s">
        <v>2130</v>
      </c>
      <c r="D244" s="3" t="s">
        <v>12</v>
      </c>
      <c r="E244" s="3" t="s">
        <v>2131</v>
      </c>
      <c r="F244" s="3" t="s">
        <v>2132</v>
      </c>
      <c r="G244" s="3"/>
    </row>
    <row r="245" spans="1:7" x14ac:dyDescent="0.25">
      <c r="A245" s="3"/>
      <c r="B245" s="3" t="s">
        <v>570</v>
      </c>
      <c r="C245" s="3" t="s">
        <v>571</v>
      </c>
      <c r="D245" s="3" t="s">
        <v>12</v>
      </c>
      <c r="E245" s="3" t="s">
        <v>572</v>
      </c>
      <c r="F245" s="3" t="s">
        <v>129</v>
      </c>
      <c r="G245" s="3"/>
    </row>
    <row r="246" spans="1:7" x14ac:dyDescent="0.25">
      <c r="A246" s="3"/>
      <c r="B246" s="3" t="s">
        <v>573</v>
      </c>
      <c r="C246" s="3" t="s">
        <v>574</v>
      </c>
      <c r="D246" s="3" t="s">
        <v>12</v>
      </c>
      <c r="E246" s="3" t="s">
        <v>575</v>
      </c>
      <c r="F246" s="3" t="s">
        <v>326</v>
      </c>
      <c r="G246" s="3"/>
    </row>
    <row r="247" spans="1:7" x14ac:dyDescent="0.25">
      <c r="A247" s="3"/>
      <c r="B247" s="3" t="s">
        <v>1625</v>
      </c>
      <c r="C247" s="3" t="s">
        <v>1626</v>
      </c>
      <c r="D247" s="3" t="s">
        <v>12</v>
      </c>
      <c r="E247" s="3" t="s">
        <v>1627</v>
      </c>
      <c r="F247" s="3" t="s">
        <v>1528</v>
      </c>
      <c r="G247" s="3"/>
    </row>
    <row r="248" spans="1:7" x14ac:dyDescent="0.25">
      <c r="A248" s="3"/>
      <c r="B248" s="3" t="s">
        <v>1628</v>
      </c>
      <c r="C248" s="3" t="s">
        <v>1629</v>
      </c>
      <c r="D248" s="3" t="s">
        <v>12</v>
      </c>
      <c r="E248" s="3" t="s">
        <v>1630</v>
      </c>
      <c r="F248" s="3" t="s">
        <v>201</v>
      </c>
      <c r="G248" s="3"/>
    </row>
    <row r="249" spans="1:7" x14ac:dyDescent="0.25">
      <c r="A249" s="3"/>
      <c r="B249" s="3" t="s">
        <v>576</v>
      </c>
      <c r="C249" s="3" t="s">
        <v>577</v>
      </c>
      <c r="D249" s="3" t="s">
        <v>12</v>
      </c>
      <c r="E249" s="3" t="s">
        <v>578</v>
      </c>
      <c r="F249" s="3" t="s">
        <v>579</v>
      </c>
      <c r="G249" s="3"/>
    </row>
    <row r="250" spans="1:7" x14ac:dyDescent="0.25">
      <c r="A250" s="3"/>
      <c r="B250" s="3" t="s">
        <v>580</v>
      </c>
      <c r="C250" s="3" t="s">
        <v>581</v>
      </c>
      <c r="D250" s="3" t="s">
        <v>12</v>
      </c>
      <c r="E250" s="3" t="s">
        <v>582</v>
      </c>
      <c r="F250" s="3" t="s">
        <v>48</v>
      </c>
      <c r="G250" s="3"/>
    </row>
    <row r="251" spans="1:7" x14ac:dyDescent="0.25">
      <c r="A251" s="3"/>
      <c r="B251" s="3" t="s">
        <v>1631</v>
      </c>
      <c r="C251" s="3" t="s">
        <v>1632</v>
      </c>
      <c r="D251" s="3" t="s">
        <v>12</v>
      </c>
      <c r="E251" s="3" t="s">
        <v>1633</v>
      </c>
      <c r="F251" s="3" t="s">
        <v>201</v>
      </c>
      <c r="G251" s="3"/>
    </row>
    <row r="252" spans="1:7" x14ac:dyDescent="0.25">
      <c r="A252" s="3"/>
      <c r="B252" s="3" t="s">
        <v>2133</v>
      </c>
      <c r="C252" s="3" t="s">
        <v>2134</v>
      </c>
      <c r="D252" s="3" t="s">
        <v>12</v>
      </c>
      <c r="E252" s="3" t="s">
        <v>2135</v>
      </c>
      <c r="F252" s="3" t="s">
        <v>43</v>
      </c>
      <c r="G252" s="3"/>
    </row>
    <row r="253" spans="1:7" x14ac:dyDescent="0.25">
      <c r="A253" s="3"/>
      <c r="B253" s="3" t="s">
        <v>2136</v>
      </c>
      <c r="C253" s="3" t="s">
        <v>2137</v>
      </c>
      <c r="D253" s="3" t="s">
        <v>12</v>
      </c>
      <c r="E253" s="3" t="s">
        <v>2138</v>
      </c>
      <c r="F253" s="3" t="s">
        <v>46</v>
      </c>
      <c r="G253" s="3"/>
    </row>
    <row r="254" spans="1:7" x14ac:dyDescent="0.25">
      <c r="A254" s="3"/>
      <c r="B254" s="3" t="s">
        <v>2139</v>
      </c>
      <c r="C254" s="3" t="s">
        <v>2140</v>
      </c>
      <c r="D254" s="3" t="s">
        <v>12</v>
      </c>
      <c r="E254" s="3" t="s">
        <v>2141</v>
      </c>
      <c r="F254" s="3" t="s">
        <v>116</v>
      </c>
      <c r="G254" s="3"/>
    </row>
    <row r="255" spans="1:7" x14ac:dyDescent="0.25">
      <c r="A255" s="3"/>
      <c r="B255" s="3" t="s">
        <v>1634</v>
      </c>
      <c r="C255" s="3" t="s">
        <v>1635</v>
      </c>
      <c r="D255" s="3" t="s">
        <v>12</v>
      </c>
      <c r="E255" s="3" t="s">
        <v>1636</v>
      </c>
      <c r="F255" s="3" t="s">
        <v>129</v>
      </c>
      <c r="G255" s="3"/>
    </row>
    <row r="256" spans="1:7" x14ac:dyDescent="0.25">
      <c r="A256" s="3"/>
      <c r="B256" s="3" t="s">
        <v>1637</v>
      </c>
      <c r="C256" s="3" t="s">
        <v>1638</v>
      </c>
      <c r="D256" s="3" t="s">
        <v>12</v>
      </c>
      <c r="E256" s="3" t="s">
        <v>1639</v>
      </c>
      <c r="F256" s="3" t="s">
        <v>340</v>
      </c>
      <c r="G256" s="3"/>
    </row>
    <row r="257" spans="1:7" x14ac:dyDescent="0.25">
      <c r="A257" s="3"/>
      <c r="B257" s="3" t="s">
        <v>1640</v>
      </c>
      <c r="C257" s="3" t="s">
        <v>1641</v>
      </c>
      <c r="D257" s="3" t="s">
        <v>12</v>
      </c>
      <c r="E257" s="3" t="s">
        <v>1639</v>
      </c>
      <c r="F257" s="3" t="s">
        <v>44</v>
      </c>
      <c r="G257" s="3"/>
    </row>
    <row r="258" spans="1:7" x14ac:dyDescent="0.25">
      <c r="A258" s="3"/>
      <c r="B258" s="3" t="s">
        <v>583</v>
      </c>
      <c r="C258" s="3" t="s">
        <v>584</v>
      </c>
      <c r="D258" s="3" t="s">
        <v>12</v>
      </c>
      <c r="E258" s="3" t="s">
        <v>585</v>
      </c>
      <c r="F258" s="3" t="s">
        <v>46</v>
      </c>
      <c r="G258" s="3"/>
    </row>
    <row r="259" spans="1:7" x14ac:dyDescent="0.25">
      <c r="A259" s="3"/>
      <c r="B259" s="3" t="s">
        <v>2142</v>
      </c>
      <c r="C259" s="3" t="s">
        <v>2143</v>
      </c>
      <c r="D259" s="3" t="s">
        <v>12</v>
      </c>
      <c r="E259" s="3" t="s">
        <v>2144</v>
      </c>
      <c r="F259" s="3" t="s">
        <v>44</v>
      </c>
      <c r="G259" s="3"/>
    </row>
    <row r="260" spans="1:7" x14ac:dyDescent="0.25">
      <c r="A260" s="3"/>
      <c r="B260" s="3" t="s">
        <v>586</v>
      </c>
      <c r="C260" s="3" t="s">
        <v>587</v>
      </c>
      <c r="D260" s="3" t="s">
        <v>12</v>
      </c>
      <c r="E260" s="3" t="s">
        <v>588</v>
      </c>
      <c r="F260" s="3" t="s">
        <v>46</v>
      </c>
      <c r="G260" s="3"/>
    </row>
    <row r="261" spans="1:7" x14ac:dyDescent="0.25">
      <c r="A261" s="3"/>
      <c r="B261" s="3" t="s">
        <v>1642</v>
      </c>
      <c r="C261" s="3" t="s">
        <v>1643</v>
      </c>
      <c r="D261" s="3" t="s">
        <v>12</v>
      </c>
      <c r="E261" s="3" t="s">
        <v>1644</v>
      </c>
      <c r="F261" s="3" t="s">
        <v>43</v>
      </c>
      <c r="G261" s="3"/>
    </row>
    <row r="262" spans="1:7" x14ac:dyDescent="0.25">
      <c r="A262" s="3"/>
      <c r="B262" s="3" t="s">
        <v>589</v>
      </c>
      <c r="C262" s="3" t="s">
        <v>590</v>
      </c>
      <c r="D262" s="3" t="s">
        <v>12</v>
      </c>
      <c r="E262" s="3" t="s">
        <v>591</v>
      </c>
      <c r="F262" s="3" t="s">
        <v>44</v>
      </c>
      <c r="G262" s="3"/>
    </row>
    <row r="263" spans="1:7" x14ac:dyDescent="0.25">
      <c r="A263" s="3"/>
      <c r="B263" s="3" t="s">
        <v>1645</v>
      </c>
      <c r="C263" s="3" t="s">
        <v>1646</v>
      </c>
      <c r="D263" s="3" t="s">
        <v>12</v>
      </c>
      <c r="E263" s="3" t="s">
        <v>1647</v>
      </c>
      <c r="F263" s="3" t="s">
        <v>1528</v>
      </c>
      <c r="G263" s="3"/>
    </row>
    <row r="264" spans="1:7" x14ac:dyDescent="0.25">
      <c r="A264" s="3"/>
      <c r="B264" s="3" t="s">
        <v>2145</v>
      </c>
      <c r="C264" s="3" t="s">
        <v>2146</v>
      </c>
      <c r="D264" s="3" t="s">
        <v>12</v>
      </c>
      <c r="E264" s="3" t="s">
        <v>2147</v>
      </c>
      <c r="F264" s="3" t="s">
        <v>49</v>
      </c>
      <c r="G264" s="3"/>
    </row>
    <row r="265" spans="1:7" x14ac:dyDescent="0.25">
      <c r="A265" s="3"/>
      <c r="B265" s="3" t="s">
        <v>94</v>
      </c>
      <c r="C265" s="3" t="s">
        <v>95</v>
      </c>
      <c r="D265" s="3" t="s">
        <v>12</v>
      </c>
      <c r="E265" s="3" t="s">
        <v>96</v>
      </c>
      <c r="F265" s="3" t="s">
        <v>46</v>
      </c>
      <c r="G265" s="3"/>
    </row>
    <row r="266" spans="1:7" x14ac:dyDescent="0.25">
      <c r="A266" s="3"/>
      <c r="B266" s="3" t="s">
        <v>97</v>
      </c>
      <c r="C266" s="3" t="s">
        <v>98</v>
      </c>
      <c r="D266" s="3" t="s">
        <v>12</v>
      </c>
      <c r="E266" s="3" t="s">
        <v>99</v>
      </c>
      <c r="F266" s="3" t="s">
        <v>100</v>
      </c>
      <c r="G266" s="3"/>
    </row>
    <row r="267" spans="1:7" x14ac:dyDescent="0.25">
      <c r="A267" s="3"/>
      <c r="B267" s="3" t="s">
        <v>592</v>
      </c>
      <c r="C267" s="3" t="s">
        <v>593</v>
      </c>
      <c r="D267" s="3" t="s">
        <v>12</v>
      </c>
      <c r="E267" s="3" t="s">
        <v>594</v>
      </c>
      <c r="F267" s="3" t="s">
        <v>44</v>
      </c>
      <c r="G267" s="3"/>
    </row>
    <row r="268" spans="1:7" x14ac:dyDescent="0.25">
      <c r="A268" s="3"/>
      <c r="B268" s="3" t="s">
        <v>595</v>
      </c>
      <c r="C268" s="3" t="s">
        <v>596</v>
      </c>
      <c r="D268" s="3" t="s">
        <v>12</v>
      </c>
      <c r="E268" s="3" t="s">
        <v>597</v>
      </c>
      <c r="F268" s="3" t="s">
        <v>47</v>
      </c>
      <c r="G268" s="3"/>
    </row>
    <row r="269" spans="1:7" x14ac:dyDescent="0.25">
      <c r="A269" s="3"/>
      <c r="B269" s="3" t="s">
        <v>598</v>
      </c>
      <c r="C269" s="3" t="s">
        <v>599</v>
      </c>
      <c r="D269" s="3" t="s">
        <v>12</v>
      </c>
      <c r="E269" s="3" t="s">
        <v>600</v>
      </c>
      <c r="F269" s="3" t="s">
        <v>601</v>
      </c>
      <c r="G269" s="3"/>
    </row>
    <row r="270" spans="1:7" x14ac:dyDescent="0.25">
      <c r="A270" s="3"/>
      <c r="B270" s="3" t="s">
        <v>602</v>
      </c>
      <c r="C270" s="3" t="s">
        <v>603</v>
      </c>
      <c r="D270" s="3" t="s">
        <v>12</v>
      </c>
      <c r="E270" s="3" t="s">
        <v>604</v>
      </c>
      <c r="F270" s="3" t="s">
        <v>327</v>
      </c>
      <c r="G270" s="3"/>
    </row>
    <row r="271" spans="1:7" x14ac:dyDescent="0.25">
      <c r="A271" s="3"/>
      <c r="B271" s="3" t="s">
        <v>605</v>
      </c>
      <c r="C271" s="3" t="s">
        <v>606</v>
      </c>
      <c r="D271" s="3" t="s">
        <v>12</v>
      </c>
      <c r="E271" s="3" t="s">
        <v>607</v>
      </c>
      <c r="F271" s="3" t="s">
        <v>129</v>
      </c>
      <c r="G271" s="3"/>
    </row>
    <row r="272" spans="1:7" x14ac:dyDescent="0.25">
      <c r="A272" s="3"/>
      <c r="B272" s="3" t="s">
        <v>608</v>
      </c>
      <c r="C272" s="3" t="s">
        <v>609</v>
      </c>
      <c r="D272" s="3" t="s">
        <v>12</v>
      </c>
      <c r="E272" s="3" t="s">
        <v>607</v>
      </c>
      <c r="F272" s="3" t="s">
        <v>327</v>
      </c>
      <c r="G272" s="3"/>
    </row>
    <row r="273" spans="1:7" x14ac:dyDescent="0.25">
      <c r="A273" s="3"/>
      <c r="B273" s="3" t="s">
        <v>1648</v>
      </c>
      <c r="C273" s="3" t="s">
        <v>1649</v>
      </c>
      <c r="D273" s="3" t="s">
        <v>12</v>
      </c>
      <c r="E273" s="3" t="s">
        <v>1650</v>
      </c>
      <c r="F273" s="3" t="s">
        <v>48</v>
      </c>
      <c r="G273" s="3"/>
    </row>
    <row r="274" spans="1:7" x14ac:dyDescent="0.25">
      <c r="A274" s="3"/>
      <c r="B274" s="3" t="s">
        <v>1651</v>
      </c>
      <c r="C274" s="3" t="s">
        <v>1652</v>
      </c>
      <c r="D274" s="3" t="s">
        <v>12</v>
      </c>
      <c r="E274" s="3" t="s">
        <v>1653</v>
      </c>
      <c r="F274" s="3" t="s">
        <v>319</v>
      </c>
      <c r="G274" s="3"/>
    </row>
    <row r="275" spans="1:7" x14ac:dyDescent="0.25">
      <c r="A275" s="3"/>
      <c r="B275" s="3" t="s">
        <v>610</v>
      </c>
      <c r="C275" s="3" t="s">
        <v>611</v>
      </c>
      <c r="D275" s="3" t="s">
        <v>12</v>
      </c>
      <c r="E275" s="3" t="s">
        <v>612</v>
      </c>
      <c r="F275" s="3" t="s">
        <v>613</v>
      </c>
      <c r="G275" s="3"/>
    </row>
    <row r="276" spans="1:7" x14ac:dyDescent="0.25">
      <c r="A276" s="3"/>
      <c r="B276" s="3" t="s">
        <v>1654</v>
      </c>
      <c r="C276" s="3" t="s">
        <v>1655</v>
      </c>
      <c r="D276" s="3" t="s">
        <v>12</v>
      </c>
      <c r="E276" s="3" t="s">
        <v>1656</v>
      </c>
      <c r="F276" s="3" t="s">
        <v>48</v>
      </c>
      <c r="G276" s="3"/>
    </row>
    <row r="277" spans="1:7" x14ac:dyDescent="0.25">
      <c r="A277" s="3"/>
      <c r="B277" s="3" t="s">
        <v>614</v>
      </c>
      <c r="C277" s="3" t="s">
        <v>615</v>
      </c>
      <c r="D277" s="3" t="s">
        <v>12</v>
      </c>
      <c r="E277" s="3" t="s">
        <v>273</v>
      </c>
      <c r="F277" s="3" t="s">
        <v>340</v>
      </c>
      <c r="G277" s="3"/>
    </row>
    <row r="278" spans="1:7" x14ac:dyDescent="0.25">
      <c r="A278" s="3"/>
      <c r="B278" s="3" t="s">
        <v>1657</v>
      </c>
      <c r="C278" s="3" t="s">
        <v>1658</v>
      </c>
      <c r="D278" s="3" t="s">
        <v>12</v>
      </c>
      <c r="E278" s="3" t="s">
        <v>1659</v>
      </c>
      <c r="F278" s="3" t="s">
        <v>326</v>
      </c>
      <c r="G278" s="3"/>
    </row>
    <row r="279" spans="1:7" x14ac:dyDescent="0.25">
      <c r="A279" s="3"/>
      <c r="B279" s="3" t="s">
        <v>1660</v>
      </c>
      <c r="C279" s="3" t="s">
        <v>1661</v>
      </c>
      <c r="D279" s="3" t="s">
        <v>12</v>
      </c>
      <c r="E279" s="3" t="s">
        <v>1662</v>
      </c>
      <c r="F279" s="3" t="s">
        <v>1663</v>
      </c>
      <c r="G279" s="3"/>
    </row>
    <row r="280" spans="1:7" x14ac:dyDescent="0.25">
      <c r="A280" s="3"/>
      <c r="B280" s="3" t="s">
        <v>616</v>
      </c>
      <c r="C280" s="3" t="s">
        <v>617</v>
      </c>
      <c r="D280" s="3" t="s">
        <v>12</v>
      </c>
      <c r="E280" s="3" t="s">
        <v>618</v>
      </c>
      <c r="F280" s="3" t="s">
        <v>47</v>
      </c>
      <c r="G280" s="3"/>
    </row>
    <row r="281" spans="1:7" x14ac:dyDescent="0.25">
      <c r="A281" s="3"/>
      <c r="B281" s="3" t="s">
        <v>1664</v>
      </c>
      <c r="C281" s="3" t="s">
        <v>1665</v>
      </c>
      <c r="D281" s="3" t="s">
        <v>12</v>
      </c>
      <c r="E281" s="3" t="s">
        <v>1666</v>
      </c>
      <c r="F281" s="3" t="s">
        <v>311</v>
      </c>
      <c r="G281" s="3"/>
    </row>
    <row r="282" spans="1:7" x14ac:dyDescent="0.25">
      <c r="A282" s="3"/>
      <c r="B282" s="3" t="s">
        <v>1667</v>
      </c>
      <c r="C282" s="3" t="s">
        <v>1668</v>
      </c>
      <c r="D282" s="3" t="s">
        <v>12</v>
      </c>
      <c r="E282" s="3" t="s">
        <v>1666</v>
      </c>
      <c r="F282" s="3" t="s">
        <v>311</v>
      </c>
      <c r="G282" s="3"/>
    </row>
    <row r="283" spans="1:7" x14ac:dyDescent="0.25">
      <c r="A283" s="3"/>
      <c r="B283" s="3" t="s">
        <v>619</v>
      </c>
      <c r="C283" s="3" t="s">
        <v>620</v>
      </c>
      <c r="D283" s="3" t="s">
        <v>12</v>
      </c>
      <c r="E283" s="3" t="s">
        <v>621</v>
      </c>
      <c r="F283" s="3" t="s">
        <v>327</v>
      </c>
      <c r="G283" s="3"/>
    </row>
    <row r="284" spans="1:7" x14ac:dyDescent="0.25">
      <c r="A284" s="3"/>
      <c r="B284" s="3" t="s">
        <v>1669</v>
      </c>
      <c r="C284" s="3" t="s">
        <v>623</v>
      </c>
      <c r="D284" s="3" t="s">
        <v>12</v>
      </c>
      <c r="E284" s="3" t="s">
        <v>1670</v>
      </c>
      <c r="F284" s="3" t="s">
        <v>43</v>
      </c>
      <c r="G284" s="3"/>
    </row>
    <row r="285" spans="1:7" x14ac:dyDescent="0.25">
      <c r="A285" s="3"/>
      <c r="B285" s="3" t="s">
        <v>622</v>
      </c>
      <c r="C285" s="3" t="s">
        <v>2445</v>
      </c>
      <c r="D285" s="3" t="s">
        <v>12</v>
      </c>
      <c r="E285" s="3" t="s">
        <v>624</v>
      </c>
      <c r="F285" s="3" t="s">
        <v>327</v>
      </c>
      <c r="G285" s="3"/>
    </row>
    <row r="286" spans="1:7" x14ac:dyDescent="0.25">
      <c r="A286" s="3"/>
      <c r="B286" s="3" t="s">
        <v>1671</v>
      </c>
      <c r="C286" s="3" t="s">
        <v>1672</v>
      </c>
      <c r="D286" s="3" t="s">
        <v>12</v>
      </c>
      <c r="E286" s="3" t="s">
        <v>1673</v>
      </c>
      <c r="F286" s="3" t="s">
        <v>1674</v>
      </c>
      <c r="G286" s="3"/>
    </row>
    <row r="287" spans="1:7" x14ac:dyDescent="0.25">
      <c r="A287" s="3"/>
      <c r="B287" s="3" t="s">
        <v>625</v>
      </c>
      <c r="C287" s="3" t="s">
        <v>626</v>
      </c>
      <c r="D287" s="3" t="s">
        <v>12</v>
      </c>
      <c r="E287" s="3" t="s">
        <v>627</v>
      </c>
      <c r="F287" s="3" t="s">
        <v>48</v>
      </c>
      <c r="G287" s="3"/>
    </row>
    <row r="288" spans="1:7" x14ac:dyDescent="0.25">
      <c r="A288" s="3"/>
      <c r="B288" s="3" t="s">
        <v>628</v>
      </c>
      <c r="C288" s="3" t="s">
        <v>629</v>
      </c>
      <c r="D288" s="3" t="s">
        <v>12</v>
      </c>
      <c r="E288" s="3" t="s">
        <v>630</v>
      </c>
      <c r="F288" s="3" t="s">
        <v>631</v>
      </c>
      <c r="G288" s="3"/>
    </row>
    <row r="289" spans="1:7" x14ac:dyDescent="0.25">
      <c r="A289" s="3"/>
      <c r="B289" s="3" t="s">
        <v>632</v>
      </c>
      <c r="C289" s="3" t="s">
        <v>633</v>
      </c>
      <c r="D289" s="3" t="s">
        <v>12</v>
      </c>
      <c r="E289" s="3" t="s">
        <v>634</v>
      </c>
      <c r="F289" s="3" t="s">
        <v>46</v>
      </c>
      <c r="G289" s="3"/>
    </row>
    <row r="290" spans="1:7" x14ac:dyDescent="0.25">
      <c r="A290" s="3"/>
      <c r="B290" s="3" t="s">
        <v>635</v>
      </c>
      <c r="C290" s="3" t="s">
        <v>636</v>
      </c>
      <c r="D290" s="3" t="s">
        <v>12</v>
      </c>
      <c r="E290" s="3" t="s">
        <v>637</v>
      </c>
      <c r="F290" s="3" t="s">
        <v>46</v>
      </c>
      <c r="G290" s="3"/>
    </row>
    <row r="291" spans="1:7" x14ac:dyDescent="0.25">
      <c r="A291" s="3"/>
      <c r="B291" s="3" t="s">
        <v>638</v>
      </c>
      <c r="C291" s="3" t="s">
        <v>639</v>
      </c>
      <c r="D291" s="3" t="s">
        <v>12</v>
      </c>
      <c r="E291" s="3" t="s">
        <v>637</v>
      </c>
      <c r="F291" s="3" t="s">
        <v>640</v>
      </c>
      <c r="G291" s="3"/>
    </row>
    <row r="292" spans="1:7" x14ac:dyDescent="0.25">
      <c r="A292" s="3"/>
      <c r="B292" s="3" t="s">
        <v>1675</v>
      </c>
      <c r="C292" s="3" t="s">
        <v>1676</v>
      </c>
      <c r="D292" s="3" t="s">
        <v>12</v>
      </c>
      <c r="E292" s="3" t="s">
        <v>1677</v>
      </c>
      <c r="F292" s="3" t="s">
        <v>44</v>
      </c>
      <c r="G292" s="3"/>
    </row>
    <row r="293" spans="1:7" x14ac:dyDescent="0.25">
      <c r="A293" s="3"/>
      <c r="B293" s="3" t="s">
        <v>1678</v>
      </c>
      <c r="C293" s="3" t="s">
        <v>1679</v>
      </c>
      <c r="D293" s="3" t="s">
        <v>12</v>
      </c>
      <c r="E293" s="3" t="s">
        <v>1677</v>
      </c>
      <c r="F293" s="3" t="s">
        <v>46</v>
      </c>
      <c r="G293" s="3"/>
    </row>
    <row r="294" spans="1:7" x14ac:dyDescent="0.25">
      <c r="A294" s="3"/>
      <c r="B294" s="3" t="s">
        <v>1680</v>
      </c>
      <c r="C294" s="3" t="s">
        <v>1681</v>
      </c>
      <c r="D294" s="3" t="s">
        <v>12</v>
      </c>
      <c r="E294" s="3" t="s">
        <v>1682</v>
      </c>
      <c r="F294" s="3" t="s">
        <v>46</v>
      </c>
      <c r="G294" s="3"/>
    </row>
    <row r="295" spans="1:7" x14ac:dyDescent="0.25">
      <c r="A295" s="3"/>
      <c r="B295" s="3" t="s">
        <v>737</v>
      </c>
      <c r="C295" s="3" t="s">
        <v>738</v>
      </c>
      <c r="D295" s="3" t="s">
        <v>12</v>
      </c>
      <c r="E295" s="3" t="s">
        <v>1345</v>
      </c>
      <c r="F295" s="3" t="s">
        <v>48</v>
      </c>
      <c r="G295" s="3"/>
    </row>
    <row r="296" spans="1:7" x14ac:dyDescent="0.25">
      <c r="A296" s="3"/>
      <c r="B296" s="3" t="s">
        <v>2148</v>
      </c>
      <c r="C296" s="3" t="s">
        <v>2371</v>
      </c>
      <c r="D296" s="3" t="s">
        <v>12</v>
      </c>
      <c r="E296" s="3" t="s">
        <v>2149</v>
      </c>
      <c r="F296" s="3" t="s">
        <v>43</v>
      </c>
      <c r="G296" s="3"/>
    </row>
    <row r="297" spans="1:7" x14ac:dyDescent="0.25">
      <c r="A297" s="3"/>
      <c r="B297" s="3" t="s">
        <v>641</v>
      </c>
      <c r="C297" s="3" t="s">
        <v>642</v>
      </c>
      <c r="D297" s="3" t="s">
        <v>12</v>
      </c>
      <c r="E297" s="3" t="s">
        <v>643</v>
      </c>
      <c r="F297" s="3" t="s">
        <v>49</v>
      </c>
      <c r="G297" s="3"/>
    </row>
    <row r="298" spans="1:7" x14ac:dyDescent="0.25">
      <c r="A298" s="3"/>
      <c r="B298" s="3" t="s">
        <v>2150</v>
      </c>
      <c r="C298" s="3" t="s">
        <v>2151</v>
      </c>
      <c r="D298" s="3" t="s">
        <v>12</v>
      </c>
      <c r="E298" s="3" t="s">
        <v>2152</v>
      </c>
      <c r="F298" s="3" t="s">
        <v>327</v>
      </c>
      <c r="G298" s="3"/>
    </row>
    <row r="299" spans="1:7" x14ac:dyDescent="0.25">
      <c r="A299" s="3"/>
      <c r="B299" s="3" t="s">
        <v>644</v>
      </c>
      <c r="C299" s="3" t="s">
        <v>645</v>
      </c>
      <c r="D299" s="3" t="s">
        <v>12</v>
      </c>
      <c r="E299" s="3" t="s">
        <v>646</v>
      </c>
      <c r="F299" s="3" t="s">
        <v>327</v>
      </c>
      <c r="G299" s="3"/>
    </row>
    <row r="300" spans="1:7" x14ac:dyDescent="0.25">
      <c r="A300" s="3"/>
      <c r="B300" s="3" t="s">
        <v>647</v>
      </c>
      <c r="C300" s="3" t="s">
        <v>648</v>
      </c>
      <c r="D300" s="3" t="s">
        <v>12</v>
      </c>
      <c r="E300" s="3" t="s">
        <v>646</v>
      </c>
      <c r="F300" s="3" t="s">
        <v>47</v>
      </c>
      <c r="G300" s="3"/>
    </row>
    <row r="301" spans="1:7" x14ac:dyDescent="0.25">
      <c r="A301" s="3"/>
      <c r="B301" s="3" t="s">
        <v>1683</v>
      </c>
      <c r="C301" s="3" t="s">
        <v>1684</v>
      </c>
      <c r="D301" s="3" t="s">
        <v>12</v>
      </c>
      <c r="E301" s="3" t="s">
        <v>1685</v>
      </c>
      <c r="F301" s="3" t="s">
        <v>1528</v>
      </c>
      <c r="G301" s="3"/>
    </row>
    <row r="302" spans="1:7" x14ac:dyDescent="0.25">
      <c r="A302" s="3"/>
      <c r="B302" s="3" t="s">
        <v>1686</v>
      </c>
      <c r="C302" s="3" t="s">
        <v>1687</v>
      </c>
      <c r="D302" s="3" t="s">
        <v>12</v>
      </c>
      <c r="E302" s="3" t="s">
        <v>1688</v>
      </c>
      <c r="F302" s="3" t="s">
        <v>43</v>
      </c>
      <c r="G302" s="3"/>
    </row>
    <row r="303" spans="1:7" x14ac:dyDescent="0.25">
      <c r="A303" s="3"/>
      <c r="B303" s="3" t="s">
        <v>1689</v>
      </c>
      <c r="C303" s="3" t="s">
        <v>1690</v>
      </c>
      <c r="D303" s="3" t="s">
        <v>12</v>
      </c>
      <c r="E303" s="3" t="s">
        <v>1691</v>
      </c>
      <c r="F303" s="3" t="s">
        <v>47</v>
      </c>
      <c r="G303" s="3"/>
    </row>
    <row r="304" spans="1:7" x14ac:dyDescent="0.25">
      <c r="A304" s="3"/>
      <c r="B304" s="3" t="s">
        <v>649</v>
      </c>
      <c r="C304" s="3" t="s">
        <v>650</v>
      </c>
      <c r="D304" s="3" t="s">
        <v>12</v>
      </c>
      <c r="E304" s="3" t="s">
        <v>651</v>
      </c>
      <c r="F304" s="3" t="s">
        <v>48</v>
      </c>
      <c r="G304" s="3"/>
    </row>
    <row r="305" spans="1:7" x14ac:dyDescent="0.25">
      <c r="A305" s="3"/>
      <c r="B305" s="3" t="s">
        <v>652</v>
      </c>
      <c r="C305" s="3" t="s">
        <v>653</v>
      </c>
      <c r="D305" s="3" t="s">
        <v>12</v>
      </c>
      <c r="E305" s="3" t="s">
        <v>654</v>
      </c>
      <c r="F305" s="3" t="s">
        <v>43</v>
      </c>
      <c r="G305" s="3"/>
    </row>
    <row r="306" spans="1:7" x14ac:dyDescent="0.25">
      <c r="A306" s="3"/>
      <c r="B306" s="3" t="s">
        <v>2461</v>
      </c>
      <c r="C306" s="3" t="s">
        <v>2462</v>
      </c>
      <c r="D306" s="3" t="s">
        <v>12</v>
      </c>
      <c r="E306" s="3" t="s">
        <v>1155</v>
      </c>
      <c r="F306" s="3" t="s">
        <v>2467</v>
      </c>
      <c r="G306" s="3"/>
    </row>
    <row r="307" spans="1:7" x14ac:dyDescent="0.25">
      <c r="A307" s="3"/>
      <c r="B307" s="3" t="s">
        <v>655</v>
      </c>
      <c r="C307" s="3" t="s">
        <v>656</v>
      </c>
      <c r="D307" s="3" t="s">
        <v>12</v>
      </c>
      <c r="E307" s="3" t="s">
        <v>657</v>
      </c>
      <c r="F307" s="3" t="s">
        <v>327</v>
      </c>
      <c r="G307" s="3"/>
    </row>
    <row r="308" spans="1:7" x14ac:dyDescent="0.25">
      <c r="A308" s="3"/>
      <c r="B308" s="3" t="s">
        <v>1692</v>
      </c>
      <c r="C308" s="3" t="s">
        <v>1693</v>
      </c>
      <c r="D308" s="3" t="s">
        <v>12</v>
      </c>
      <c r="E308" s="3" t="s">
        <v>1694</v>
      </c>
      <c r="F308" s="3" t="s">
        <v>44</v>
      </c>
      <c r="G308" s="3"/>
    </row>
    <row r="309" spans="1:7" x14ac:dyDescent="0.25">
      <c r="A309" s="3"/>
      <c r="B309" s="3" t="s">
        <v>2426</v>
      </c>
      <c r="C309" s="3" t="s">
        <v>2427</v>
      </c>
      <c r="D309" s="3" t="s">
        <v>12</v>
      </c>
      <c r="E309" s="3" t="s">
        <v>2429</v>
      </c>
      <c r="F309" s="3" t="s">
        <v>43</v>
      </c>
      <c r="G309" s="3"/>
    </row>
    <row r="310" spans="1:7" x14ac:dyDescent="0.25">
      <c r="A310" s="3"/>
      <c r="B310" s="3" t="s">
        <v>1695</v>
      </c>
      <c r="C310" s="3" t="s">
        <v>1696</v>
      </c>
      <c r="D310" s="3" t="s">
        <v>12</v>
      </c>
      <c r="E310" s="3" t="s">
        <v>1697</v>
      </c>
      <c r="F310" s="3" t="s">
        <v>93</v>
      </c>
      <c r="G310" s="3"/>
    </row>
    <row r="311" spans="1:7" x14ac:dyDescent="0.25">
      <c r="A311" s="3"/>
      <c r="B311" s="3" t="s">
        <v>1698</v>
      </c>
      <c r="C311" s="3" t="s">
        <v>1699</v>
      </c>
      <c r="D311" s="3" t="s">
        <v>12</v>
      </c>
      <c r="E311" s="3" t="s">
        <v>1700</v>
      </c>
      <c r="F311" s="3" t="s">
        <v>1701</v>
      </c>
      <c r="G311" s="3"/>
    </row>
    <row r="312" spans="1:7" x14ac:dyDescent="0.25">
      <c r="A312" s="3"/>
      <c r="B312" s="3" t="s">
        <v>1702</v>
      </c>
      <c r="C312" s="3" t="s">
        <v>1703</v>
      </c>
      <c r="D312" s="3" t="s">
        <v>12</v>
      </c>
      <c r="E312" s="3" t="s">
        <v>1704</v>
      </c>
      <c r="F312" s="3" t="s">
        <v>340</v>
      </c>
      <c r="G312" s="3"/>
    </row>
    <row r="313" spans="1:7" x14ac:dyDescent="0.25">
      <c r="A313" s="3"/>
      <c r="B313" s="3" t="s">
        <v>2153</v>
      </c>
      <c r="C313" s="3" t="s">
        <v>2154</v>
      </c>
      <c r="D313" s="3" t="s">
        <v>12</v>
      </c>
      <c r="E313" s="3" t="s">
        <v>1704</v>
      </c>
      <c r="F313" s="3" t="s">
        <v>46</v>
      </c>
      <c r="G313" s="3"/>
    </row>
    <row r="314" spans="1:7" x14ac:dyDescent="0.25">
      <c r="A314" s="3"/>
      <c r="B314" s="3" t="s">
        <v>2155</v>
      </c>
      <c r="C314" s="3" t="s">
        <v>2156</v>
      </c>
      <c r="D314" s="3" t="s">
        <v>12</v>
      </c>
      <c r="E314" s="3" t="s">
        <v>1407</v>
      </c>
      <c r="F314" s="3" t="s">
        <v>311</v>
      </c>
      <c r="G314" s="3"/>
    </row>
    <row r="315" spans="1:7" x14ac:dyDescent="0.25">
      <c r="A315" s="3"/>
      <c r="B315" s="3" t="s">
        <v>658</v>
      </c>
      <c r="C315" s="3" t="s">
        <v>659</v>
      </c>
      <c r="D315" s="3" t="s">
        <v>12</v>
      </c>
      <c r="E315" s="3" t="s">
        <v>660</v>
      </c>
      <c r="F315" s="3" t="s">
        <v>44</v>
      </c>
      <c r="G315" s="3"/>
    </row>
    <row r="316" spans="1:7" x14ac:dyDescent="0.25">
      <c r="A316" s="3"/>
      <c r="B316" s="3" t="s">
        <v>661</v>
      </c>
      <c r="C316" s="3" t="s">
        <v>662</v>
      </c>
      <c r="D316" s="3" t="s">
        <v>12</v>
      </c>
      <c r="E316" s="3" t="s">
        <v>663</v>
      </c>
      <c r="F316" s="3" t="s">
        <v>43</v>
      </c>
      <c r="G316" s="3"/>
    </row>
    <row r="317" spans="1:7" x14ac:dyDescent="0.25">
      <c r="A317" s="3"/>
      <c r="B317" s="3" t="s">
        <v>1705</v>
      </c>
      <c r="C317" s="3" t="s">
        <v>1706</v>
      </c>
      <c r="D317" s="3" t="s">
        <v>12</v>
      </c>
      <c r="E317" s="3" t="s">
        <v>1707</v>
      </c>
      <c r="F317" s="3" t="s">
        <v>664</v>
      </c>
      <c r="G317" s="3"/>
    </row>
    <row r="318" spans="1:7" x14ac:dyDescent="0.25">
      <c r="A318" s="3"/>
      <c r="B318" s="3" t="s">
        <v>665</v>
      </c>
      <c r="C318" s="3" t="s">
        <v>666</v>
      </c>
      <c r="D318" s="3" t="s">
        <v>12</v>
      </c>
      <c r="E318" s="3" t="s">
        <v>667</v>
      </c>
      <c r="F318" s="3" t="s">
        <v>46</v>
      </c>
      <c r="G318" s="3"/>
    </row>
    <row r="319" spans="1:7" x14ac:dyDescent="0.25">
      <c r="A319" s="3"/>
      <c r="B319" s="3" t="s">
        <v>668</v>
      </c>
      <c r="C319" s="3" t="s">
        <v>669</v>
      </c>
      <c r="D319" s="3" t="s">
        <v>12</v>
      </c>
      <c r="E319" s="3" t="s">
        <v>670</v>
      </c>
      <c r="F319" s="3" t="s">
        <v>48</v>
      </c>
      <c r="G319" s="3"/>
    </row>
    <row r="320" spans="1:7" x14ac:dyDescent="0.25">
      <c r="A320" s="3"/>
      <c r="B320" s="3" t="s">
        <v>1708</v>
      </c>
      <c r="C320" s="3" t="s">
        <v>1709</v>
      </c>
      <c r="D320" s="3" t="s">
        <v>12</v>
      </c>
      <c r="E320" s="3" t="s">
        <v>1710</v>
      </c>
      <c r="F320" s="3" t="s">
        <v>48</v>
      </c>
      <c r="G320" s="3"/>
    </row>
    <row r="321" spans="1:7" x14ac:dyDescent="0.25">
      <c r="A321" s="3"/>
      <c r="B321" s="3" t="s">
        <v>671</v>
      </c>
      <c r="C321" s="3" t="s">
        <v>672</v>
      </c>
      <c r="D321" s="3" t="s">
        <v>12</v>
      </c>
      <c r="E321" s="3" t="s">
        <v>673</v>
      </c>
      <c r="F321" s="3" t="s">
        <v>47</v>
      </c>
      <c r="G321" s="3"/>
    </row>
    <row r="322" spans="1:7" x14ac:dyDescent="0.25">
      <c r="A322" s="3"/>
      <c r="B322" s="3" t="s">
        <v>1711</v>
      </c>
      <c r="C322" s="3" t="s">
        <v>1712</v>
      </c>
      <c r="D322" s="3" t="s">
        <v>12</v>
      </c>
      <c r="E322" s="3" t="s">
        <v>1713</v>
      </c>
      <c r="F322" s="3" t="s">
        <v>340</v>
      </c>
      <c r="G322" s="3"/>
    </row>
    <row r="323" spans="1:7" x14ac:dyDescent="0.25">
      <c r="A323" s="3"/>
      <c r="B323" s="3" t="s">
        <v>2157</v>
      </c>
      <c r="C323" s="3" t="s">
        <v>2158</v>
      </c>
      <c r="D323" s="3" t="s">
        <v>12</v>
      </c>
      <c r="E323" s="3" t="s">
        <v>2159</v>
      </c>
      <c r="F323" s="3" t="s">
        <v>2160</v>
      </c>
      <c r="G323" s="3"/>
    </row>
    <row r="324" spans="1:7" x14ac:dyDescent="0.25">
      <c r="A324" s="3"/>
      <c r="B324" s="3" t="s">
        <v>2161</v>
      </c>
      <c r="C324" s="3" t="s">
        <v>2162</v>
      </c>
      <c r="D324" s="3" t="s">
        <v>12</v>
      </c>
      <c r="E324" s="3" t="s">
        <v>2163</v>
      </c>
      <c r="F324" s="3" t="s">
        <v>46</v>
      </c>
      <c r="G324" s="3"/>
    </row>
    <row r="325" spans="1:7" x14ac:dyDescent="0.25">
      <c r="A325" s="3"/>
      <c r="B325" s="3" t="s">
        <v>674</v>
      </c>
      <c r="C325" s="3" t="s">
        <v>675</v>
      </c>
      <c r="D325" s="3" t="s">
        <v>12</v>
      </c>
      <c r="E325" s="3" t="s">
        <v>676</v>
      </c>
      <c r="F325" s="3" t="s">
        <v>44</v>
      </c>
      <c r="G325" s="3"/>
    </row>
    <row r="326" spans="1:7" x14ac:dyDescent="0.25">
      <c r="A326" s="3"/>
      <c r="B326" s="3" t="s">
        <v>677</v>
      </c>
      <c r="C326" s="3" t="s">
        <v>678</v>
      </c>
      <c r="D326" s="3" t="s">
        <v>12</v>
      </c>
      <c r="E326" s="3" t="s">
        <v>679</v>
      </c>
      <c r="F326" s="3" t="s">
        <v>327</v>
      </c>
      <c r="G326" s="3"/>
    </row>
    <row r="327" spans="1:7" x14ac:dyDescent="0.25">
      <c r="A327" s="3"/>
      <c r="B327" s="3" t="s">
        <v>1714</v>
      </c>
      <c r="C327" s="3" t="s">
        <v>1715</v>
      </c>
      <c r="D327" s="3" t="s">
        <v>12</v>
      </c>
      <c r="E327" s="3" t="s">
        <v>1716</v>
      </c>
      <c r="F327" s="3" t="s">
        <v>46</v>
      </c>
      <c r="G327" s="3"/>
    </row>
    <row r="328" spans="1:7" x14ac:dyDescent="0.25">
      <c r="A328" s="3"/>
      <c r="B328" s="3" t="s">
        <v>1717</v>
      </c>
      <c r="C328" s="3" t="s">
        <v>1718</v>
      </c>
      <c r="D328" s="3" t="s">
        <v>12</v>
      </c>
      <c r="E328" s="3" t="s">
        <v>1719</v>
      </c>
      <c r="F328" s="3" t="s">
        <v>46</v>
      </c>
      <c r="G328" s="3"/>
    </row>
    <row r="329" spans="1:7" x14ac:dyDescent="0.25">
      <c r="A329" s="3"/>
      <c r="B329" s="3" t="s">
        <v>680</v>
      </c>
      <c r="C329" s="3" t="s">
        <v>681</v>
      </c>
      <c r="D329" s="3" t="s">
        <v>12</v>
      </c>
      <c r="E329" s="3" t="s">
        <v>682</v>
      </c>
      <c r="F329" s="3" t="s">
        <v>43</v>
      </c>
      <c r="G329" s="3"/>
    </row>
    <row r="330" spans="1:7" x14ac:dyDescent="0.25">
      <c r="A330" s="3"/>
      <c r="B330" s="3" t="s">
        <v>1384</v>
      </c>
      <c r="C330" s="3" t="s">
        <v>1385</v>
      </c>
      <c r="D330" s="3" t="s">
        <v>12</v>
      </c>
      <c r="E330" s="3" t="s">
        <v>50</v>
      </c>
      <c r="F330" s="3" t="s">
        <v>49</v>
      </c>
      <c r="G330" s="3"/>
    </row>
    <row r="331" spans="1:7" x14ac:dyDescent="0.25">
      <c r="A331" s="3"/>
      <c r="B331" s="3" t="s">
        <v>683</v>
      </c>
      <c r="C331" s="3" t="s">
        <v>684</v>
      </c>
      <c r="D331" s="3" t="s">
        <v>12</v>
      </c>
      <c r="E331" s="3" t="s">
        <v>50</v>
      </c>
      <c r="F331" s="3" t="s">
        <v>327</v>
      </c>
      <c r="G331" s="3"/>
    </row>
    <row r="332" spans="1:7" x14ac:dyDescent="0.25">
      <c r="A332" s="3"/>
      <c r="B332" s="3" t="s">
        <v>685</v>
      </c>
      <c r="C332" s="3" t="s">
        <v>686</v>
      </c>
      <c r="D332" s="3" t="s">
        <v>12</v>
      </c>
      <c r="E332" s="3" t="s">
        <v>687</v>
      </c>
      <c r="F332" s="3" t="s">
        <v>12</v>
      </c>
      <c r="G332" s="3"/>
    </row>
    <row r="333" spans="1:7" x14ac:dyDescent="0.25">
      <c r="A333" s="3"/>
      <c r="B333" s="3" t="s">
        <v>688</v>
      </c>
      <c r="C333" s="3" t="s">
        <v>689</v>
      </c>
      <c r="D333" s="3" t="s">
        <v>12</v>
      </c>
      <c r="E333" s="3" t="s">
        <v>690</v>
      </c>
      <c r="F333" s="3" t="s">
        <v>43</v>
      </c>
      <c r="G333" s="3"/>
    </row>
    <row r="334" spans="1:7" x14ac:dyDescent="0.25">
      <c r="A334" s="3"/>
      <c r="B334" s="3" t="s">
        <v>1720</v>
      </c>
      <c r="C334" s="3" t="s">
        <v>1721</v>
      </c>
      <c r="D334" s="3" t="s">
        <v>12</v>
      </c>
      <c r="E334" s="3" t="s">
        <v>1722</v>
      </c>
      <c r="F334" s="3" t="s">
        <v>48</v>
      </c>
      <c r="G334" s="3"/>
    </row>
    <row r="335" spans="1:7" x14ac:dyDescent="0.25">
      <c r="A335" s="3"/>
      <c r="B335" s="3" t="s">
        <v>1723</v>
      </c>
      <c r="C335" s="3" t="s">
        <v>1724</v>
      </c>
      <c r="D335" s="3" t="s">
        <v>12</v>
      </c>
      <c r="E335" s="3" t="s">
        <v>1725</v>
      </c>
      <c r="F335" s="3" t="s">
        <v>43</v>
      </c>
      <c r="G335" s="3"/>
    </row>
    <row r="336" spans="1:7" x14ac:dyDescent="0.25">
      <c r="A336" s="3"/>
      <c r="B336" s="3" t="s">
        <v>691</v>
      </c>
      <c r="C336" s="3" t="s">
        <v>692</v>
      </c>
      <c r="D336" s="3" t="s">
        <v>12</v>
      </c>
      <c r="E336" s="3" t="s">
        <v>693</v>
      </c>
      <c r="F336" s="3" t="s">
        <v>44</v>
      </c>
      <c r="G336" s="3"/>
    </row>
    <row r="337" spans="1:7" x14ac:dyDescent="0.25">
      <c r="A337" s="3"/>
      <c r="B337" s="3" t="s">
        <v>694</v>
      </c>
      <c r="C337" s="3" t="s">
        <v>695</v>
      </c>
      <c r="D337" s="3" t="s">
        <v>12</v>
      </c>
      <c r="E337" s="3" t="s">
        <v>696</v>
      </c>
      <c r="F337" s="3" t="s">
        <v>44</v>
      </c>
      <c r="G337" s="3"/>
    </row>
    <row r="338" spans="1:7" x14ac:dyDescent="0.25">
      <c r="A338" s="3"/>
      <c r="B338" s="3" t="s">
        <v>697</v>
      </c>
      <c r="C338" s="3" t="s">
        <v>698</v>
      </c>
      <c r="D338" s="3" t="s">
        <v>12</v>
      </c>
      <c r="E338" s="3" t="s">
        <v>699</v>
      </c>
      <c r="F338" s="3" t="s">
        <v>43</v>
      </c>
      <c r="G338" s="3"/>
    </row>
    <row r="339" spans="1:7" x14ac:dyDescent="0.25">
      <c r="A339" s="3"/>
      <c r="B339" s="3" t="s">
        <v>700</v>
      </c>
      <c r="C339" s="3" t="s">
        <v>701</v>
      </c>
      <c r="D339" s="3" t="s">
        <v>12</v>
      </c>
      <c r="E339" s="3" t="s">
        <v>702</v>
      </c>
      <c r="F339" s="3" t="s">
        <v>44</v>
      </c>
      <c r="G339" s="3"/>
    </row>
    <row r="340" spans="1:7" x14ac:dyDescent="0.25">
      <c r="A340" s="3"/>
      <c r="B340" s="3" t="s">
        <v>703</v>
      </c>
      <c r="C340" s="3" t="s">
        <v>704</v>
      </c>
      <c r="D340" s="3" t="s">
        <v>12</v>
      </c>
      <c r="E340" s="3" t="s">
        <v>705</v>
      </c>
      <c r="F340" s="3" t="s">
        <v>48</v>
      </c>
      <c r="G340" s="3"/>
    </row>
    <row r="341" spans="1:7" x14ac:dyDescent="0.25">
      <c r="A341" s="3"/>
      <c r="B341" s="3" t="s">
        <v>2506</v>
      </c>
      <c r="C341" s="3" t="s">
        <v>2401</v>
      </c>
      <c r="D341" s="3" t="s">
        <v>12</v>
      </c>
      <c r="E341" s="3" t="s">
        <v>2507</v>
      </c>
      <c r="F341" s="3" t="s">
        <v>201</v>
      </c>
      <c r="G341" s="3"/>
    </row>
    <row r="342" spans="1:7" x14ac:dyDescent="0.25">
      <c r="A342" s="3"/>
      <c r="B342" s="3" t="s">
        <v>1726</v>
      </c>
      <c r="C342" s="3" t="s">
        <v>1727</v>
      </c>
      <c r="D342" s="3" t="s">
        <v>12</v>
      </c>
      <c r="E342" s="3" t="s">
        <v>1728</v>
      </c>
      <c r="F342" s="3" t="s">
        <v>340</v>
      </c>
      <c r="G342" s="3"/>
    </row>
    <row r="343" spans="1:7" x14ac:dyDescent="0.25">
      <c r="A343" s="3"/>
      <c r="B343" s="3" t="s">
        <v>1729</v>
      </c>
      <c r="C343" s="3" t="s">
        <v>1730</v>
      </c>
      <c r="D343" s="3" t="s">
        <v>12</v>
      </c>
      <c r="E343" s="3" t="s">
        <v>1731</v>
      </c>
      <c r="F343" s="3" t="s">
        <v>311</v>
      </c>
      <c r="G343" s="3"/>
    </row>
    <row r="344" spans="1:7" x14ac:dyDescent="0.25">
      <c r="A344" s="3"/>
      <c r="B344" s="3" t="s">
        <v>706</v>
      </c>
      <c r="C344" s="3" t="s">
        <v>707</v>
      </c>
      <c r="D344" s="3" t="s">
        <v>12</v>
      </c>
      <c r="E344" s="3" t="s">
        <v>708</v>
      </c>
      <c r="F344" s="3" t="s">
        <v>43</v>
      </c>
      <c r="G344" s="3"/>
    </row>
    <row r="345" spans="1:7" x14ac:dyDescent="0.25">
      <c r="A345" s="3"/>
      <c r="B345" s="3" t="s">
        <v>2164</v>
      </c>
      <c r="C345" s="3" t="s">
        <v>2165</v>
      </c>
      <c r="D345" s="3" t="s">
        <v>12</v>
      </c>
      <c r="E345" s="3" t="s">
        <v>2166</v>
      </c>
      <c r="F345" s="3" t="s">
        <v>129</v>
      </c>
      <c r="G345" s="3"/>
    </row>
    <row r="346" spans="1:7" x14ac:dyDescent="0.25">
      <c r="A346" s="3"/>
      <c r="B346" s="3" t="s">
        <v>709</v>
      </c>
      <c r="C346" s="3" t="s">
        <v>710</v>
      </c>
      <c r="D346" s="3" t="s">
        <v>12</v>
      </c>
      <c r="E346" s="3" t="s">
        <v>711</v>
      </c>
      <c r="F346" s="3" t="s">
        <v>712</v>
      </c>
      <c r="G346" s="3"/>
    </row>
    <row r="347" spans="1:7" x14ac:dyDescent="0.25">
      <c r="A347" s="3"/>
      <c r="B347" s="3" t="s">
        <v>713</v>
      </c>
      <c r="C347" s="3" t="s">
        <v>714</v>
      </c>
      <c r="D347" s="3" t="s">
        <v>12</v>
      </c>
      <c r="E347" s="3" t="s">
        <v>715</v>
      </c>
      <c r="F347" s="3" t="s">
        <v>664</v>
      </c>
      <c r="G347" s="3"/>
    </row>
    <row r="348" spans="1:7" x14ac:dyDescent="0.25">
      <c r="A348" s="3"/>
      <c r="B348" s="3" t="s">
        <v>1732</v>
      </c>
      <c r="C348" s="3" t="s">
        <v>1733</v>
      </c>
      <c r="D348" s="3" t="s">
        <v>12</v>
      </c>
      <c r="E348" s="3" t="s">
        <v>1734</v>
      </c>
      <c r="F348" s="3" t="s">
        <v>129</v>
      </c>
      <c r="G348" s="3"/>
    </row>
    <row r="349" spans="1:7" x14ac:dyDescent="0.25">
      <c r="A349" s="3"/>
      <c r="B349" s="3" t="s">
        <v>716</v>
      </c>
      <c r="C349" s="3" t="s">
        <v>717</v>
      </c>
      <c r="D349" s="3" t="s">
        <v>12</v>
      </c>
      <c r="E349" s="3" t="s">
        <v>718</v>
      </c>
      <c r="F349" s="3" t="s">
        <v>93</v>
      </c>
      <c r="G349" s="3"/>
    </row>
    <row r="350" spans="1:7" x14ac:dyDescent="0.25">
      <c r="A350" s="3"/>
      <c r="B350" s="3" t="s">
        <v>1735</v>
      </c>
      <c r="C350" s="3" t="s">
        <v>1736</v>
      </c>
      <c r="D350" s="3" t="s">
        <v>12</v>
      </c>
      <c r="E350" s="3" t="s">
        <v>1737</v>
      </c>
      <c r="F350" s="3" t="s">
        <v>1570</v>
      </c>
      <c r="G350" s="3"/>
    </row>
    <row r="351" spans="1:7" x14ac:dyDescent="0.25">
      <c r="A351" s="3"/>
      <c r="B351" s="3" t="s">
        <v>719</v>
      </c>
      <c r="C351" s="3" t="s">
        <v>720</v>
      </c>
      <c r="D351" s="3" t="s">
        <v>12</v>
      </c>
      <c r="E351" s="3" t="s">
        <v>721</v>
      </c>
      <c r="F351" s="3" t="s">
        <v>46</v>
      </c>
      <c r="G351" s="3"/>
    </row>
    <row r="352" spans="1:7" x14ac:dyDescent="0.25">
      <c r="A352" s="3"/>
      <c r="B352" s="3" t="s">
        <v>722</v>
      </c>
      <c r="C352" s="3" t="s">
        <v>723</v>
      </c>
      <c r="D352" s="3" t="s">
        <v>12</v>
      </c>
      <c r="E352" s="3" t="s">
        <v>724</v>
      </c>
      <c r="F352" s="3" t="s">
        <v>129</v>
      </c>
      <c r="G352" s="3"/>
    </row>
    <row r="353" spans="1:7" x14ac:dyDescent="0.25">
      <c r="A353" s="3"/>
      <c r="B353" s="3" t="s">
        <v>1738</v>
      </c>
      <c r="C353" s="3" t="s">
        <v>1739</v>
      </c>
      <c r="D353" s="3" t="s">
        <v>12</v>
      </c>
      <c r="E353" s="3" t="s">
        <v>1740</v>
      </c>
      <c r="F353" s="3" t="s">
        <v>49</v>
      </c>
      <c r="G353" s="3"/>
    </row>
    <row r="354" spans="1:7" x14ac:dyDescent="0.25">
      <c r="A354" s="3"/>
      <c r="B354" s="3" t="s">
        <v>1386</v>
      </c>
      <c r="C354" s="3" t="s">
        <v>1387</v>
      </c>
      <c r="D354" s="3" t="s">
        <v>12</v>
      </c>
      <c r="E354" s="3" t="s">
        <v>1388</v>
      </c>
      <c r="F354" s="3" t="s">
        <v>48</v>
      </c>
      <c r="G354" s="3"/>
    </row>
    <row r="355" spans="1:7" x14ac:dyDescent="0.25">
      <c r="A355" s="3"/>
      <c r="B355" s="3" t="s">
        <v>728</v>
      </c>
      <c r="C355" s="3" t="s">
        <v>729</v>
      </c>
      <c r="D355" s="3" t="s">
        <v>12</v>
      </c>
      <c r="E355" s="3" t="s">
        <v>730</v>
      </c>
      <c r="F355" s="3" t="s">
        <v>46</v>
      </c>
      <c r="G355" s="3"/>
    </row>
    <row r="356" spans="1:7" x14ac:dyDescent="0.25">
      <c r="A356" s="3"/>
      <c r="B356" s="3" t="s">
        <v>1741</v>
      </c>
      <c r="C356" s="3" t="s">
        <v>1742</v>
      </c>
      <c r="D356" s="3" t="s">
        <v>12</v>
      </c>
      <c r="E356" s="3" t="s">
        <v>1743</v>
      </c>
      <c r="F356" s="3" t="s">
        <v>129</v>
      </c>
      <c r="G356" s="3"/>
    </row>
    <row r="357" spans="1:7" x14ac:dyDescent="0.25">
      <c r="A357" s="3"/>
      <c r="B357" s="3" t="s">
        <v>2167</v>
      </c>
      <c r="C357" s="3" t="s">
        <v>2168</v>
      </c>
      <c r="D357" s="3" t="s">
        <v>12</v>
      </c>
      <c r="E357" s="3" t="s">
        <v>2169</v>
      </c>
      <c r="F357" s="3" t="s">
        <v>129</v>
      </c>
      <c r="G357" s="3"/>
    </row>
    <row r="358" spans="1:7" x14ac:dyDescent="0.25">
      <c r="A358" s="3"/>
      <c r="B358" s="3" t="s">
        <v>731</v>
      </c>
      <c r="C358" s="3" t="s">
        <v>732</v>
      </c>
      <c r="D358" s="3" t="s">
        <v>12</v>
      </c>
      <c r="E358" s="3" t="s">
        <v>733</v>
      </c>
      <c r="F358" s="3" t="s">
        <v>44</v>
      </c>
      <c r="G358" s="3"/>
    </row>
    <row r="359" spans="1:7" x14ac:dyDescent="0.25">
      <c r="A359" s="3"/>
      <c r="B359" s="3" t="s">
        <v>734</v>
      </c>
      <c r="C359" s="3" t="s">
        <v>1744</v>
      </c>
      <c r="D359" s="3" t="s">
        <v>12</v>
      </c>
      <c r="E359" s="3" t="s">
        <v>736</v>
      </c>
      <c r="F359" s="3" t="s">
        <v>49</v>
      </c>
      <c r="G359" s="3"/>
    </row>
    <row r="360" spans="1:7" x14ac:dyDescent="0.25">
      <c r="A360" s="3"/>
      <c r="B360" s="3" t="s">
        <v>2463</v>
      </c>
      <c r="C360" s="3" t="s">
        <v>2464</v>
      </c>
      <c r="D360" s="3" t="s">
        <v>12</v>
      </c>
      <c r="E360" s="3" t="s">
        <v>2468</v>
      </c>
      <c r="F360" s="3" t="s">
        <v>129</v>
      </c>
      <c r="G360" s="3"/>
    </row>
    <row r="361" spans="1:7" x14ac:dyDescent="0.25">
      <c r="A361" s="3"/>
      <c r="B361" s="3" t="s">
        <v>739</v>
      </c>
      <c r="C361" s="3" t="s">
        <v>740</v>
      </c>
      <c r="D361" s="3" t="s">
        <v>12</v>
      </c>
      <c r="E361" s="3" t="s">
        <v>741</v>
      </c>
      <c r="F361" s="3" t="s">
        <v>47</v>
      </c>
      <c r="G361" s="3"/>
    </row>
    <row r="362" spans="1:7" x14ac:dyDescent="0.25">
      <c r="A362" s="3"/>
      <c r="B362" s="3" t="s">
        <v>2170</v>
      </c>
      <c r="C362" s="3" t="s">
        <v>2171</v>
      </c>
      <c r="D362" s="3" t="s">
        <v>12</v>
      </c>
      <c r="E362" s="3" t="s">
        <v>2172</v>
      </c>
      <c r="F362" s="3" t="s">
        <v>46</v>
      </c>
      <c r="G362" s="3"/>
    </row>
    <row r="363" spans="1:7" x14ac:dyDescent="0.25">
      <c r="A363" s="3"/>
      <c r="B363" s="3" t="s">
        <v>742</v>
      </c>
      <c r="C363" s="3" t="s">
        <v>743</v>
      </c>
      <c r="D363" s="3" t="s">
        <v>12</v>
      </c>
      <c r="E363" s="3" t="s">
        <v>744</v>
      </c>
      <c r="F363" s="3" t="s">
        <v>311</v>
      </c>
      <c r="G363" s="3"/>
    </row>
    <row r="364" spans="1:7" x14ac:dyDescent="0.25">
      <c r="A364" s="3"/>
      <c r="B364" s="3" t="s">
        <v>1745</v>
      </c>
      <c r="C364" s="3" t="s">
        <v>1746</v>
      </c>
      <c r="D364" s="3" t="s">
        <v>12</v>
      </c>
      <c r="E364" s="3" t="s">
        <v>1747</v>
      </c>
      <c r="F364" s="3" t="s">
        <v>43</v>
      </c>
      <c r="G364" s="3"/>
    </row>
    <row r="365" spans="1:7" x14ac:dyDescent="0.25">
      <c r="A365" s="3"/>
      <c r="B365" s="3" t="s">
        <v>1748</v>
      </c>
      <c r="C365" s="3" t="s">
        <v>1749</v>
      </c>
      <c r="D365" s="3" t="s">
        <v>12</v>
      </c>
      <c r="E365" s="3" t="s">
        <v>1747</v>
      </c>
      <c r="F365" s="3" t="s">
        <v>43</v>
      </c>
      <c r="G365" s="3"/>
    </row>
    <row r="366" spans="1:7" x14ac:dyDescent="0.25">
      <c r="A366" s="3"/>
      <c r="B366" s="3" t="s">
        <v>745</v>
      </c>
      <c r="C366" s="3" t="s">
        <v>746</v>
      </c>
      <c r="D366" s="3" t="s">
        <v>12</v>
      </c>
      <c r="E366" s="3" t="s">
        <v>747</v>
      </c>
      <c r="F366" s="3" t="s">
        <v>327</v>
      </c>
      <c r="G366" s="3"/>
    </row>
    <row r="367" spans="1:7" x14ac:dyDescent="0.25">
      <c r="A367" s="3"/>
      <c r="B367" s="3" t="s">
        <v>748</v>
      </c>
      <c r="C367" s="3" t="s">
        <v>749</v>
      </c>
      <c r="D367" s="3" t="s">
        <v>12</v>
      </c>
      <c r="E367" s="3" t="s">
        <v>747</v>
      </c>
      <c r="F367" s="3" t="s">
        <v>327</v>
      </c>
      <c r="G367" s="3"/>
    </row>
    <row r="368" spans="1:7" x14ac:dyDescent="0.25">
      <c r="A368" s="3"/>
      <c r="B368" s="3" t="s">
        <v>750</v>
      </c>
      <c r="C368" s="3" t="s">
        <v>751</v>
      </c>
      <c r="D368" s="3" t="s">
        <v>12</v>
      </c>
      <c r="E368" s="3" t="s">
        <v>752</v>
      </c>
      <c r="F368" s="3" t="s">
        <v>49</v>
      </c>
      <c r="G368" s="3"/>
    </row>
    <row r="369" spans="1:7" x14ac:dyDescent="0.25">
      <c r="A369" s="3"/>
      <c r="B369" s="3" t="s">
        <v>725</v>
      </c>
      <c r="C369" s="3" t="s">
        <v>726</v>
      </c>
      <c r="D369" s="3" t="s">
        <v>12</v>
      </c>
      <c r="E369" s="3" t="s">
        <v>2173</v>
      </c>
      <c r="F369" s="3" t="s">
        <v>49</v>
      </c>
      <c r="G369" s="3"/>
    </row>
    <row r="370" spans="1:7" x14ac:dyDescent="0.25">
      <c r="A370" s="3"/>
      <c r="B370" s="3" t="s">
        <v>1750</v>
      </c>
      <c r="C370" s="3" t="s">
        <v>1751</v>
      </c>
      <c r="D370" s="3" t="s">
        <v>12</v>
      </c>
      <c r="E370" s="3" t="s">
        <v>1391</v>
      </c>
      <c r="F370" s="3" t="s">
        <v>311</v>
      </c>
      <c r="G370" s="3"/>
    </row>
    <row r="371" spans="1:7" x14ac:dyDescent="0.25">
      <c r="A371" s="3"/>
      <c r="B371" s="3" t="s">
        <v>147</v>
      </c>
      <c r="C371" s="3" t="s">
        <v>148</v>
      </c>
      <c r="D371" s="3" t="s">
        <v>12</v>
      </c>
      <c r="E371" s="3" t="s">
        <v>149</v>
      </c>
      <c r="F371" s="3" t="s">
        <v>150</v>
      </c>
      <c r="G371" s="3"/>
    </row>
    <row r="372" spans="1:7" x14ac:dyDescent="0.25">
      <c r="A372" s="3"/>
      <c r="B372" s="3" t="s">
        <v>1752</v>
      </c>
      <c r="C372" s="3" t="s">
        <v>1753</v>
      </c>
      <c r="D372" s="3" t="s">
        <v>12</v>
      </c>
      <c r="E372" s="3" t="s">
        <v>1754</v>
      </c>
      <c r="F372" s="3" t="s">
        <v>47</v>
      </c>
      <c r="G372" s="3"/>
    </row>
    <row r="373" spans="1:7" x14ac:dyDescent="0.25">
      <c r="A373" s="3"/>
      <c r="B373" s="3" t="s">
        <v>2174</v>
      </c>
      <c r="C373" s="3" t="s">
        <v>2175</v>
      </c>
      <c r="D373" s="3" t="s">
        <v>12</v>
      </c>
      <c r="E373" s="3" t="s">
        <v>2176</v>
      </c>
      <c r="F373" s="3" t="s">
        <v>340</v>
      </c>
      <c r="G373" s="3"/>
    </row>
    <row r="374" spans="1:7" x14ac:dyDescent="0.25">
      <c r="A374" s="3"/>
      <c r="B374" s="3" t="s">
        <v>1755</v>
      </c>
      <c r="C374" s="3" t="s">
        <v>1756</v>
      </c>
      <c r="D374" s="3" t="s">
        <v>12</v>
      </c>
      <c r="E374" s="3" t="s">
        <v>1757</v>
      </c>
      <c r="F374" s="3" t="s">
        <v>1758</v>
      </c>
      <c r="G374" s="3"/>
    </row>
    <row r="375" spans="1:7" x14ac:dyDescent="0.25">
      <c r="A375" s="3"/>
      <c r="B375" s="3" t="s">
        <v>753</v>
      </c>
      <c r="C375" s="3" t="s">
        <v>754</v>
      </c>
      <c r="D375" s="3" t="s">
        <v>12</v>
      </c>
      <c r="E375" s="3" t="s">
        <v>755</v>
      </c>
      <c r="F375" s="3" t="s">
        <v>12</v>
      </c>
      <c r="G375" s="3"/>
    </row>
    <row r="376" spans="1:7" x14ac:dyDescent="0.25">
      <c r="A376" s="3"/>
      <c r="B376" s="3" t="s">
        <v>756</v>
      </c>
      <c r="C376" s="3" t="s">
        <v>757</v>
      </c>
      <c r="D376" s="3" t="s">
        <v>12</v>
      </c>
      <c r="E376" s="3" t="s">
        <v>758</v>
      </c>
      <c r="F376" s="3" t="s">
        <v>327</v>
      </c>
      <c r="G376" s="3"/>
    </row>
    <row r="377" spans="1:7" x14ac:dyDescent="0.25">
      <c r="A377" s="3"/>
      <c r="B377" s="3" t="s">
        <v>1759</v>
      </c>
      <c r="C377" s="3" t="s">
        <v>1760</v>
      </c>
      <c r="D377" s="3" t="s">
        <v>12</v>
      </c>
      <c r="E377" s="3" t="s">
        <v>1761</v>
      </c>
      <c r="F377" s="3" t="s">
        <v>327</v>
      </c>
      <c r="G377" s="3"/>
    </row>
    <row r="378" spans="1:7" x14ac:dyDescent="0.25">
      <c r="A378" s="3"/>
      <c r="B378" s="3" t="s">
        <v>1762</v>
      </c>
      <c r="C378" s="3" t="s">
        <v>1763</v>
      </c>
      <c r="D378" s="3" t="s">
        <v>12</v>
      </c>
      <c r="E378" s="3" t="s">
        <v>1764</v>
      </c>
      <c r="F378" s="3" t="s">
        <v>46</v>
      </c>
      <c r="G378" s="3"/>
    </row>
    <row r="379" spans="1:7" x14ac:dyDescent="0.25">
      <c r="A379" s="3"/>
      <c r="B379" s="3" t="s">
        <v>1765</v>
      </c>
      <c r="C379" s="3" t="s">
        <v>1766</v>
      </c>
      <c r="D379" s="3" t="s">
        <v>12</v>
      </c>
      <c r="E379" s="3" t="s">
        <v>1767</v>
      </c>
      <c r="F379" s="3" t="s">
        <v>46</v>
      </c>
      <c r="G379" s="3"/>
    </row>
    <row r="380" spans="1:7" x14ac:dyDescent="0.25">
      <c r="A380" s="3"/>
      <c r="B380" s="3" t="s">
        <v>2177</v>
      </c>
      <c r="C380" s="3" t="s">
        <v>2178</v>
      </c>
      <c r="D380" s="3" t="s">
        <v>12</v>
      </c>
      <c r="E380" s="3" t="s">
        <v>2179</v>
      </c>
      <c r="F380" s="3" t="s">
        <v>47</v>
      </c>
      <c r="G380" s="3"/>
    </row>
    <row r="381" spans="1:7" x14ac:dyDescent="0.25">
      <c r="A381" s="3"/>
      <c r="B381" s="3" t="s">
        <v>2180</v>
      </c>
      <c r="C381" s="3" t="s">
        <v>2181</v>
      </c>
      <c r="D381" s="3" t="s">
        <v>12</v>
      </c>
      <c r="E381" s="3" t="s">
        <v>1445</v>
      </c>
      <c r="F381" s="3" t="s">
        <v>311</v>
      </c>
      <c r="G381" s="3"/>
    </row>
    <row r="382" spans="1:7" x14ac:dyDescent="0.25">
      <c r="A382" s="3"/>
      <c r="B382" s="3" t="s">
        <v>759</v>
      </c>
      <c r="C382" s="3" t="s">
        <v>760</v>
      </c>
      <c r="D382" s="3" t="s">
        <v>12</v>
      </c>
      <c r="E382" s="3" t="s">
        <v>761</v>
      </c>
      <c r="F382" s="3" t="s">
        <v>46</v>
      </c>
      <c r="G382" s="3"/>
    </row>
    <row r="383" spans="1:7" x14ac:dyDescent="0.25">
      <c r="A383" s="3"/>
      <c r="B383" s="3" t="s">
        <v>762</v>
      </c>
      <c r="C383" s="3" t="s">
        <v>763</v>
      </c>
      <c r="D383" s="3" t="s">
        <v>12</v>
      </c>
      <c r="E383" s="3" t="s">
        <v>764</v>
      </c>
      <c r="F383" s="3" t="s">
        <v>44</v>
      </c>
      <c r="G383" s="3"/>
    </row>
    <row r="384" spans="1:7" x14ac:dyDescent="0.25">
      <c r="A384" s="3"/>
      <c r="B384" s="3" t="s">
        <v>2182</v>
      </c>
      <c r="C384" s="3" t="s">
        <v>2183</v>
      </c>
      <c r="D384" s="3" t="s">
        <v>12</v>
      </c>
      <c r="E384" s="3" t="s">
        <v>2184</v>
      </c>
      <c r="F384" s="3" t="s">
        <v>47</v>
      </c>
      <c r="G384" s="3"/>
    </row>
    <row r="385" spans="1:7" x14ac:dyDescent="0.25">
      <c r="A385" s="3"/>
      <c r="B385" s="3" t="s">
        <v>765</v>
      </c>
      <c r="C385" s="3" t="s">
        <v>766</v>
      </c>
      <c r="D385" s="3" t="s">
        <v>12</v>
      </c>
      <c r="E385" s="3" t="s">
        <v>767</v>
      </c>
      <c r="F385" s="3" t="s">
        <v>340</v>
      </c>
      <c r="G385" s="3"/>
    </row>
    <row r="386" spans="1:7" x14ac:dyDescent="0.25">
      <c r="A386" s="3"/>
      <c r="B386" s="3" t="s">
        <v>1768</v>
      </c>
      <c r="C386" s="3" t="s">
        <v>1769</v>
      </c>
      <c r="D386" s="3" t="s">
        <v>12</v>
      </c>
      <c r="E386" s="3" t="s">
        <v>1770</v>
      </c>
      <c r="F386" s="3" t="s">
        <v>340</v>
      </c>
      <c r="G386" s="3"/>
    </row>
    <row r="387" spans="1:7" x14ac:dyDescent="0.25">
      <c r="A387" s="3"/>
      <c r="B387" s="3" t="s">
        <v>768</v>
      </c>
      <c r="C387" s="3" t="s">
        <v>769</v>
      </c>
      <c r="D387" s="3" t="s">
        <v>12</v>
      </c>
      <c r="E387" s="3" t="s">
        <v>2408</v>
      </c>
      <c r="F387" s="3" t="s">
        <v>327</v>
      </c>
      <c r="G387" s="3"/>
    </row>
    <row r="388" spans="1:7" x14ac:dyDescent="0.25">
      <c r="A388" s="3"/>
      <c r="B388" s="3" t="s">
        <v>2405</v>
      </c>
      <c r="C388" s="3" t="s">
        <v>2406</v>
      </c>
      <c r="D388" s="3" t="s">
        <v>12</v>
      </c>
      <c r="E388" s="3" t="s">
        <v>2408</v>
      </c>
      <c r="F388" s="3" t="s">
        <v>1758</v>
      </c>
      <c r="G388" s="3"/>
    </row>
    <row r="389" spans="1:7" x14ac:dyDescent="0.25">
      <c r="A389" s="3"/>
      <c r="B389" s="3" t="s">
        <v>1771</v>
      </c>
      <c r="C389" s="3" t="s">
        <v>1772</v>
      </c>
      <c r="D389" s="3" t="s">
        <v>12</v>
      </c>
      <c r="E389" s="3" t="s">
        <v>1773</v>
      </c>
      <c r="F389" s="3" t="s">
        <v>48</v>
      </c>
      <c r="G389" s="3"/>
    </row>
    <row r="390" spans="1:7" x14ac:dyDescent="0.25">
      <c r="A390" s="3"/>
      <c r="B390" s="3" t="s">
        <v>771</v>
      </c>
      <c r="C390" s="3" t="s">
        <v>772</v>
      </c>
      <c r="D390" s="3" t="s">
        <v>12</v>
      </c>
      <c r="E390" s="3" t="s">
        <v>773</v>
      </c>
      <c r="F390" s="3" t="s">
        <v>129</v>
      </c>
      <c r="G390" s="3"/>
    </row>
    <row r="391" spans="1:7" x14ac:dyDescent="0.25">
      <c r="A391" s="3"/>
      <c r="B391" s="3" t="s">
        <v>1774</v>
      </c>
      <c r="C391" s="3" t="s">
        <v>1775</v>
      </c>
      <c r="D391" s="3" t="s">
        <v>12</v>
      </c>
      <c r="E391" s="3" t="s">
        <v>1776</v>
      </c>
      <c r="F391" s="3" t="s">
        <v>1758</v>
      </c>
      <c r="G391" s="3"/>
    </row>
    <row r="392" spans="1:7" x14ac:dyDescent="0.25">
      <c r="A392" s="3"/>
      <c r="B392" s="3" t="s">
        <v>1777</v>
      </c>
      <c r="C392" s="3" t="s">
        <v>1778</v>
      </c>
      <c r="D392" s="3" t="s">
        <v>12</v>
      </c>
      <c r="E392" s="3" t="s">
        <v>1779</v>
      </c>
      <c r="F392" s="3" t="s">
        <v>327</v>
      </c>
      <c r="G392" s="3"/>
    </row>
    <row r="393" spans="1:7" x14ac:dyDescent="0.25">
      <c r="A393" s="3"/>
      <c r="B393" s="3" t="s">
        <v>774</v>
      </c>
      <c r="C393" s="3" t="s">
        <v>775</v>
      </c>
      <c r="D393" s="3" t="s">
        <v>12</v>
      </c>
      <c r="E393" s="3" t="s">
        <v>776</v>
      </c>
      <c r="F393" s="3" t="s">
        <v>43</v>
      </c>
      <c r="G393" s="3"/>
    </row>
    <row r="394" spans="1:7" x14ac:dyDescent="0.25">
      <c r="A394" s="3"/>
      <c r="B394" s="3" t="s">
        <v>777</v>
      </c>
      <c r="C394" s="3" t="s">
        <v>778</v>
      </c>
      <c r="D394" s="3" t="s">
        <v>12</v>
      </c>
      <c r="E394" s="3" t="s">
        <v>779</v>
      </c>
      <c r="F394" s="3" t="s">
        <v>46</v>
      </c>
      <c r="G394" s="3"/>
    </row>
    <row r="395" spans="1:7" x14ac:dyDescent="0.25">
      <c r="A395" s="3"/>
      <c r="B395" s="3" t="s">
        <v>1780</v>
      </c>
      <c r="C395" s="3" t="s">
        <v>1781</v>
      </c>
      <c r="D395" s="3" t="s">
        <v>12</v>
      </c>
      <c r="E395" s="3" t="s">
        <v>1782</v>
      </c>
      <c r="F395" s="3" t="s">
        <v>43</v>
      </c>
      <c r="G395" s="3"/>
    </row>
    <row r="396" spans="1:7" x14ac:dyDescent="0.25">
      <c r="A396" s="3"/>
      <c r="B396" s="3" t="s">
        <v>780</v>
      </c>
      <c r="C396" s="3" t="s">
        <v>781</v>
      </c>
      <c r="D396" s="3" t="s">
        <v>12</v>
      </c>
      <c r="E396" s="3" t="s">
        <v>782</v>
      </c>
      <c r="F396" s="3" t="s">
        <v>46</v>
      </c>
      <c r="G396" s="3"/>
    </row>
    <row r="397" spans="1:7" x14ac:dyDescent="0.25">
      <c r="A397" s="3"/>
      <c r="B397" s="3" t="s">
        <v>1783</v>
      </c>
      <c r="C397" s="3" t="s">
        <v>1784</v>
      </c>
      <c r="D397" s="3" t="s">
        <v>12</v>
      </c>
      <c r="E397" s="3" t="s">
        <v>1785</v>
      </c>
      <c r="F397" s="3" t="s">
        <v>45</v>
      </c>
      <c r="G397" s="3"/>
    </row>
    <row r="398" spans="1:7" x14ac:dyDescent="0.25">
      <c r="A398" s="3"/>
      <c r="B398" s="3" t="s">
        <v>2185</v>
      </c>
      <c r="C398" s="3" t="s">
        <v>2186</v>
      </c>
      <c r="D398" s="3" t="s">
        <v>12</v>
      </c>
      <c r="E398" s="3" t="s">
        <v>2187</v>
      </c>
      <c r="F398" s="3" t="s">
        <v>2188</v>
      </c>
      <c r="G398" s="3"/>
    </row>
    <row r="399" spans="1:7" x14ac:dyDescent="0.25">
      <c r="A399" s="3"/>
      <c r="B399" s="3" t="s">
        <v>2189</v>
      </c>
      <c r="C399" s="3" t="s">
        <v>2190</v>
      </c>
      <c r="D399" s="3" t="s">
        <v>12</v>
      </c>
      <c r="E399" s="3" t="s">
        <v>2191</v>
      </c>
      <c r="F399" s="3" t="s">
        <v>201</v>
      </c>
      <c r="G399" s="3"/>
    </row>
    <row r="400" spans="1:7" x14ac:dyDescent="0.25">
      <c r="A400" s="3"/>
      <c r="B400" s="3" t="s">
        <v>1786</v>
      </c>
      <c r="C400" s="3" t="s">
        <v>1787</v>
      </c>
      <c r="D400" s="3" t="s">
        <v>12</v>
      </c>
      <c r="E400" s="3" t="s">
        <v>1788</v>
      </c>
      <c r="F400" s="3" t="s">
        <v>311</v>
      </c>
      <c r="G400" s="3"/>
    </row>
    <row r="401" spans="1:7" x14ac:dyDescent="0.25">
      <c r="A401" s="3"/>
      <c r="B401" s="3" t="s">
        <v>1789</v>
      </c>
      <c r="C401" s="3" t="s">
        <v>1790</v>
      </c>
      <c r="D401" s="3" t="s">
        <v>12</v>
      </c>
      <c r="E401" s="3" t="s">
        <v>1791</v>
      </c>
      <c r="F401" s="3" t="s">
        <v>129</v>
      </c>
      <c r="G401" s="3"/>
    </row>
    <row r="402" spans="1:7" x14ac:dyDescent="0.25">
      <c r="A402" s="3"/>
      <c r="B402" s="3" t="s">
        <v>1792</v>
      </c>
      <c r="C402" s="3" t="s">
        <v>1793</v>
      </c>
      <c r="D402" s="3" t="s">
        <v>12</v>
      </c>
      <c r="E402" s="3" t="s">
        <v>1794</v>
      </c>
      <c r="F402" s="3" t="s">
        <v>47</v>
      </c>
      <c r="G402" s="3"/>
    </row>
    <row r="403" spans="1:7" x14ac:dyDescent="0.25">
      <c r="A403" s="3"/>
      <c r="B403" s="3" t="s">
        <v>1795</v>
      </c>
      <c r="C403" s="3" t="s">
        <v>1796</v>
      </c>
      <c r="D403" s="3" t="s">
        <v>12</v>
      </c>
      <c r="E403" s="3" t="s">
        <v>1797</v>
      </c>
      <c r="F403" s="3" t="s">
        <v>319</v>
      </c>
      <c r="G403" s="3"/>
    </row>
    <row r="404" spans="1:7" x14ac:dyDescent="0.25">
      <c r="A404" s="3"/>
      <c r="B404" s="3" t="s">
        <v>783</v>
      </c>
      <c r="C404" s="3" t="s">
        <v>784</v>
      </c>
      <c r="D404" s="3" t="s">
        <v>12</v>
      </c>
      <c r="E404" s="3" t="s">
        <v>785</v>
      </c>
      <c r="F404" s="3" t="s">
        <v>44</v>
      </c>
      <c r="G404" s="3"/>
    </row>
    <row r="405" spans="1:7" x14ac:dyDescent="0.25">
      <c r="A405" s="3"/>
      <c r="B405" s="3" t="s">
        <v>1392</v>
      </c>
      <c r="C405" s="3" t="s">
        <v>1393</v>
      </c>
      <c r="D405" s="3" t="s">
        <v>12</v>
      </c>
      <c r="E405" s="3" t="s">
        <v>1394</v>
      </c>
      <c r="F405" s="3" t="s">
        <v>44</v>
      </c>
      <c r="G405" s="3"/>
    </row>
    <row r="406" spans="1:7" x14ac:dyDescent="0.25">
      <c r="A406" s="3"/>
      <c r="B406" s="3" t="s">
        <v>2192</v>
      </c>
      <c r="C406" s="3" t="s">
        <v>2193</v>
      </c>
      <c r="D406" s="3" t="s">
        <v>12</v>
      </c>
      <c r="E406" s="3" t="s">
        <v>2194</v>
      </c>
      <c r="F406" s="3" t="s">
        <v>327</v>
      </c>
      <c r="G406" s="3"/>
    </row>
    <row r="407" spans="1:7" x14ac:dyDescent="0.25">
      <c r="A407" s="3"/>
      <c r="B407" s="3" t="s">
        <v>1798</v>
      </c>
      <c r="C407" s="3" t="s">
        <v>1799</v>
      </c>
      <c r="D407" s="3" t="s">
        <v>12</v>
      </c>
      <c r="E407" s="3" t="s">
        <v>1448</v>
      </c>
      <c r="F407" s="3" t="s">
        <v>129</v>
      </c>
      <c r="G407" s="3"/>
    </row>
    <row r="408" spans="1:7" x14ac:dyDescent="0.25">
      <c r="A408" s="3"/>
      <c r="B408" s="3" t="s">
        <v>1800</v>
      </c>
      <c r="C408" s="3" t="s">
        <v>1801</v>
      </c>
      <c r="D408" s="3" t="s">
        <v>12</v>
      </c>
      <c r="E408" s="3" t="s">
        <v>1802</v>
      </c>
      <c r="F408" s="3" t="s">
        <v>43</v>
      </c>
      <c r="G408" s="3"/>
    </row>
    <row r="409" spans="1:7" x14ac:dyDescent="0.25">
      <c r="A409" s="3"/>
      <c r="B409" s="3" t="s">
        <v>1395</v>
      </c>
      <c r="C409" s="3" t="s">
        <v>1396</v>
      </c>
      <c r="D409" s="3" t="s">
        <v>12</v>
      </c>
      <c r="E409" s="3" t="s">
        <v>1397</v>
      </c>
      <c r="F409" s="3" t="s">
        <v>43</v>
      </c>
      <c r="G409" s="3"/>
    </row>
    <row r="410" spans="1:7" x14ac:dyDescent="0.25">
      <c r="A410" s="3"/>
      <c r="B410" s="3" t="s">
        <v>786</v>
      </c>
      <c r="C410" s="3" t="s">
        <v>787</v>
      </c>
      <c r="D410" s="3" t="s">
        <v>12</v>
      </c>
      <c r="E410" s="3" t="s">
        <v>788</v>
      </c>
      <c r="F410" s="3" t="s">
        <v>46</v>
      </c>
      <c r="G410" s="3"/>
    </row>
    <row r="411" spans="1:7" x14ac:dyDescent="0.25">
      <c r="A411" s="3"/>
      <c r="B411" s="3" t="s">
        <v>789</v>
      </c>
      <c r="C411" s="3" t="s">
        <v>790</v>
      </c>
      <c r="D411" s="3" t="s">
        <v>12</v>
      </c>
      <c r="E411" s="3" t="s">
        <v>791</v>
      </c>
      <c r="F411" s="3" t="s">
        <v>327</v>
      </c>
      <c r="G411" s="3"/>
    </row>
    <row r="412" spans="1:7" x14ac:dyDescent="0.25">
      <c r="A412" s="3"/>
      <c r="B412" s="3" t="s">
        <v>792</v>
      </c>
      <c r="C412" s="3" t="s">
        <v>793</v>
      </c>
      <c r="D412" s="3" t="s">
        <v>12</v>
      </c>
      <c r="E412" s="3" t="s">
        <v>794</v>
      </c>
      <c r="F412" s="3" t="s">
        <v>43</v>
      </c>
      <c r="G412" s="3"/>
    </row>
    <row r="413" spans="1:7" x14ac:dyDescent="0.25">
      <c r="A413" s="3"/>
      <c r="B413" s="3" t="s">
        <v>795</v>
      </c>
      <c r="C413" s="3" t="s">
        <v>796</v>
      </c>
      <c r="D413" s="3" t="s">
        <v>12</v>
      </c>
      <c r="E413" s="3" t="s">
        <v>797</v>
      </c>
      <c r="F413" s="3" t="s">
        <v>49</v>
      </c>
      <c r="G413" s="3"/>
    </row>
    <row r="414" spans="1:7" x14ac:dyDescent="0.25">
      <c r="A414" s="3"/>
      <c r="B414" s="3" t="s">
        <v>798</v>
      </c>
      <c r="C414" s="3" t="s">
        <v>799</v>
      </c>
      <c r="D414" s="3" t="s">
        <v>14</v>
      </c>
      <c r="E414" s="3" t="s">
        <v>800</v>
      </c>
      <c r="F414" s="3" t="s">
        <v>32</v>
      </c>
      <c r="G414" s="3"/>
    </row>
    <row r="415" spans="1:7" x14ac:dyDescent="0.25">
      <c r="A415" s="3"/>
      <c r="B415" s="3" t="s">
        <v>801</v>
      </c>
      <c r="C415" s="3" t="s">
        <v>802</v>
      </c>
      <c r="D415" s="3" t="s">
        <v>14</v>
      </c>
      <c r="E415" s="3" t="s">
        <v>803</v>
      </c>
      <c r="F415" s="3" t="s">
        <v>32</v>
      </c>
      <c r="G415" s="3"/>
    </row>
    <row r="416" spans="1:7" x14ac:dyDescent="0.25">
      <c r="A416" s="3"/>
      <c r="B416" s="3" t="s">
        <v>804</v>
      </c>
      <c r="C416" s="3" t="s">
        <v>805</v>
      </c>
      <c r="D416" s="3" t="s">
        <v>14</v>
      </c>
      <c r="E416" s="3" t="s">
        <v>803</v>
      </c>
      <c r="F416" s="3" t="s">
        <v>32</v>
      </c>
      <c r="G416" s="3"/>
    </row>
    <row r="417" spans="1:7" x14ac:dyDescent="0.25">
      <c r="A417" s="3"/>
      <c r="B417" s="3" t="s">
        <v>806</v>
      </c>
      <c r="C417" s="3" t="s">
        <v>807</v>
      </c>
      <c r="D417" s="3" t="s">
        <v>14</v>
      </c>
      <c r="E417" s="3" t="s">
        <v>808</v>
      </c>
      <c r="F417" s="3" t="s">
        <v>32</v>
      </c>
      <c r="G417" s="3"/>
    </row>
    <row r="418" spans="1:7" x14ac:dyDescent="0.25">
      <c r="A418" s="3"/>
      <c r="B418" s="3" t="s">
        <v>1418</v>
      </c>
      <c r="C418" s="3" t="s">
        <v>1419</v>
      </c>
      <c r="D418" s="3" t="s">
        <v>14</v>
      </c>
      <c r="E418" s="3" t="s">
        <v>2372</v>
      </c>
      <c r="F418" s="3" t="s">
        <v>32</v>
      </c>
      <c r="G418" s="3"/>
    </row>
    <row r="419" spans="1:7" x14ac:dyDescent="0.25">
      <c r="A419" s="3"/>
      <c r="B419" s="3" t="s">
        <v>1803</v>
      </c>
      <c r="C419" s="3" t="s">
        <v>1804</v>
      </c>
      <c r="D419" s="3" t="s">
        <v>14</v>
      </c>
      <c r="E419" s="3" t="s">
        <v>1805</v>
      </c>
      <c r="F419" s="3" t="s">
        <v>32</v>
      </c>
      <c r="G419" s="3"/>
    </row>
    <row r="420" spans="1:7" x14ac:dyDescent="0.25">
      <c r="A420" s="3"/>
      <c r="B420" s="3" t="s">
        <v>1806</v>
      </c>
      <c r="C420" s="3" t="s">
        <v>1807</v>
      </c>
      <c r="D420" s="3" t="s">
        <v>14</v>
      </c>
      <c r="E420" s="3" t="s">
        <v>1808</v>
      </c>
      <c r="F420" s="3" t="s">
        <v>32</v>
      </c>
      <c r="G420" s="3"/>
    </row>
    <row r="421" spans="1:7" x14ac:dyDescent="0.25">
      <c r="A421" s="3"/>
      <c r="B421" s="3" t="s">
        <v>1809</v>
      </c>
      <c r="C421" s="3" t="s">
        <v>1810</v>
      </c>
      <c r="D421" s="3" t="s">
        <v>14</v>
      </c>
      <c r="E421" s="3" t="s">
        <v>1811</v>
      </c>
      <c r="F421" s="3" t="s">
        <v>1812</v>
      </c>
      <c r="G421" s="3"/>
    </row>
    <row r="422" spans="1:7" x14ac:dyDescent="0.25">
      <c r="A422" s="3"/>
      <c r="B422" s="3" t="s">
        <v>1813</v>
      </c>
      <c r="C422" s="3" t="s">
        <v>1814</v>
      </c>
      <c r="D422" s="3" t="s">
        <v>14</v>
      </c>
      <c r="E422" s="3" t="s">
        <v>1815</v>
      </c>
      <c r="F422" s="3" t="s">
        <v>32</v>
      </c>
      <c r="G422" s="3"/>
    </row>
    <row r="423" spans="1:7" x14ac:dyDescent="0.25">
      <c r="A423" s="3"/>
      <c r="B423" s="3" t="s">
        <v>809</v>
      </c>
      <c r="C423" s="3" t="s">
        <v>810</v>
      </c>
      <c r="D423" s="3" t="s">
        <v>14</v>
      </c>
      <c r="E423" s="3" t="s">
        <v>811</v>
      </c>
      <c r="F423" s="3" t="s">
        <v>32</v>
      </c>
      <c r="G423" s="3"/>
    </row>
    <row r="424" spans="1:7" x14ac:dyDescent="0.25">
      <c r="A424" s="3"/>
      <c r="B424" s="3" t="s">
        <v>812</v>
      </c>
      <c r="C424" s="3" t="s">
        <v>813</v>
      </c>
      <c r="D424" s="3" t="s">
        <v>14</v>
      </c>
      <c r="E424" s="3" t="s">
        <v>814</v>
      </c>
      <c r="F424" s="3" t="s">
        <v>32</v>
      </c>
      <c r="G424" s="3"/>
    </row>
    <row r="425" spans="1:7" x14ac:dyDescent="0.25">
      <c r="A425" s="3"/>
      <c r="B425" s="3" t="s">
        <v>815</v>
      </c>
      <c r="C425" s="3" t="s">
        <v>816</v>
      </c>
      <c r="D425" s="3" t="s">
        <v>14</v>
      </c>
      <c r="E425" s="3" t="s">
        <v>817</v>
      </c>
      <c r="F425" s="3" t="s">
        <v>32</v>
      </c>
      <c r="G425" s="3"/>
    </row>
    <row r="426" spans="1:7" x14ac:dyDescent="0.25">
      <c r="A426" s="3"/>
      <c r="B426" s="3" t="s">
        <v>818</v>
      </c>
      <c r="C426" s="3" t="s">
        <v>819</v>
      </c>
      <c r="D426" s="3" t="s">
        <v>14</v>
      </c>
      <c r="E426" s="3" t="s">
        <v>820</v>
      </c>
      <c r="F426" s="3" t="s">
        <v>32</v>
      </c>
      <c r="G426" s="3"/>
    </row>
    <row r="427" spans="1:7" x14ac:dyDescent="0.25">
      <c r="A427" s="3"/>
      <c r="B427" s="3" t="s">
        <v>821</v>
      </c>
      <c r="C427" s="3" t="s">
        <v>822</v>
      </c>
      <c r="D427" s="3" t="s">
        <v>14</v>
      </c>
      <c r="E427" s="3" t="s">
        <v>823</v>
      </c>
      <c r="F427" s="3" t="s">
        <v>32</v>
      </c>
      <c r="G427" s="3"/>
    </row>
    <row r="428" spans="1:7" x14ac:dyDescent="0.25">
      <c r="A428" s="3"/>
      <c r="B428" s="3" t="s">
        <v>824</v>
      </c>
      <c r="C428" s="3" t="s">
        <v>825</v>
      </c>
      <c r="D428" s="3" t="s">
        <v>14</v>
      </c>
      <c r="E428" s="3" t="s">
        <v>826</v>
      </c>
      <c r="F428" s="3" t="s">
        <v>32</v>
      </c>
      <c r="G428" s="3"/>
    </row>
    <row r="429" spans="1:7" x14ac:dyDescent="0.25">
      <c r="A429" s="3"/>
      <c r="B429" s="3" t="s">
        <v>827</v>
      </c>
      <c r="C429" s="3" t="s">
        <v>828</v>
      </c>
      <c r="D429" s="3" t="s">
        <v>14</v>
      </c>
      <c r="E429" s="3" t="s">
        <v>829</v>
      </c>
      <c r="F429" s="3" t="s">
        <v>32</v>
      </c>
      <c r="G429" s="3"/>
    </row>
    <row r="430" spans="1:7" x14ac:dyDescent="0.25">
      <c r="A430" s="3"/>
      <c r="B430" s="3" t="s">
        <v>830</v>
      </c>
      <c r="C430" s="3" t="s">
        <v>831</v>
      </c>
      <c r="D430" s="3" t="s">
        <v>14</v>
      </c>
      <c r="E430" s="3" t="s">
        <v>832</v>
      </c>
      <c r="F430" s="3" t="s">
        <v>833</v>
      </c>
      <c r="G430" s="3"/>
    </row>
    <row r="431" spans="1:7" x14ac:dyDescent="0.25">
      <c r="A431" s="3"/>
      <c r="B431" s="3" t="s">
        <v>834</v>
      </c>
      <c r="C431" s="3" t="s">
        <v>835</v>
      </c>
      <c r="D431" s="3" t="s">
        <v>14</v>
      </c>
      <c r="E431" s="3" t="s">
        <v>836</v>
      </c>
      <c r="F431" s="3" t="s">
        <v>32</v>
      </c>
      <c r="G431" s="3"/>
    </row>
    <row r="432" spans="1:7" x14ac:dyDescent="0.25">
      <c r="A432" s="3"/>
      <c r="B432" s="3" t="s">
        <v>837</v>
      </c>
      <c r="C432" s="3" t="s">
        <v>838</v>
      </c>
      <c r="D432" s="3" t="s">
        <v>14</v>
      </c>
      <c r="E432" s="3" t="s">
        <v>839</v>
      </c>
      <c r="F432" s="3" t="s">
        <v>32</v>
      </c>
      <c r="G432" s="3"/>
    </row>
    <row r="433" spans="1:7" x14ac:dyDescent="0.25">
      <c r="A433" s="3"/>
      <c r="B433" s="3" t="s">
        <v>840</v>
      </c>
      <c r="C433" s="3" t="s">
        <v>841</v>
      </c>
      <c r="D433" s="3" t="s">
        <v>14</v>
      </c>
      <c r="E433" s="3" t="s">
        <v>842</v>
      </c>
      <c r="F433" s="3" t="s">
        <v>32</v>
      </c>
      <c r="G433" s="3"/>
    </row>
    <row r="434" spans="1:7" x14ac:dyDescent="0.25">
      <c r="A434" s="3"/>
      <c r="B434" s="3" t="s">
        <v>843</v>
      </c>
      <c r="C434" s="3" t="s">
        <v>844</v>
      </c>
      <c r="D434" s="3" t="s">
        <v>14</v>
      </c>
      <c r="E434" s="3" t="s">
        <v>845</v>
      </c>
      <c r="F434" s="3" t="s">
        <v>32</v>
      </c>
      <c r="G434" s="3"/>
    </row>
    <row r="435" spans="1:7" x14ac:dyDescent="0.25">
      <c r="A435" s="3"/>
      <c r="B435" s="3" t="s">
        <v>848</v>
      </c>
      <c r="C435" s="3" t="s">
        <v>849</v>
      </c>
      <c r="D435" s="3" t="s">
        <v>14</v>
      </c>
      <c r="E435" s="3" t="s">
        <v>2409</v>
      </c>
      <c r="F435" s="3" t="s">
        <v>32</v>
      </c>
      <c r="G435" s="3"/>
    </row>
    <row r="436" spans="1:7" x14ac:dyDescent="0.25">
      <c r="A436" s="3"/>
      <c r="B436" s="3" t="s">
        <v>111</v>
      </c>
      <c r="C436" s="3" t="s">
        <v>112</v>
      </c>
      <c r="D436" s="3" t="s">
        <v>14</v>
      </c>
      <c r="E436" s="3" t="s">
        <v>113</v>
      </c>
      <c r="F436" s="3" t="s">
        <v>32</v>
      </c>
      <c r="G436" s="3"/>
    </row>
    <row r="437" spans="1:7" x14ac:dyDescent="0.25">
      <c r="A437" s="3"/>
      <c r="B437" s="3" t="s">
        <v>846</v>
      </c>
      <c r="C437" s="3" t="s">
        <v>847</v>
      </c>
      <c r="D437" s="3" t="s">
        <v>14</v>
      </c>
      <c r="E437" s="3" t="s">
        <v>568</v>
      </c>
      <c r="F437" s="3" t="s">
        <v>32</v>
      </c>
      <c r="G437" s="3"/>
    </row>
    <row r="438" spans="1:7" x14ac:dyDescent="0.25">
      <c r="A438" s="3"/>
      <c r="B438" s="3" t="s">
        <v>1816</v>
      </c>
      <c r="C438" s="3" t="s">
        <v>1817</v>
      </c>
      <c r="D438" s="3" t="s">
        <v>14</v>
      </c>
      <c r="E438" s="3" t="s">
        <v>1818</v>
      </c>
      <c r="F438" s="3" t="s">
        <v>32</v>
      </c>
      <c r="G438" s="3"/>
    </row>
    <row r="439" spans="1:7" x14ac:dyDescent="0.25">
      <c r="A439" s="3"/>
      <c r="B439" s="3" t="s">
        <v>1422</v>
      </c>
      <c r="C439" s="3" t="s">
        <v>1423</v>
      </c>
      <c r="D439" s="3" t="s">
        <v>14</v>
      </c>
      <c r="E439" s="3" t="s">
        <v>1424</v>
      </c>
      <c r="F439" s="3" t="s">
        <v>32</v>
      </c>
      <c r="G439" s="3"/>
    </row>
    <row r="440" spans="1:7" x14ac:dyDescent="0.25">
      <c r="A440" s="3"/>
      <c r="B440" s="3" t="s">
        <v>1819</v>
      </c>
      <c r="C440" s="3" t="s">
        <v>1820</v>
      </c>
      <c r="D440" s="3" t="s">
        <v>14</v>
      </c>
      <c r="E440" s="3" t="s">
        <v>1821</v>
      </c>
      <c r="F440" s="3" t="s">
        <v>32</v>
      </c>
      <c r="G440" s="3"/>
    </row>
    <row r="441" spans="1:7" x14ac:dyDescent="0.25">
      <c r="A441" s="3"/>
      <c r="B441" s="3" t="s">
        <v>1822</v>
      </c>
      <c r="C441" s="3" t="s">
        <v>1823</v>
      </c>
      <c r="D441" s="3" t="s">
        <v>14</v>
      </c>
      <c r="E441" s="3" t="s">
        <v>1824</v>
      </c>
      <c r="F441" s="3" t="s">
        <v>14</v>
      </c>
      <c r="G441" s="3"/>
    </row>
    <row r="442" spans="1:7" x14ac:dyDescent="0.25">
      <c r="A442" s="3"/>
      <c r="B442" s="3" t="s">
        <v>851</v>
      </c>
      <c r="C442" s="3" t="s">
        <v>852</v>
      </c>
      <c r="D442" s="3" t="s">
        <v>14</v>
      </c>
      <c r="E442" s="3" t="s">
        <v>853</v>
      </c>
      <c r="F442" s="3" t="s">
        <v>32</v>
      </c>
      <c r="G442" s="3"/>
    </row>
    <row r="443" spans="1:7" x14ac:dyDescent="0.25">
      <c r="A443" s="3"/>
      <c r="B443" s="3" t="s">
        <v>1825</v>
      </c>
      <c r="C443" s="3" t="s">
        <v>1826</v>
      </c>
      <c r="D443" s="3" t="s">
        <v>14</v>
      </c>
      <c r="E443" s="3" t="s">
        <v>2429</v>
      </c>
      <c r="F443" s="3" t="s">
        <v>32</v>
      </c>
      <c r="G443" s="3"/>
    </row>
    <row r="444" spans="1:7" x14ac:dyDescent="0.25">
      <c r="A444" s="3"/>
      <c r="B444" s="3" t="s">
        <v>1827</v>
      </c>
      <c r="C444" s="3" t="s">
        <v>1828</v>
      </c>
      <c r="D444" s="3" t="s">
        <v>14</v>
      </c>
      <c r="E444" s="3" t="s">
        <v>1829</v>
      </c>
      <c r="F444" s="3" t="s">
        <v>32</v>
      </c>
      <c r="G444" s="3"/>
    </row>
    <row r="445" spans="1:7" x14ac:dyDescent="0.25">
      <c r="A445" s="3"/>
      <c r="B445" s="3" t="s">
        <v>854</v>
      </c>
      <c r="C445" s="3" t="s">
        <v>855</v>
      </c>
      <c r="D445" s="3" t="s">
        <v>14</v>
      </c>
      <c r="E445" s="3" t="s">
        <v>856</v>
      </c>
      <c r="F445" s="3" t="s">
        <v>32</v>
      </c>
      <c r="G445" s="3"/>
    </row>
    <row r="446" spans="1:7" x14ac:dyDescent="0.25">
      <c r="A446" s="3"/>
      <c r="B446" s="3" t="s">
        <v>2469</v>
      </c>
      <c r="C446" s="3" t="s">
        <v>2470</v>
      </c>
      <c r="D446" s="3" t="s">
        <v>14</v>
      </c>
      <c r="E446" s="3" t="s">
        <v>2471</v>
      </c>
      <c r="F446" s="3" t="s">
        <v>32</v>
      </c>
      <c r="G446" s="3"/>
    </row>
    <row r="447" spans="1:7" x14ac:dyDescent="0.25">
      <c r="A447" s="3"/>
      <c r="B447" s="3" t="s">
        <v>2195</v>
      </c>
      <c r="C447" s="3" t="s">
        <v>2196</v>
      </c>
      <c r="D447" s="3" t="s">
        <v>14</v>
      </c>
      <c r="E447" s="3" t="s">
        <v>2197</v>
      </c>
      <c r="F447" s="3" t="s">
        <v>1830</v>
      </c>
      <c r="G447" s="3"/>
    </row>
    <row r="448" spans="1:7" x14ac:dyDescent="0.25">
      <c r="A448" s="3"/>
      <c r="B448" s="3" t="s">
        <v>1831</v>
      </c>
      <c r="C448" s="3" t="s">
        <v>1832</v>
      </c>
      <c r="D448" s="3" t="s">
        <v>14</v>
      </c>
      <c r="E448" s="3" t="s">
        <v>1833</v>
      </c>
      <c r="F448" s="3" t="s">
        <v>1830</v>
      </c>
      <c r="G448" s="3"/>
    </row>
    <row r="449" spans="1:7" x14ac:dyDescent="0.25">
      <c r="A449" s="3"/>
      <c r="B449" s="3" t="s">
        <v>857</v>
      </c>
      <c r="C449" s="3" t="s">
        <v>858</v>
      </c>
      <c r="D449" s="3" t="s">
        <v>14</v>
      </c>
      <c r="E449" s="3" t="s">
        <v>859</v>
      </c>
      <c r="F449" s="3" t="s">
        <v>32</v>
      </c>
      <c r="G449" s="3"/>
    </row>
    <row r="450" spans="1:7" x14ac:dyDescent="0.25">
      <c r="A450" s="3"/>
      <c r="B450" s="3" t="s">
        <v>860</v>
      </c>
      <c r="C450" s="3" t="s">
        <v>861</v>
      </c>
      <c r="D450" s="3" t="s">
        <v>14</v>
      </c>
      <c r="E450" s="3" t="s">
        <v>862</v>
      </c>
      <c r="F450" s="3" t="s">
        <v>32</v>
      </c>
      <c r="G450" s="3"/>
    </row>
    <row r="451" spans="1:7" x14ac:dyDescent="0.25">
      <c r="A451" s="3"/>
      <c r="B451" s="3" t="s">
        <v>1834</v>
      </c>
      <c r="C451" s="3" t="s">
        <v>1835</v>
      </c>
      <c r="D451" s="3" t="s">
        <v>14</v>
      </c>
      <c r="E451" s="3" t="s">
        <v>1836</v>
      </c>
      <c r="F451" s="3" t="s">
        <v>32</v>
      </c>
      <c r="G451" s="3"/>
    </row>
    <row r="452" spans="1:7" x14ac:dyDescent="0.25">
      <c r="A452" s="3"/>
      <c r="B452" s="3" t="s">
        <v>863</v>
      </c>
      <c r="C452" s="3" t="s">
        <v>864</v>
      </c>
      <c r="D452" s="3" t="s">
        <v>14</v>
      </c>
      <c r="E452" s="3" t="s">
        <v>865</v>
      </c>
      <c r="F452" s="3" t="s">
        <v>32</v>
      </c>
      <c r="G452" s="3"/>
    </row>
    <row r="453" spans="1:7" x14ac:dyDescent="0.25">
      <c r="A453" s="3"/>
      <c r="B453" s="3" t="s">
        <v>866</v>
      </c>
      <c r="C453" s="3" t="s">
        <v>867</v>
      </c>
      <c r="D453" s="3" t="s">
        <v>0</v>
      </c>
      <c r="E453" s="3" t="s">
        <v>868</v>
      </c>
      <c r="F453" s="3" t="s">
        <v>39</v>
      </c>
      <c r="G453" s="3"/>
    </row>
    <row r="454" spans="1:7" x14ac:dyDescent="0.25">
      <c r="A454" s="3"/>
      <c r="B454" s="3" t="s">
        <v>869</v>
      </c>
      <c r="C454" s="3" t="s">
        <v>870</v>
      </c>
      <c r="D454" s="3" t="s">
        <v>0</v>
      </c>
      <c r="E454" s="3" t="s">
        <v>871</v>
      </c>
      <c r="F454" s="3" t="s">
        <v>872</v>
      </c>
      <c r="G454" s="3"/>
    </row>
    <row r="455" spans="1:7" x14ac:dyDescent="0.25">
      <c r="A455" s="3"/>
      <c r="B455" s="3" t="s">
        <v>873</v>
      </c>
      <c r="C455" s="3" t="s">
        <v>874</v>
      </c>
      <c r="D455" s="3" t="s">
        <v>0</v>
      </c>
      <c r="E455" s="3" t="s">
        <v>875</v>
      </c>
      <c r="F455" s="3" t="s">
        <v>876</v>
      </c>
      <c r="G455" s="3"/>
    </row>
    <row r="456" spans="1:7" x14ac:dyDescent="0.25">
      <c r="A456" s="3"/>
      <c r="B456" s="3" t="s">
        <v>2472</v>
      </c>
      <c r="C456" s="3" t="s">
        <v>2473</v>
      </c>
      <c r="D456" s="3" t="s">
        <v>0</v>
      </c>
      <c r="E456" s="3" t="s">
        <v>2486</v>
      </c>
      <c r="F456" s="3" t="s">
        <v>2487</v>
      </c>
      <c r="G456" s="3"/>
    </row>
    <row r="457" spans="1:7" x14ac:dyDescent="0.25">
      <c r="A457" s="3"/>
      <c r="B457" s="3" t="s">
        <v>877</v>
      </c>
      <c r="C457" s="3" t="s">
        <v>878</v>
      </c>
      <c r="D457" s="3" t="s">
        <v>0</v>
      </c>
      <c r="E457" s="3" t="s">
        <v>879</v>
      </c>
      <c r="F457" s="3" t="s">
        <v>880</v>
      </c>
      <c r="G457" s="3"/>
    </row>
    <row r="458" spans="1:7" x14ac:dyDescent="0.25">
      <c r="A458" s="3"/>
      <c r="B458" s="3" t="s">
        <v>2198</v>
      </c>
      <c r="C458" s="3" t="s">
        <v>2199</v>
      </c>
      <c r="D458" s="3" t="s">
        <v>0</v>
      </c>
      <c r="E458" s="3" t="s">
        <v>2200</v>
      </c>
      <c r="F458" s="3" t="s">
        <v>0</v>
      </c>
      <c r="G458" s="3"/>
    </row>
    <row r="459" spans="1:7" x14ac:dyDescent="0.25">
      <c r="A459" s="3"/>
      <c r="B459" s="3" t="s">
        <v>1837</v>
      </c>
      <c r="C459" s="3" t="s">
        <v>1838</v>
      </c>
      <c r="D459" s="3" t="s">
        <v>0</v>
      </c>
      <c r="E459" s="3" t="s">
        <v>1839</v>
      </c>
      <c r="F459" s="3" t="s">
        <v>33</v>
      </c>
      <c r="G459" s="3"/>
    </row>
    <row r="460" spans="1:7" x14ac:dyDescent="0.25">
      <c r="A460" s="3"/>
      <c r="B460" s="3" t="s">
        <v>1840</v>
      </c>
      <c r="C460" s="3" t="s">
        <v>1841</v>
      </c>
      <c r="D460" s="3" t="s">
        <v>0</v>
      </c>
      <c r="E460" s="3" t="s">
        <v>1842</v>
      </c>
      <c r="F460" s="3" t="s">
        <v>34</v>
      </c>
      <c r="G460" s="3"/>
    </row>
    <row r="461" spans="1:7" x14ac:dyDescent="0.25">
      <c r="A461" s="3"/>
      <c r="B461" s="3" t="s">
        <v>885</v>
      </c>
      <c r="C461" s="3" t="s">
        <v>886</v>
      </c>
      <c r="D461" s="3" t="s">
        <v>0</v>
      </c>
      <c r="E461" s="3" t="s">
        <v>887</v>
      </c>
      <c r="F461" s="3" t="s">
        <v>33</v>
      </c>
      <c r="G461" s="3"/>
    </row>
    <row r="462" spans="1:7" x14ac:dyDescent="0.25">
      <c r="A462" s="3"/>
      <c r="B462" s="3" t="s">
        <v>1843</v>
      </c>
      <c r="C462" s="3" t="s">
        <v>1844</v>
      </c>
      <c r="D462" s="3" t="s">
        <v>0</v>
      </c>
      <c r="E462" s="3" t="s">
        <v>1845</v>
      </c>
      <c r="F462" s="3" t="s">
        <v>39</v>
      </c>
      <c r="G462" s="3"/>
    </row>
    <row r="463" spans="1:7" x14ac:dyDescent="0.25">
      <c r="A463" s="3"/>
      <c r="B463" s="3" t="s">
        <v>2201</v>
      </c>
      <c r="C463" s="3" t="s">
        <v>2202</v>
      </c>
      <c r="D463" s="3" t="s">
        <v>0</v>
      </c>
      <c r="E463" s="3" t="s">
        <v>2203</v>
      </c>
      <c r="F463" s="3" t="s">
        <v>888</v>
      </c>
      <c r="G463" s="3"/>
    </row>
    <row r="464" spans="1:7" x14ac:dyDescent="0.25">
      <c r="A464" s="3"/>
      <c r="B464" s="3" t="s">
        <v>2430</v>
      </c>
      <c r="C464" s="3" t="s">
        <v>2431</v>
      </c>
      <c r="D464" s="3" t="s">
        <v>0</v>
      </c>
      <c r="E464" s="3" t="s">
        <v>2438</v>
      </c>
      <c r="F464" s="3" t="s">
        <v>2421</v>
      </c>
      <c r="G464" s="3"/>
    </row>
    <row r="465" spans="1:7" x14ac:dyDescent="0.25">
      <c r="A465" s="3"/>
      <c r="B465" s="3" t="s">
        <v>1846</v>
      </c>
      <c r="C465" s="3" t="s">
        <v>1847</v>
      </c>
      <c r="D465" s="3" t="s">
        <v>0</v>
      </c>
      <c r="E465" s="3" t="s">
        <v>1848</v>
      </c>
      <c r="F465" s="3" t="s">
        <v>39</v>
      </c>
      <c r="G465" s="3"/>
    </row>
    <row r="466" spans="1:7" x14ac:dyDescent="0.25">
      <c r="A466" s="3"/>
      <c r="B466" s="3" t="s">
        <v>1849</v>
      </c>
      <c r="C466" s="3" t="s">
        <v>1850</v>
      </c>
      <c r="D466" s="3" t="s">
        <v>0</v>
      </c>
      <c r="E466" s="3" t="s">
        <v>1851</v>
      </c>
      <c r="F466" s="3" t="s">
        <v>34</v>
      </c>
      <c r="G466" s="3"/>
    </row>
    <row r="467" spans="1:7" x14ac:dyDescent="0.25">
      <c r="A467" s="3"/>
      <c r="B467" s="3" t="s">
        <v>889</v>
      </c>
      <c r="C467" s="3" t="s">
        <v>890</v>
      </c>
      <c r="D467" s="3" t="s">
        <v>0</v>
      </c>
      <c r="E467" s="3" t="s">
        <v>891</v>
      </c>
      <c r="F467" s="3" t="s">
        <v>892</v>
      </c>
      <c r="G467" s="3"/>
    </row>
    <row r="468" spans="1:7" x14ac:dyDescent="0.25">
      <c r="A468" s="3"/>
      <c r="B468" s="3" t="s">
        <v>1852</v>
      </c>
      <c r="C468" s="3" t="s">
        <v>1853</v>
      </c>
      <c r="D468" s="3" t="s">
        <v>0</v>
      </c>
      <c r="E468" s="3" t="s">
        <v>1854</v>
      </c>
      <c r="F468" s="3" t="s">
        <v>884</v>
      </c>
      <c r="G468" s="3"/>
    </row>
    <row r="469" spans="1:7" x14ac:dyDescent="0.25">
      <c r="A469" s="3"/>
      <c r="B469" s="3" t="s">
        <v>893</v>
      </c>
      <c r="C469" s="3" t="s">
        <v>894</v>
      </c>
      <c r="D469" s="3" t="s">
        <v>0</v>
      </c>
      <c r="E469" s="3" t="s">
        <v>895</v>
      </c>
      <c r="F469" s="3" t="s">
        <v>896</v>
      </c>
      <c r="G469" s="3"/>
    </row>
    <row r="470" spans="1:7" x14ac:dyDescent="0.25">
      <c r="A470" s="3"/>
      <c r="B470" s="3" t="s">
        <v>897</v>
      </c>
      <c r="C470" s="3" t="s">
        <v>898</v>
      </c>
      <c r="D470" s="3" t="s">
        <v>0</v>
      </c>
      <c r="E470" s="3" t="s">
        <v>899</v>
      </c>
      <c r="F470" s="3" t="s">
        <v>900</v>
      </c>
      <c r="G470" s="3"/>
    </row>
    <row r="471" spans="1:7" x14ac:dyDescent="0.25">
      <c r="A471" s="3"/>
      <c r="B471" s="3" t="s">
        <v>901</v>
      </c>
      <c r="C471" s="3" t="s">
        <v>902</v>
      </c>
      <c r="D471" s="3" t="s">
        <v>0</v>
      </c>
      <c r="E471" s="3" t="s">
        <v>903</v>
      </c>
      <c r="F471" s="3" t="s">
        <v>904</v>
      </c>
      <c r="G471" s="3"/>
    </row>
    <row r="472" spans="1:7" x14ac:dyDescent="0.25">
      <c r="A472" s="3"/>
      <c r="B472" s="3" t="s">
        <v>2204</v>
      </c>
      <c r="C472" s="3" t="s">
        <v>2205</v>
      </c>
      <c r="D472" s="3" t="s">
        <v>0</v>
      </c>
      <c r="E472" s="3" t="s">
        <v>2206</v>
      </c>
      <c r="F472" s="3" t="s">
        <v>33</v>
      </c>
      <c r="G472" s="3"/>
    </row>
    <row r="473" spans="1:7" x14ac:dyDescent="0.25">
      <c r="A473" s="3"/>
      <c r="B473" s="3" t="s">
        <v>905</v>
      </c>
      <c r="C473" s="3" t="s">
        <v>906</v>
      </c>
      <c r="D473" s="3" t="s">
        <v>0</v>
      </c>
      <c r="E473" s="3" t="s">
        <v>907</v>
      </c>
      <c r="F473" s="3" t="s">
        <v>33</v>
      </c>
      <c r="G473" s="3"/>
    </row>
    <row r="474" spans="1:7" x14ac:dyDescent="0.25">
      <c r="A474" s="3"/>
      <c r="B474" s="3" t="s">
        <v>1855</v>
      </c>
      <c r="C474" s="3" t="s">
        <v>2508</v>
      </c>
      <c r="D474" s="3" t="s">
        <v>0</v>
      </c>
      <c r="E474" s="3" t="s">
        <v>1856</v>
      </c>
      <c r="F474" s="3" t="s">
        <v>39</v>
      </c>
      <c r="G474" s="3"/>
    </row>
    <row r="475" spans="1:7" x14ac:dyDescent="0.25">
      <c r="A475" s="3"/>
      <c r="B475" s="3" t="s">
        <v>908</v>
      </c>
      <c r="C475" s="3" t="s">
        <v>909</v>
      </c>
      <c r="D475" s="3" t="s">
        <v>0</v>
      </c>
      <c r="E475" s="3" t="s">
        <v>910</v>
      </c>
      <c r="F475" s="3" t="s">
        <v>39</v>
      </c>
      <c r="G475" s="3"/>
    </row>
    <row r="476" spans="1:7" x14ac:dyDescent="0.25">
      <c r="A476" s="3"/>
      <c r="B476" s="3" t="s">
        <v>2207</v>
      </c>
      <c r="C476" s="3" t="s">
        <v>2208</v>
      </c>
      <c r="D476" s="3" t="s">
        <v>0</v>
      </c>
      <c r="E476" s="3" t="s">
        <v>2209</v>
      </c>
      <c r="F476" s="3" t="s">
        <v>911</v>
      </c>
      <c r="G476" s="3"/>
    </row>
    <row r="477" spans="1:7" x14ac:dyDescent="0.25">
      <c r="A477" s="3"/>
      <c r="B477" s="3" t="s">
        <v>912</v>
      </c>
      <c r="C477" s="3" t="s">
        <v>913</v>
      </c>
      <c r="D477" s="3" t="s">
        <v>0</v>
      </c>
      <c r="E477" s="3" t="s">
        <v>914</v>
      </c>
      <c r="F477" s="3" t="s">
        <v>915</v>
      </c>
      <c r="G477" s="3"/>
    </row>
    <row r="478" spans="1:7" x14ac:dyDescent="0.25">
      <c r="A478" s="3"/>
      <c r="B478" s="3" t="s">
        <v>2474</v>
      </c>
      <c r="C478" s="3" t="s">
        <v>2475</v>
      </c>
      <c r="D478" s="3" t="s">
        <v>0</v>
      </c>
      <c r="E478" s="3" t="s">
        <v>914</v>
      </c>
      <c r="F478" s="3" t="s">
        <v>2488</v>
      </c>
      <c r="G478" s="3"/>
    </row>
    <row r="479" spans="1:7" x14ac:dyDescent="0.25">
      <c r="A479" s="3"/>
      <c r="B479" s="3" t="s">
        <v>916</v>
      </c>
      <c r="C479" s="3" t="s">
        <v>917</v>
      </c>
      <c r="D479" s="3" t="s">
        <v>0</v>
      </c>
      <c r="E479" s="3" t="s">
        <v>918</v>
      </c>
      <c r="F479" s="3" t="s">
        <v>896</v>
      </c>
      <c r="G479" s="3"/>
    </row>
    <row r="480" spans="1:7" x14ac:dyDescent="0.25">
      <c r="A480" s="3"/>
      <c r="B480" s="3" t="s">
        <v>1857</v>
      </c>
      <c r="C480" s="3" t="s">
        <v>1858</v>
      </c>
      <c r="D480" s="3" t="s">
        <v>0</v>
      </c>
      <c r="E480" s="3" t="s">
        <v>1859</v>
      </c>
      <c r="F480" s="3" t="s">
        <v>1860</v>
      </c>
      <c r="G480" s="3"/>
    </row>
    <row r="481" spans="1:7" x14ac:dyDescent="0.25">
      <c r="A481" s="3"/>
      <c r="B481" s="3" t="s">
        <v>919</v>
      </c>
      <c r="C481" s="3" t="s">
        <v>920</v>
      </c>
      <c r="D481" s="3" t="s">
        <v>0</v>
      </c>
      <c r="E481" s="3" t="s">
        <v>921</v>
      </c>
      <c r="F481" s="3" t="s">
        <v>39</v>
      </c>
      <c r="G481" s="3"/>
    </row>
    <row r="482" spans="1:7" x14ac:dyDescent="0.25">
      <c r="A482" s="3"/>
      <c r="B482" s="3" t="s">
        <v>2210</v>
      </c>
      <c r="C482" s="3" t="s">
        <v>2211</v>
      </c>
      <c r="D482" s="3" t="s">
        <v>0</v>
      </c>
      <c r="E482" s="3" t="s">
        <v>2212</v>
      </c>
      <c r="F482" s="3" t="s">
        <v>33</v>
      </c>
      <c r="G482" s="3"/>
    </row>
    <row r="483" spans="1:7" x14ac:dyDescent="0.25">
      <c r="A483" s="3"/>
      <c r="B483" s="3" t="s">
        <v>922</v>
      </c>
      <c r="C483" s="3" t="s">
        <v>923</v>
      </c>
      <c r="D483" s="3" t="s">
        <v>0</v>
      </c>
      <c r="E483" s="3" t="s">
        <v>924</v>
      </c>
      <c r="F483" s="3" t="s">
        <v>925</v>
      </c>
      <c r="G483" s="3"/>
    </row>
    <row r="484" spans="1:7" x14ac:dyDescent="0.25">
      <c r="A484" s="3"/>
      <c r="B484" s="3" t="s">
        <v>926</v>
      </c>
      <c r="C484" s="3" t="s">
        <v>927</v>
      </c>
      <c r="D484" s="3" t="s">
        <v>0</v>
      </c>
      <c r="E484" s="3" t="s">
        <v>387</v>
      </c>
      <c r="F484" s="3" t="s">
        <v>39</v>
      </c>
      <c r="G484" s="3"/>
    </row>
    <row r="485" spans="1:7" x14ac:dyDescent="0.25">
      <c r="A485" s="3"/>
      <c r="B485" s="3" t="s">
        <v>2213</v>
      </c>
      <c r="C485" s="3" t="s">
        <v>2214</v>
      </c>
      <c r="D485" s="3" t="s">
        <v>0</v>
      </c>
      <c r="E485" s="3" t="s">
        <v>2215</v>
      </c>
      <c r="F485" s="3" t="s">
        <v>86</v>
      </c>
      <c r="G485" s="3"/>
    </row>
    <row r="486" spans="1:7" x14ac:dyDescent="0.25">
      <c r="A486" s="3"/>
      <c r="B486" s="3" t="s">
        <v>1861</v>
      </c>
      <c r="C486" s="3" t="s">
        <v>1862</v>
      </c>
      <c r="D486" s="3" t="s">
        <v>0</v>
      </c>
      <c r="E486" s="3" t="s">
        <v>1863</v>
      </c>
      <c r="F486" s="3" t="s">
        <v>86</v>
      </c>
      <c r="G486" s="3"/>
    </row>
    <row r="487" spans="1:7" x14ac:dyDescent="0.25">
      <c r="A487" s="3"/>
      <c r="B487" s="3" t="s">
        <v>928</v>
      </c>
      <c r="C487" s="3" t="s">
        <v>929</v>
      </c>
      <c r="D487" s="3" t="s">
        <v>0</v>
      </c>
      <c r="E487" s="3" t="s">
        <v>930</v>
      </c>
      <c r="F487" s="3" t="s">
        <v>86</v>
      </c>
      <c r="G487" s="3"/>
    </row>
    <row r="488" spans="1:7" x14ac:dyDescent="0.25">
      <c r="A488" s="3"/>
      <c r="B488" s="3" t="s">
        <v>931</v>
      </c>
      <c r="C488" s="3" t="s">
        <v>932</v>
      </c>
      <c r="D488" s="3" t="s">
        <v>0</v>
      </c>
      <c r="E488" s="3" t="s">
        <v>933</v>
      </c>
      <c r="F488" s="3" t="s">
        <v>86</v>
      </c>
      <c r="G488" s="3"/>
    </row>
    <row r="489" spans="1:7" x14ac:dyDescent="0.25">
      <c r="A489" s="3"/>
      <c r="B489" s="3" t="s">
        <v>1398</v>
      </c>
      <c r="C489" s="3" t="s">
        <v>1399</v>
      </c>
      <c r="D489" s="3" t="s">
        <v>0</v>
      </c>
      <c r="E489" s="3" t="s">
        <v>1400</v>
      </c>
      <c r="F489" s="3" t="s">
        <v>1864</v>
      </c>
      <c r="G489" s="3"/>
    </row>
    <row r="490" spans="1:7" x14ac:dyDescent="0.25">
      <c r="A490" s="3"/>
      <c r="B490" s="3" t="s">
        <v>1865</v>
      </c>
      <c r="C490" s="3" t="s">
        <v>1866</v>
      </c>
      <c r="D490" s="3" t="s">
        <v>0</v>
      </c>
      <c r="E490" s="3" t="s">
        <v>1867</v>
      </c>
      <c r="F490" s="3" t="s">
        <v>1868</v>
      </c>
      <c r="G490" s="3"/>
    </row>
    <row r="491" spans="1:7" x14ac:dyDescent="0.25">
      <c r="A491" s="3"/>
      <c r="B491" s="3" t="s">
        <v>934</v>
      </c>
      <c r="C491" s="3" t="s">
        <v>935</v>
      </c>
      <c r="D491" s="3" t="s">
        <v>0</v>
      </c>
      <c r="E491" s="3" t="s">
        <v>936</v>
      </c>
      <c r="F491" s="3" t="s">
        <v>937</v>
      </c>
      <c r="G491" s="3"/>
    </row>
    <row r="492" spans="1:7" x14ac:dyDescent="0.25">
      <c r="A492" s="3"/>
      <c r="B492" s="3" t="s">
        <v>938</v>
      </c>
      <c r="C492" s="3" t="s">
        <v>939</v>
      </c>
      <c r="D492" s="3" t="s">
        <v>0</v>
      </c>
      <c r="E492" s="3" t="s">
        <v>940</v>
      </c>
      <c r="F492" s="3" t="s">
        <v>941</v>
      </c>
      <c r="G492" s="3"/>
    </row>
    <row r="493" spans="1:7" x14ac:dyDescent="0.25">
      <c r="A493" s="3"/>
      <c r="B493" s="3" t="s">
        <v>1869</v>
      </c>
      <c r="C493" s="3" t="s">
        <v>1870</v>
      </c>
      <c r="D493" s="3" t="s">
        <v>0</v>
      </c>
      <c r="E493" s="3" t="s">
        <v>1871</v>
      </c>
      <c r="F493" s="3" t="s">
        <v>34</v>
      </c>
      <c r="G493" s="3"/>
    </row>
    <row r="494" spans="1:7" x14ac:dyDescent="0.25">
      <c r="A494" s="3"/>
      <c r="B494" s="3" t="s">
        <v>942</v>
      </c>
      <c r="C494" s="3" t="s">
        <v>943</v>
      </c>
      <c r="D494" s="3" t="s">
        <v>0</v>
      </c>
      <c r="E494" s="3" t="s">
        <v>944</v>
      </c>
      <c r="F494" s="3" t="s">
        <v>39</v>
      </c>
      <c r="G494" s="3"/>
    </row>
    <row r="495" spans="1:7" x14ac:dyDescent="0.25">
      <c r="A495" s="3"/>
      <c r="B495" s="3" t="s">
        <v>945</v>
      </c>
      <c r="C495" s="3" t="s">
        <v>946</v>
      </c>
      <c r="D495" s="3" t="s">
        <v>0</v>
      </c>
      <c r="E495" s="3" t="s">
        <v>947</v>
      </c>
      <c r="F495" s="3" t="s">
        <v>948</v>
      </c>
      <c r="G495" s="3"/>
    </row>
    <row r="496" spans="1:7" x14ac:dyDescent="0.25">
      <c r="A496" s="3"/>
      <c r="B496" s="3" t="s">
        <v>949</v>
      </c>
      <c r="C496" s="3" t="s">
        <v>950</v>
      </c>
      <c r="D496" s="3" t="s">
        <v>0</v>
      </c>
      <c r="E496" s="3" t="s">
        <v>951</v>
      </c>
      <c r="F496" s="3" t="s">
        <v>948</v>
      </c>
      <c r="G496" s="3"/>
    </row>
    <row r="497" spans="1:7" x14ac:dyDescent="0.25">
      <c r="A497" s="3"/>
      <c r="B497" s="3" t="s">
        <v>952</v>
      </c>
      <c r="C497" s="3" t="s">
        <v>953</v>
      </c>
      <c r="D497" s="3" t="s">
        <v>0</v>
      </c>
      <c r="E497" s="3" t="s">
        <v>954</v>
      </c>
      <c r="F497" s="3" t="s">
        <v>955</v>
      </c>
      <c r="G497" s="3"/>
    </row>
    <row r="498" spans="1:7" x14ac:dyDescent="0.25">
      <c r="A498" s="3"/>
      <c r="B498" s="3" t="s">
        <v>2410</v>
      </c>
      <c r="C498" s="3" t="s">
        <v>2411</v>
      </c>
      <c r="D498" s="3" t="s">
        <v>0</v>
      </c>
      <c r="E498" s="3" t="s">
        <v>2418</v>
      </c>
      <c r="F498" s="3" t="s">
        <v>994</v>
      </c>
      <c r="G498" s="3"/>
    </row>
    <row r="499" spans="1:7" x14ac:dyDescent="0.25">
      <c r="A499" s="3"/>
      <c r="B499" s="3" t="s">
        <v>1872</v>
      </c>
      <c r="C499" s="3" t="s">
        <v>1873</v>
      </c>
      <c r="D499" s="3" t="s">
        <v>0</v>
      </c>
      <c r="E499" s="3" t="s">
        <v>1874</v>
      </c>
      <c r="F499" s="3" t="s">
        <v>948</v>
      </c>
      <c r="G499" s="3"/>
    </row>
    <row r="500" spans="1:7" x14ac:dyDescent="0.25">
      <c r="A500" s="3"/>
      <c r="B500" s="3" t="s">
        <v>956</v>
      </c>
      <c r="C500" s="3" t="s">
        <v>957</v>
      </c>
      <c r="D500" s="3" t="s">
        <v>0</v>
      </c>
      <c r="E500" s="3" t="s">
        <v>958</v>
      </c>
      <c r="F500" s="3" t="s">
        <v>86</v>
      </c>
      <c r="G500" s="3"/>
    </row>
    <row r="501" spans="1:7" x14ac:dyDescent="0.25">
      <c r="A501" s="3"/>
      <c r="B501" s="3" t="s">
        <v>959</v>
      </c>
      <c r="C501" s="3" t="s">
        <v>960</v>
      </c>
      <c r="D501" s="3" t="s">
        <v>0</v>
      </c>
      <c r="E501" s="3" t="s">
        <v>961</v>
      </c>
      <c r="F501" s="3" t="s">
        <v>39</v>
      </c>
      <c r="G501" s="3"/>
    </row>
    <row r="502" spans="1:7" x14ac:dyDescent="0.25">
      <c r="A502" s="3"/>
      <c r="B502" s="3" t="s">
        <v>2216</v>
      </c>
      <c r="C502" s="3" t="s">
        <v>2217</v>
      </c>
      <c r="D502" s="3" t="s">
        <v>0</v>
      </c>
      <c r="E502" s="3" t="s">
        <v>2218</v>
      </c>
      <c r="F502" s="3" t="s">
        <v>34</v>
      </c>
      <c r="G502" s="3"/>
    </row>
    <row r="503" spans="1:7" x14ac:dyDescent="0.25">
      <c r="A503" s="3"/>
      <c r="B503" s="3" t="s">
        <v>1875</v>
      </c>
      <c r="C503" s="3" t="s">
        <v>1876</v>
      </c>
      <c r="D503" s="3" t="s">
        <v>0</v>
      </c>
      <c r="E503" s="3" t="s">
        <v>1877</v>
      </c>
      <c r="F503" s="3" t="s">
        <v>1878</v>
      </c>
      <c r="G503" s="3"/>
    </row>
    <row r="504" spans="1:7" x14ac:dyDescent="0.25">
      <c r="A504" s="3"/>
      <c r="B504" s="3" t="s">
        <v>2219</v>
      </c>
      <c r="C504" s="3" t="s">
        <v>2220</v>
      </c>
      <c r="D504" s="3" t="s">
        <v>0</v>
      </c>
      <c r="E504" s="3" t="s">
        <v>2221</v>
      </c>
      <c r="F504" s="3" t="s">
        <v>86</v>
      </c>
      <c r="G504" s="3"/>
    </row>
    <row r="505" spans="1:7" x14ac:dyDescent="0.25">
      <c r="A505" s="3"/>
      <c r="B505" s="3" t="s">
        <v>962</v>
      </c>
      <c r="C505" s="3" t="s">
        <v>963</v>
      </c>
      <c r="D505" s="3" t="s">
        <v>0</v>
      </c>
      <c r="E505" s="3" t="s">
        <v>964</v>
      </c>
      <c r="F505" s="3" t="s">
        <v>34</v>
      </c>
      <c r="G505" s="3"/>
    </row>
    <row r="506" spans="1:7" x14ac:dyDescent="0.25">
      <c r="A506" s="3"/>
      <c r="B506" s="3" t="s">
        <v>2222</v>
      </c>
      <c r="C506" s="3" t="s">
        <v>2223</v>
      </c>
      <c r="D506" s="3" t="s">
        <v>0</v>
      </c>
      <c r="E506" s="3" t="s">
        <v>2224</v>
      </c>
      <c r="F506" s="3" t="s">
        <v>0</v>
      </c>
      <c r="G506" s="3"/>
    </row>
    <row r="507" spans="1:7" x14ac:dyDescent="0.25">
      <c r="A507" s="3"/>
      <c r="B507" s="3" t="s">
        <v>2225</v>
      </c>
      <c r="C507" s="3" t="s">
        <v>2226</v>
      </c>
      <c r="D507" s="3" t="s">
        <v>0</v>
      </c>
      <c r="E507" s="3" t="s">
        <v>2227</v>
      </c>
      <c r="F507" s="3" t="s">
        <v>38</v>
      </c>
      <c r="G507" s="3"/>
    </row>
    <row r="508" spans="1:7" x14ac:dyDescent="0.25">
      <c r="A508" s="3"/>
      <c r="B508" s="3" t="s">
        <v>2228</v>
      </c>
      <c r="C508" s="3" t="s">
        <v>2229</v>
      </c>
      <c r="D508" s="3" t="s">
        <v>0</v>
      </c>
      <c r="E508" s="3" t="s">
        <v>2230</v>
      </c>
      <c r="F508" s="3" t="s">
        <v>38</v>
      </c>
      <c r="G508" s="3"/>
    </row>
    <row r="509" spans="1:7" x14ac:dyDescent="0.25">
      <c r="A509" s="3"/>
      <c r="B509" s="3" t="s">
        <v>965</v>
      </c>
      <c r="C509" s="3" t="s">
        <v>966</v>
      </c>
      <c r="D509" s="3" t="s">
        <v>0</v>
      </c>
      <c r="E509" s="3" t="s">
        <v>967</v>
      </c>
      <c r="F509" s="3" t="s">
        <v>968</v>
      </c>
      <c r="G509" s="3"/>
    </row>
    <row r="510" spans="1:7" x14ac:dyDescent="0.25">
      <c r="A510" s="3"/>
      <c r="B510" s="3" t="s">
        <v>969</v>
      </c>
      <c r="C510" s="3" t="s">
        <v>970</v>
      </c>
      <c r="D510" s="3" t="s">
        <v>0</v>
      </c>
      <c r="E510" s="3" t="s">
        <v>971</v>
      </c>
      <c r="F510" s="3" t="s">
        <v>39</v>
      </c>
      <c r="G510" s="3"/>
    </row>
    <row r="511" spans="1:7" x14ac:dyDescent="0.25">
      <c r="A511" s="3"/>
      <c r="B511" s="3" t="s">
        <v>972</v>
      </c>
      <c r="C511" s="3" t="s">
        <v>973</v>
      </c>
      <c r="D511" s="3" t="s">
        <v>0</v>
      </c>
      <c r="E511" s="3" t="s">
        <v>974</v>
      </c>
      <c r="F511" s="3" t="s">
        <v>86</v>
      </c>
      <c r="G511" s="3"/>
    </row>
    <row r="512" spans="1:7" x14ac:dyDescent="0.25">
      <c r="A512" s="3"/>
      <c r="B512" s="3" t="s">
        <v>975</v>
      </c>
      <c r="C512" s="3" t="s">
        <v>976</v>
      </c>
      <c r="D512" s="3" t="s">
        <v>0</v>
      </c>
      <c r="E512" s="3" t="s">
        <v>977</v>
      </c>
      <c r="F512" s="3" t="s">
        <v>978</v>
      </c>
      <c r="G512" s="3"/>
    </row>
    <row r="513" spans="1:7" x14ac:dyDescent="0.25">
      <c r="A513" s="3"/>
      <c r="B513" s="3" t="s">
        <v>979</v>
      </c>
      <c r="C513" s="3" t="s">
        <v>980</v>
      </c>
      <c r="D513" s="3" t="s">
        <v>0</v>
      </c>
      <c r="E513" s="3" t="s">
        <v>981</v>
      </c>
      <c r="F513" s="3" t="s">
        <v>86</v>
      </c>
      <c r="G513" s="3"/>
    </row>
    <row r="514" spans="1:7" x14ac:dyDescent="0.25">
      <c r="A514" s="3"/>
      <c r="B514" s="3" t="s">
        <v>1879</v>
      </c>
      <c r="C514" s="3" t="s">
        <v>1880</v>
      </c>
      <c r="D514" s="3" t="s">
        <v>0</v>
      </c>
      <c r="E514" s="3" t="s">
        <v>1881</v>
      </c>
      <c r="F514" s="3" t="s">
        <v>896</v>
      </c>
      <c r="G514" s="3"/>
    </row>
    <row r="515" spans="1:7" x14ac:dyDescent="0.25">
      <c r="A515" s="3"/>
      <c r="B515" s="3" t="s">
        <v>982</v>
      </c>
      <c r="C515" s="3" t="s">
        <v>983</v>
      </c>
      <c r="D515" s="3" t="s">
        <v>0</v>
      </c>
      <c r="E515" s="3" t="s">
        <v>984</v>
      </c>
      <c r="F515" s="3" t="s">
        <v>86</v>
      </c>
      <c r="G515" s="3"/>
    </row>
    <row r="516" spans="1:7" x14ac:dyDescent="0.25">
      <c r="A516" s="3"/>
      <c r="B516" s="3" t="s">
        <v>2476</v>
      </c>
      <c r="C516" s="3" t="s">
        <v>2477</v>
      </c>
      <c r="D516" s="3" t="s">
        <v>0</v>
      </c>
      <c r="E516" s="3" t="s">
        <v>2489</v>
      </c>
      <c r="F516" s="3" t="s">
        <v>2490</v>
      </c>
      <c r="G516" s="3"/>
    </row>
    <row r="517" spans="1:7" x14ac:dyDescent="0.25">
      <c r="A517" s="3"/>
      <c r="B517" s="3" t="s">
        <v>2231</v>
      </c>
      <c r="C517" s="3" t="s">
        <v>2232</v>
      </c>
      <c r="D517" s="3" t="s">
        <v>0</v>
      </c>
      <c r="E517" s="3" t="s">
        <v>2233</v>
      </c>
      <c r="F517" s="3" t="s">
        <v>86</v>
      </c>
      <c r="G517" s="3"/>
    </row>
    <row r="518" spans="1:7" x14ac:dyDescent="0.25">
      <c r="A518" s="3"/>
      <c r="B518" s="3" t="s">
        <v>985</v>
      </c>
      <c r="C518" s="3" t="s">
        <v>986</v>
      </c>
      <c r="D518" s="3" t="s">
        <v>0</v>
      </c>
      <c r="E518" s="3" t="s">
        <v>987</v>
      </c>
      <c r="F518" s="3" t="s">
        <v>86</v>
      </c>
      <c r="G518" s="3"/>
    </row>
    <row r="519" spans="1:7" x14ac:dyDescent="0.25">
      <c r="A519" s="3"/>
      <c r="B519" s="3" t="s">
        <v>1882</v>
      </c>
      <c r="C519" s="3" t="s">
        <v>1883</v>
      </c>
      <c r="D519" s="3" t="s">
        <v>0</v>
      </c>
      <c r="E519" s="3" t="s">
        <v>1884</v>
      </c>
      <c r="F519" s="3" t="s">
        <v>1885</v>
      </c>
      <c r="G519" s="3"/>
    </row>
    <row r="520" spans="1:7" x14ac:dyDescent="0.25">
      <c r="A520" s="3"/>
      <c r="B520" s="3" t="s">
        <v>2234</v>
      </c>
      <c r="C520" s="3" t="s">
        <v>2235</v>
      </c>
      <c r="D520" s="3" t="s">
        <v>0</v>
      </c>
      <c r="E520" s="3" t="s">
        <v>2236</v>
      </c>
      <c r="F520" s="3" t="s">
        <v>2237</v>
      </c>
      <c r="G520" s="3"/>
    </row>
    <row r="521" spans="1:7" x14ac:dyDescent="0.25">
      <c r="A521" s="3"/>
      <c r="B521" s="3" t="s">
        <v>988</v>
      </c>
      <c r="C521" s="3" t="s">
        <v>989</v>
      </c>
      <c r="D521" s="3" t="s">
        <v>0</v>
      </c>
      <c r="E521" s="3" t="s">
        <v>990</v>
      </c>
      <c r="F521" s="3" t="s">
        <v>33</v>
      </c>
      <c r="G521" s="3"/>
    </row>
    <row r="522" spans="1:7" x14ac:dyDescent="0.25">
      <c r="A522" s="3"/>
      <c r="B522" s="3" t="s">
        <v>991</v>
      </c>
      <c r="C522" s="3" t="s">
        <v>992</v>
      </c>
      <c r="D522" s="3" t="s">
        <v>0</v>
      </c>
      <c r="E522" s="3" t="s">
        <v>993</v>
      </c>
      <c r="F522" s="3" t="s">
        <v>994</v>
      </c>
      <c r="G522" s="3"/>
    </row>
    <row r="523" spans="1:7" x14ac:dyDescent="0.25">
      <c r="A523" s="3"/>
      <c r="B523" s="3" t="s">
        <v>995</v>
      </c>
      <c r="C523" s="3" t="s">
        <v>996</v>
      </c>
      <c r="D523" s="3" t="s">
        <v>0</v>
      </c>
      <c r="E523" s="3" t="s">
        <v>997</v>
      </c>
      <c r="F523" s="3" t="s">
        <v>33</v>
      </c>
      <c r="G523" s="3"/>
    </row>
    <row r="524" spans="1:7" x14ac:dyDescent="0.25">
      <c r="A524" s="3"/>
      <c r="B524" s="3" t="s">
        <v>998</v>
      </c>
      <c r="C524" s="3" t="s">
        <v>999</v>
      </c>
      <c r="D524" s="3" t="s">
        <v>0</v>
      </c>
      <c r="E524" s="3" t="s">
        <v>458</v>
      </c>
      <c r="F524" s="3" t="s">
        <v>39</v>
      </c>
      <c r="G524" s="3"/>
    </row>
    <row r="525" spans="1:7" x14ac:dyDescent="0.25">
      <c r="A525" s="3"/>
      <c r="B525" s="3" t="s">
        <v>1886</v>
      </c>
      <c r="C525" s="3" t="s">
        <v>1887</v>
      </c>
      <c r="D525" s="3" t="s">
        <v>0</v>
      </c>
      <c r="E525" s="3" t="s">
        <v>1888</v>
      </c>
      <c r="F525" s="3" t="s">
        <v>39</v>
      </c>
      <c r="G525" s="3"/>
    </row>
    <row r="526" spans="1:7" x14ac:dyDescent="0.25">
      <c r="A526" s="3"/>
      <c r="B526" s="3" t="s">
        <v>1889</v>
      </c>
      <c r="C526" s="3" t="s">
        <v>1890</v>
      </c>
      <c r="D526" s="3" t="s">
        <v>0</v>
      </c>
      <c r="E526" s="3" t="s">
        <v>1891</v>
      </c>
      <c r="F526" s="3" t="s">
        <v>994</v>
      </c>
      <c r="G526" s="3"/>
    </row>
    <row r="527" spans="1:7" x14ac:dyDescent="0.25">
      <c r="A527" s="3"/>
      <c r="B527" s="3" t="s">
        <v>1000</v>
      </c>
      <c r="C527" s="3" t="s">
        <v>1001</v>
      </c>
      <c r="D527" s="3" t="s">
        <v>0</v>
      </c>
      <c r="E527" s="3" t="s">
        <v>1002</v>
      </c>
      <c r="F527" s="3" t="s">
        <v>38</v>
      </c>
      <c r="G527" s="3"/>
    </row>
    <row r="528" spans="1:7" x14ac:dyDescent="0.25">
      <c r="A528" s="3"/>
      <c r="B528" s="3" t="s">
        <v>2238</v>
      </c>
      <c r="C528" s="3" t="s">
        <v>2239</v>
      </c>
      <c r="D528" s="3" t="s">
        <v>0</v>
      </c>
      <c r="E528" s="3" t="s">
        <v>2240</v>
      </c>
      <c r="F528" s="3" t="s">
        <v>86</v>
      </c>
      <c r="G528" s="3"/>
    </row>
    <row r="529" spans="1:7" x14ac:dyDescent="0.25">
      <c r="A529" s="3"/>
      <c r="B529" s="3" t="s">
        <v>1003</v>
      </c>
      <c r="C529" s="3" t="s">
        <v>1004</v>
      </c>
      <c r="D529" s="3" t="s">
        <v>0</v>
      </c>
      <c r="E529" s="3" t="s">
        <v>1005</v>
      </c>
      <c r="F529" s="3" t="s">
        <v>86</v>
      </c>
      <c r="G529" s="3"/>
    </row>
    <row r="530" spans="1:7" x14ac:dyDescent="0.25">
      <c r="A530" s="3"/>
      <c r="B530" s="3" t="s">
        <v>1892</v>
      </c>
      <c r="C530" s="3" t="s">
        <v>1893</v>
      </c>
      <c r="D530" s="3" t="s">
        <v>0</v>
      </c>
      <c r="E530" s="3" t="s">
        <v>1894</v>
      </c>
      <c r="F530" s="3" t="s">
        <v>34</v>
      </c>
      <c r="G530" s="3"/>
    </row>
    <row r="531" spans="1:7" x14ac:dyDescent="0.25">
      <c r="A531" s="3"/>
      <c r="B531" s="3" t="s">
        <v>1006</v>
      </c>
      <c r="C531" s="3" t="s">
        <v>1007</v>
      </c>
      <c r="D531" s="3" t="s">
        <v>0</v>
      </c>
      <c r="E531" s="3" t="s">
        <v>1008</v>
      </c>
      <c r="F531" s="3" t="s">
        <v>86</v>
      </c>
      <c r="G531" s="3"/>
    </row>
    <row r="532" spans="1:7" x14ac:dyDescent="0.25">
      <c r="A532" s="3"/>
      <c r="B532" s="3" t="s">
        <v>1895</v>
      </c>
      <c r="C532" s="3" t="s">
        <v>1896</v>
      </c>
      <c r="D532" s="3" t="s">
        <v>0</v>
      </c>
      <c r="E532" s="3" t="s">
        <v>1897</v>
      </c>
      <c r="F532" s="3" t="s">
        <v>911</v>
      </c>
      <c r="G532" s="3"/>
    </row>
    <row r="533" spans="1:7" x14ac:dyDescent="0.25">
      <c r="A533" s="3"/>
      <c r="B533" s="3" t="s">
        <v>1898</v>
      </c>
      <c r="C533" s="3" t="s">
        <v>1899</v>
      </c>
      <c r="D533" s="3" t="s">
        <v>0</v>
      </c>
      <c r="E533" s="3" t="s">
        <v>1900</v>
      </c>
      <c r="F533" s="3" t="s">
        <v>0</v>
      </c>
      <c r="G533" s="3"/>
    </row>
    <row r="534" spans="1:7" x14ac:dyDescent="0.25">
      <c r="A534" s="3"/>
      <c r="B534" s="3" t="s">
        <v>1009</v>
      </c>
      <c r="C534" s="3" t="s">
        <v>1010</v>
      </c>
      <c r="D534" s="3" t="s">
        <v>0</v>
      </c>
      <c r="E534" s="3" t="s">
        <v>1011</v>
      </c>
      <c r="F534" s="3" t="s">
        <v>1012</v>
      </c>
      <c r="G534" s="3"/>
    </row>
    <row r="535" spans="1:7" x14ac:dyDescent="0.25">
      <c r="A535" s="3"/>
      <c r="B535" s="3" t="s">
        <v>1013</v>
      </c>
      <c r="C535" s="3" t="s">
        <v>1014</v>
      </c>
      <c r="D535" s="3" t="s">
        <v>0</v>
      </c>
      <c r="E535" s="3" t="s">
        <v>1015</v>
      </c>
      <c r="F535" s="3" t="s">
        <v>39</v>
      </c>
      <c r="G535" s="3"/>
    </row>
    <row r="536" spans="1:7" x14ac:dyDescent="0.25">
      <c r="A536" s="3"/>
      <c r="B536" s="3" t="s">
        <v>42</v>
      </c>
      <c r="C536" s="3" t="s">
        <v>41</v>
      </c>
      <c r="D536" s="3" t="s">
        <v>0</v>
      </c>
      <c r="E536" s="3" t="s">
        <v>40</v>
      </c>
      <c r="F536" s="3" t="s">
        <v>1016</v>
      </c>
      <c r="G536" s="3"/>
    </row>
    <row r="537" spans="1:7" x14ac:dyDescent="0.25">
      <c r="A537" s="3"/>
      <c r="B537" s="3" t="s">
        <v>2241</v>
      </c>
      <c r="C537" s="3" t="s">
        <v>2242</v>
      </c>
      <c r="D537" s="3" t="s">
        <v>0</v>
      </c>
      <c r="E537" s="3" t="s">
        <v>467</v>
      </c>
      <c r="F537" s="3" t="s">
        <v>994</v>
      </c>
      <c r="G537" s="3"/>
    </row>
    <row r="538" spans="1:7" x14ac:dyDescent="0.25">
      <c r="A538" s="3"/>
      <c r="B538" s="3" t="s">
        <v>2432</v>
      </c>
      <c r="C538" s="3" t="s">
        <v>2433</v>
      </c>
      <c r="D538" s="3" t="s">
        <v>0</v>
      </c>
      <c r="E538" s="3" t="s">
        <v>467</v>
      </c>
      <c r="F538" s="3" t="s">
        <v>2421</v>
      </c>
      <c r="G538" s="3"/>
    </row>
    <row r="539" spans="1:7" x14ac:dyDescent="0.25">
      <c r="A539" s="3"/>
      <c r="B539" s="3" t="s">
        <v>1901</v>
      </c>
      <c r="C539" s="3" t="s">
        <v>1902</v>
      </c>
      <c r="D539" s="3" t="s">
        <v>0</v>
      </c>
      <c r="E539" s="3" t="s">
        <v>1903</v>
      </c>
      <c r="F539" s="3" t="s">
        <v>1017</v>
      </c>
      <c r="G539" s="3"/>
    </row>
    <row r="540" spans="1:7" x14ac:dyDescent="0.25">
      <c r="A540" s="3"/>
      <c r="B540" s="3" t="s">
        <v>1904</v>
      </c>
      <c r="C540" s="3" t="s">
        <v>1905</v>
      </c>
      <c r="D540" s="3" t="s">
        <v>0</v>
      </c>
      <c r="E540" s="3" t="s">
        <v>1906</v>
      </c>
      <c r="F540" s="3" t="s">
        <v>900</v>
      </c>
      <c r="G540" s="3"/>
    </row>
    <row r="541" spans="1:7" x14ac:dyDescent="0.25">
      <c r="A541" s="3"/>
      <c r="B541" s="3" t="s">
        <v>1018</v>
      </c>
      <c r="C541" s="3" t="s">
        <v>1019</v>
      </c>
      <c r="D541" s="3" t="s">
        <v>0</v>
      </c>
      <c r="E541" s="3" t="s">
        <v>1020</v>
      </c>
      <c r="F541" s="3" t="s">
        <v>33</v>
      </c>
      <c r="G541" s="3"/>
    </row>
    <row r="542" spans="1:7" x14ac:dyDescent="0.25">
      <c r="A542" s="3"/>
      <c r="B542" s="3" t="s">
        <v>1305</v>
      </c>
      <c r="C542" s="3" t="s">
        <v>1306</v>
      </c>
      <c r="D542" s="3" t="s">
        <v>0</v>
      </c>
      <c r="E542" s="3" t="s">
        <v>2373</v>
      </c>
      <c r="F542" s="3" t="s">
        <v>1307</v>
      </c>
      <c r="G542" s="3"/>
    </row>
    <row r="543" spans="1:7" x14ac:dyDescent="0.25">
      <c r="A543" s="3"/>
      <c r="B543" s="3" t="s">
        <v>1021</v>
      </c>
      <c r="C543" s="3" t="s">
        <v>1022</v>
      </c>
      <c r="D543" s="3" t="s">
        <v>0</v>
      </c>
      <c r="E543" s="3" t="s">
        <v>1023</v>
      </c>
      <c r="F543" s="3" t="s">
        <v>90</v>
      </c>
      <c r="G543" s="3"/>
    </row>
    <row r="544" spans="1:7" x14ac:dyDescent="0.25">
      <c r="A544" s="3"/>
      <c r="B544" s="3" t="s">
        <v>1907</v>
      </c>
      <c r="C544" s="3" t="s">
        <v>1908</v>
      </c>
      <c r="D544" s="3" t="s">
        <v>0</v>
      </c>
      <c r="E544" s="3" t="s">
        <v>1909</v>
      </c>
      <c r="F544" s="3" t="s">
        <v>39</v>
      </c>
      <c r="G544" s="3"/>
    </row>
    <row r="545" spans="1:7" x14ac:dyDescent="0.25">
      <c r="A545" s="3"/>
      <c r="B545" s="3" t="s">
        <v>1401</v>
      </c>
      <c r="C545" s="3" t="s">
        <v>1402</v>
      </c>
      <c r="D545" s="3" t="s">
        <v>0</v>
      </c>
      <c r="E545" s="3" t="s">
        <v>1403</v>
      </c>
      <c r="F545" s="3" t="s">
        <v>1404</v>
      </c>
      <c r="G545" s="3"/>
    </row>
    <row r="546" spans="1:7" x14ac:dyDescent="0.25">
      <c r="A546" s="3"/>
      <c r="B546" s="3" t="s">
        <v>2243</v>
      </c>
      <c r="C546" s="3" t="s">
        <v>2244</v>
      </c>
      <c r="D546" s="3" t="s">
        <v>0</v>
      </c>
      <c r="E546" s="3" t="s">
        <v>2245</v>
      </c>
      <c r="F546" s="3" t="s">
        <v>1016</v>
      </c>
      <c r="G546" s="3"/>
    </row>
    <row r="547" spans="1:7" x14ac:dyDescent="0.25">
      <c r="A547" s="3"/>
      <c r="B547" s="3" t="s">
        <v>1910</v>
      </c>
      <c r="C547" s="3" t="s">
        <v>1911</v>
      </c>
      <c r="D547" s="3" t="s">
        <v>0</v>
      </c>
      <c r="E547" s="3" t="s">
        <v>487</v>
      </c>
      <c r="F547" s="3" t="s">
        <v>38</v>
      </c>
      <c r="G547" s="3"/>
    </row>
    <row r="548" spans="1:7" x14ac:dyDescent="0.25">
      <c r="A548" s="3"/>
      <c r="B548" s="3" t="s">
        <v>1024</v>
      </c>
      <c r="C548" s="3" t="s">
        <v>1025</v>
      </c>
      <c r="D548" s="3" t="s">
        <v>0</v>
      </c>
      <c r="E548" s="3" t="s">
        <v>1026</v>
      </c>
      <c r="F548" s="3" t="s">
        <v>1027</v>
      </c>
      <c r="G548" s="3"/>
    </row>
    <row r="549" spans="1:7" x14ac:dyDescent="0.25">
      <c r="A549" s="3"/>
      <c r="B549" s="3" t="s">
        <v>1912</v>
      </c>
      <c r="C549" s="3" t="s">
        <v>1913</v>
      </c>
      <c r="D549" s="3" t="s">
        <v>0</v>
      </c>
      <c r="E549" s="3" t="s">
        <v>1914</v>
      </c>
      <c r="F549" s="3" t="s">
        <v>937</v>
      </c>
      <c r="G549" s="3"/>
    </row>
    <row r="550" spans="1:7" x14ac:dyDescent="0.25">
      <c r="A550" s="3"/>
      <c r="B550" s="3" t="s">
        <v>1028</v>
      </c>
      <c r="C550" s="3" t="s">
        <v>1029</v>
      </c>
      <c r="D550" s="3" t="s">
        <v>0</v>
      </c>
      <c r="E550" s="3" t="s">
        <v>1030</v>
      </c>
      <c r="F550" s="3" t="s">
        <v>0</v>
      </c>
      <c r="G550" s="3"/>
    </row>
    <row r="551" spans="1:7" x14ac:dyDescent="0.25">
      <c r="A551" s="3"/>
      <c r="B551" s="3" t="s">
        <v>1031</v>
      </c>
      <c r="C551" s="3" t="s">
        <v>1032</v>
      </c>
      <c r="D551" s="3" t="s">
        <v>0</v>
      </c>
      <c r="E551" s="3" t="s">
        <v>1033</v>
      </c>
      <c r="F551" s="3" t="s">
        <v>1034</v>
      </c>
      <c r="G551" s="3"/>
    </row>
    <row r="552" spans="1:7" x14ac:dyDescent="0.25">
      <c r="A552" s="3"/>
      <c r="B552" s="3" t="s">
        <v>1915</v>
      </c>
      <c r="C552" s="3" t="s">
        <v>1916</v>
      </c>
      <c r="D552" s="3" t="s">
        <v>0</v>
      </c>
      <c r="E552" s="3" t="s">
        <v>1917</v>
      </c>
      <c r="F552" s="3" t="s">
        <v>896</v>
      </c>
      <c r="G552" s="3"/>
    </row>
    <row r="553" spans="1:7" x14ac:dyDescent="0.25">
      <c r="A553" s="3"/>
      <c r="B553" s="3" t="s">
        <v>2246</v>
      </c>
      <c r="C553" s="3" t="s">
        <v>2247</v>
      </c>
      <c r="D553" s="3" t="s">
        <v>0</v>
      </c>
      <c r="E553" s="3" t="s">
        <v>1918</v>
      </c>
      <c r="F553" s="3" t="s">
        <v>994</v>
      </c>
      <c r="G553" s="3"/>
    </row>
    <row r="554" spans="1:7" x14ac:dyDescent="0.25">
      <c r="A554" s="3"/>
      <c r="B554" s="3" t="s">
        <v>1919</v>
      </c>
      <c r="C554" s="3" t="s">
        <v>1920</v>
      </c>
      <c r="D554" s="3" t="s">
        <v>0</v>
      </c>
      <c r="E554" s="3" t="s">
        <v>1918</v>
      </c>
      <c r="F554" s="3" t="s">
        <v>39</v>
      </c>
      <c r="G554" s="3"/>
    </row>
    <row r="555" spans="1:7" x14ac:dyDescent="0.25">
      <c r="A555" s="3"/>
      <c r="B555" s="3" t="s">
        <v>1921</v>
      </c>
      <c r="C555" s="3" t="s">
        <v>1922</v>
      </c>
      <c r="D555" s="3" t="s">
        <v>0</v>
      </c>
      <c r="E555" s="3" t="s">
        <v>1923</v>
      </c>
      <c r="F555" s="3" t="s">
        <v>1924</v>
      </c>
      <c r="G555" s="3"/>
    </row>
    <row r="556" spans="1:7" x14ac:dyDescent="0.25">
      <c r="A556" s="3"/>
      <c r="B556" s="3" t="s">
        <v>2434</v>
      </c>
      <c r="C556" s="3" t="s">
        <v>2435</v>
      </c>
      <c r="D556" s="3" t="s">
        <v>0</v>
      </c>
      <c r="E556" s="3" t="s">
        <v>2439</v>
      </c>
      <c r="F556" s="3" t="s">
        <v>1307</v>
      </c>
      <c r="G556" s="3"/>
    </row>
    <row r="557" spans="1:7" x14ac:dyDescent="0.25">
      <c r="A557" s="3"/>
      <c r="B557" s="3" t="s">
        <v>2412</v>
      </c>
      <c r="C557" s="3" t="s">
        <v>2413</v>
      </c>
      <c r="D557" s="3" t="s">
        <v>0</v>
      </c>
      <c r="E557" s="3" t="s">
        <v>2419</v>
      </c>
      <c r="F557" s="3" t="s">
        <v>1113</v>
      </c>
      <c r="G557" s="3"/>
    </row>
    <row r="558" spans="1:7" x14ac:dyDescent="0.25">
      <c r="A558" s="3"/>
      <c r="B558" s="3" t="s">
        <v>2248</v>
      </c>
      <c r="C558" s="3" t="s">
        <v>2249</v>
      </c>
      <c r="D558" s="3" t="s">
        <v>0</v>
      </c>
      <c r="E558" s="3" t="s">
        <v>2250</v>
      </c>
      <c r="F558" s="3" t="s">
        <v>34</v>
      </c>
      <c r="G558" s="3"/>
    </row>
    <row r="559" spans="1:7" x14ac:dyDescent="0.25">
      <c r="A559" s="3"/>
      <c r="B559" s="3" t="s">
        <v>2251</v>
      </c>
      <c r="C559" s="3" t="s">
        <v>2252</v>
      </c>
      <c r="D559" s="3" t="s">
        <v>0</v>
      </c>
      <c r="E559" s="3" t="s">
        <v>2250</v>
      </c>
      <c r="F559" s="3" t="s">
        <v>896</v>
      </c>
      <c r="G559" s="3"/>
    </row>
    <row r="560" spans="1:7" x14ac:dyDescent="0.25">
      <c r="A560" s="3"/>
      <c r="B560" s="3" t="s">
        <v>1035</v>
      </c>
      <c r="C560" s="3" t="s">
        <v>1036</v>
      </c>
      <c r="D560" s="3" t="s">
        <v>0</v>
      </c>
      <c r="E560" s="3" t="s">
        <v>1037</v>
      </c>
      <c r="F560" s="3" t="s">
        <v>994</v>
      </c>
      <c r="G560" s="3"/>
    </row>
    <row r="561" spans="1:7" x14ac:dyDescent="0.25">
      <c r="A561" s="3"/>
      <c r="B561" s="3" t="s">
        <v>1038</v>
      </c>
      <c r="C561" s="3" t="s">
        <v>1039</v>
      </c>
      <c r="D561" s="3" t="s">
        <v>0</v>
      </c>
      <c r="E561" s="3" t="s">
        <v>1040</v>
      </c>
      <c r="F561" s="3" t="s">
        <v>38</v>
      </c>
      <c r="G561" s="3"/>
    </row>
    <row r="562" spans="1:7" x14ac:dyDescent="0.25">
      <c r="A562" s="3"/>
      <c r="B562" s="3" t="s">
        <v>1041</v>
      </c>
      <c r="C562" s="3" t="s">
        <v>1042</v>
      </c>
      <c r="D562" s="3" t="s">
        <v>0</v>
      </c>
      <c r="E562" s="3" t="s">
        <v>1043</v>
      </c>
      <c r="F562" s="3" t="s">
        <v>39</v>
      </c>
      <c r="G562" s="3"/>
    </row>
    <row r="563" spans="1:7" x14ac:dyDescent="0.25">
      <c r="A563" s="3"/>
      <c r="B563" s="3" t="s">
        <v>1925</v>
      </c>
      <c r="C563" s="3" t="s">
        <v>1926</v>
      </c>
      <c r="D563" s="3" t="s">
        <v>0</v>
      </c>
      <c r="E563" s="3" t="s">
        <v>1927</v>
      </c>
      <c r="F563" s="3" t="s">
        <v>911</v>
      </c>
      <c r="G563" s="3"/>
    </row>
    <row r="564" spans="1:7" x14ac:dyDescent="0.25">
      <c r="A564" s="3"/>
      <c r="B564" s="3" t="s">
        <v>2253</v>
      </c>
      <c r="C564" s="3" t="s">
        <v>2254</v>
      </c>
      <c r="D564" s="3" t="s">
        <v>0</v>
      </c>
      <c r="E564" s="3" t="s">
        <v>2255</v>
      </c>
      <c r="F564" s="3" t="s">
        <v>86</v>
      </c>
      <c r="G564" s="3"/>
    </row>
    <row r="565" spans="1:7" x14ac:dyDescent="0.25">
      <c r="A565" s="3"/>
      <c r="B565" s="3" t="s">
        <v>1928</v>
      </c>
      <c r="C565" s="3" t="s">
        <v>2363</v>
      </c>
      <c r="D565" s="3" t="s">
        <v>0</v>
      </c>
      <c r="E565" s="3" t="s">
        <v>1605</v>
      </c>
      <c r="F565" s="3" t="s">
        <v>33</v>
      </c>
      <c r="G565" s="3"/>
    </row>
    <row r="566" spans="1:7" x14ac:dyDescent="0.25">
      <c r="A566" s="3"/>
      <c r="B566" s="3" t="s">
        <v>151</v>
      </c>
      <c r="C566" s="3" t="s">
        <v>152</v>
      </c>
      <c r="D566" s="3" t="s">
        <v>0</v>
      </c>
      <c r="E566" s="3" t="s">
        <v>153</v>
      </c>
      <c r="F566" s="3" t="s">
        <v>33</v>
      </c>
      <c r="G566" s="3"/>
    </row>
    <row r="567" spans="1:7" x14ac:dyDescent="0.25">
      <c r="A567" s="3"/>
      <c r="B567" s="3" t="s">
        <v>1044</v>
      </c>
      <c r="C567" s="3" t="s">
        <v>1045</v>
      </c>
      <c r="D567" s="3" t="s">
        <v>0</v>
      </c>
      <c r="E567" s="3" t="s">
        <v>1046</v>
      </c>
      <c r="F567" s="3" t="s">
        <v>1047</v>
      </c>
      <c r="G567" s="3"/>
    </row>
    <row r="568" spans="1:7" x14ac:dyDescent="0.25">
      <c r="A568" s="3"/>
      <c r="B568" s="3" t="s">
        <v>1048</v>
      </c>
      <c r="C568" s="3" t="s">
        <v>1049</v>
      </c>
      <c r="D568" s="3" t="s">
        <v>0</v>
      </c>
      <c r="E568" s="3" t="s">
        <v>1050</v>
      </c>
      <c r="F568" s="3" t="s">
        <v>33</v>
      </c>
      <c r="G568" s="3"/>
    </row>
    <row r="569" spans="1:7" x14ac:dyDescent="0.25">
      <c r="A569" s="3"/>
      <c r="B569" s="3" t="s">
        <v>2256</v>
      </c>
      <c r="C569" s="3" t="s">
        <v>2257</v>
      </c>
      <c r="D569" s="3" t="s">
        <v>0</v>
      </c>
      <c r="E569" s="3" t="s">
        <v>2258</v>
      </c>
      <c r="F569" s="3" t="s">
        <v>39</v>
      </c>
      <c r="G569" s="3"/>
    </row>
    <row r="570" spans="1:7" x14ac:dyDescent="0.25">
      <c r="A570" s="3"/>
      <c r="B570" s="3" t="s">
        <v>1051</v>
      </c>
      <c r="C570" s="3" t="s">
        <v>1052</v>
      </c>
      <c r="D570" s="3" t="s">
        <v>0</v>
      </c>
      <c r="E570" s="3" t="s">
        <v>553</v>
      </c>
      <c r="F570" s="3" t="s">
        <v>1053</v>
      </c>
      <c r="G570" s="3"/>
    </row>
    <row r="571" spans="1:7" x14ac:dyDescent="0.25">
      <c r="A571" s="3"/>
      <c r="B571" s="3" t="s">
        <v>1054</v>
      </c>
      <c r="C571" s="3" t="s">
        <v>1055</v>
      </c>
      <c r="D571" s="3" t="s">
        <v>0</v>
      </c>
      <c r="E571" s="3" t="s">
        <v>1056</v>
      </c>
      <c r="F571" s="3" t="s">
        <v>39</v>
      </c>
      <c r="G571" s="3"/>
    </row>
    <row r="572" spans="1:7" x14ac:dyDescent="0.25">
      <c r="A572" s="3"/>
      <c r="B572" s="3" t="s">
        <v>1929</v>
      </c>
      <c r="C572" s="3" t="s">
        <v>1930</v>
      </c>
      <c r="D572" s="3" t="s">
        <v>0</v>
      </c>
      <c r="E572" s="3" t="s">
        <v>1931</v>
      </c>
      <c r="F572" s="3" t="s">
        <v>33</v>
      </c>
      <c r="G572" s="3"/>
    </row>
    <row r="573" spans="1:7" x14ac:dyDescent="0.25">
      <c r="A573" s="3"/>
      <c r="B573" s="3" t="s">
        <v>1057</v>
      </c>
      <c r="C573" s="3" t="s">
        <v>2374</v>
      </c>
      <c r="D573" s="3" t="s">
        <v>0</v>
      </c>
      <c r="E573" s="3" t="s">
        <v>1059</v>
      </c>
      <c r="F573" s="3" t="s">
        <v>90</v>
      </c>
      <c r="G573" s="3"/>
    </row>
    <row r="574" spans="1:7" x14ac:dyDescent="0.25">
      <c r="A574" s="3"/>
      <c r="B574" s="3" t="s">
        <v>2259</v>
      </c>
      <c r="C574" s="3" t="s">
        <v>2260</v>
      </c>
      <c r="D574" s="3" t="s">
        <v>0</v>
      </c>
      <c r="E574" s="3" t="s">
        <v>2261</v>
      </c>
      <c r="F574" s="3" t="s">
        <v>1864</v>
      </c>
      <c r="G574" s="3"/>
    </row>
    <row r="575" spans="1:7" x14ac:dyDescent="0.25">
      <c r="A575" s="3"/>
      <c r="B575" s="3" t="s">
        <v>2262</v>
      </c>
      <c r="C575" s="3" t="s">
        <v>2263</v>
      </c>
      <c r="D575" s="3" t="s">
        <v>0</v>
      </c>
      <c r="E575" s="3" t="s">
        <v>2264</v>
      </c>
      <c r="F575" s="3" t="s">
        <v>1932</v>
      </c>
      <c r="G575" s="3"/>
    </row>
    <row r="576" spans="1:7" x14ac:dyDescent="0.25">
      <c r="A576" s="3"/>
      <c r="B576" s="3" t="s">
        <v>1933</v>
      </c>
      <c r="C576" s="3" t="s">
        <v>1934</v>
      </c>
      <c r="D576" s="3" t="s">
        <v>0</v>
      </c>
      <c r="E576" s="3" t="s">
        <v>1935</v>
      </c>
      <c r="F576" s="3" t="s">
        <v>39</v>
      </c>
      <c r="G576" s="3"/>
    </row>
    <row r="577" spans="1:7" x14ac:dyDescent="0.25">
      <c r="A577" s="3"/>
      <c r="B577" s="3" t="s">
        <v>1936</v>
      </c>
      <c r="C577" s="3" t="s">
        <v>1937</v>
      </c>
      <c r="D577" s="3" t="s">
        <v>0</v>
      </c>
      <c r="E577" s="3" t="s">
        <v>1938</v>
      </c>
      <c r="F577" s="3" t="s">
        <v>39</v>
      </c>
      <c r="G577" s="3"/>
    </row>
    <row r="578" spans="1:7" x14ac:dyDescent="0.25">
      <c r="A578" s="3"/>
      <c r="B578" s="3" t="s">
        <v>104</v>
      </c>
      <c r="C578" s="3" t="s">
        <v>105</v>
      </c>
      <c r="D578" s="3" t="s">
        <v>0</v>
      </c>
      <c r="E578" s="3" t="s">
        <v>106</v>
      </c>
      <c r="F578" s="3" t="s">
        <v>39</v>
      </c>
      <c r="G578" s="3"/>
    </row>
    <row r="579" spans="1:7" x14ac:dyDescent="0.25">
      <c r="A579" s="3"/>
      <c r="B579" s="3" t="s">
        <v>2265</v>
      </c>
      <c r="C579" s="3" t="s">
        <v>2266</v>
      </c>
      <c r="D579" s="3" t="s">
        <v>0</v>
      </c>
      <c r="E579" s="3" t="s">
        <v>2267</v>
      </c>
      <c r="F579" s="3" t="s">
        <v>1864</v>
      </c>
      <c r="G579" s="3"/>
    </row>
    <row r="580" spans="1:7" x14ac:dyDescent="0.25">
      <c r="A580" s="3"/>
      <c r="B580" s="3" t="s">
        <v>1939</v>
      </c>
      <c r="C580" s="3" t="s">
        <v>1940</v>
      </c>
      <c r="D580" s="3" t="s">
        <v>0</v>
      </c>
      <c r="E580" s="3" t="s">
        <v>1941</v>
      </c>
      <c r="F580" s="3" t="s">
        <v>34</v>
      </c>
      <c r="G580" s="3"/>
    </row>
    <row r="581" spans="1:7" x14ac:dyDescent="0.25">
      <c r="A581" s="3"/>
      <c r="B581" s="3" t="s">
        <v>1942</v>
      </c>
      <c r="C581" s="3" t="s">
        <v>1943</v>
      </c>
      <c r="D581" s="3" t="s">
        <v>0</v>
      </c>
      <c r="E581" s="3" t="s">
        <v>1941</v>
      </c>
      <c r="F581" s="3" t="s">
        <v>34</v>
      </c>
      <c r="G581" s="3"/>
    </row>
    <row r="582" spans="1:7" x14ac:dyDescent="0.25">
      <c r="A582" s="3"/>
      <c r="B582" s="3" t="s">
        <v>1060</v>
      </c>
      <c r="C582" s="3" t="s">
        <v>1061</v>
      </c>
      <c r="D582" s="3" t="s">
        <v>0</v>
      </c>
      <c r="E582" s="3" t="s">
        <v>1062</v>
      </c>
      <c r="F582" s="3" t="s">
        <v>33</v>
      </c>
      <c r="G582" s="3"/>
    </row>
    <row r="583" spans="1:7" x14ac:dyDescent="0.25">
      <c r="A583" s="3"/>
      <c r="B583" s="3" t="s">
        <v>1944</v>
      </c>
      <c r="C583" s="3" t="s">
        <v>1945</v>
      </c>
      <c r="D583" s="3" t="s">
        <v>0</v>
      </c>
      <c r="E583" s="3" t="s">
        <v>1946</v>
      </c>
      <c r="F583" s="3" t="s">
        <v>900</v>
      </c>
      <c r="G583" s="3"/>
    </row>
    <row r="584" spans="1:7" x14ac:dyDescent="0.25">
      <c r="A584" s="3"/>
      <c r="B584" s="3" t="s">
        <v>1947</v>
      </c>
      <c r="C584" s="3" t="s">
        <v>1948</v>
      </c>
      <c r="D584" s="3" t="s">
        <v>0</v>
      </c>
      <c r="E584" s="3" t="s">
        <v>1949</v>
      </c>
      <c r="F584" s="3" t="s">
        <v>1950</v>
      </c>
      <c r="G584" s="3"/>
    </row>
    <row r="585" spans="1:7" x14ac:dyDescent="0.25">
      <c r="A585" s="3"/>
      <c r="B585" s="3" t="s">
        <v>1063</v>
      </c>
      <c r="C585" s="3" t="s">
        <v>1064</v>
      </c>
      <c r="D585" s="3" t="s">
        <v>0</v>
      </c>
      <c r="E585" s="3" t="s">
        <v>1065</v>
      </c>
      <c r="F585" s="3" t="s">
        <v>1066</v>
      </c>
      <c r="G585" s="3"/>
    </row>
    <row r="586" spans="1:7" x14ac:dyDescent="0.25">
      <c r="A586" s="3"/>
      <c r="B586" s="3" t="s">
        <v>1067</v>
      </c>
      <c r="C586" s="3" t="s">
        <v>1068</v>
      </c>
      <c r="D586" s="3" t="s">
        <v>0</v>
      </c>
      <c r="E586" s="3" t="s">
        <v>1069</v>
      </c>
      <c r="F586" s="3" t="s">
        <v>994</v>
      </c>
      <c r="G586" s="3"/>
    </row>
    <row r="587" spans="1:7" x14ac:dyDescent="0.25">
      <c r="A587" s="3"/>
      <c r="B587" s="3" t="s">
        <v>1951</v>
      </c>
      <c r="C587" s="3" t="s">
        <v>1952</v>
      </c>
      <c r="D587" s="3" t="s">
        <v>0</v>
      </c>
      <c r="E587" s="3" t="s">
        <v>1953</v>
      </c>
      <c r="F587" s="3" t="s">
        <v>1954</v>
      </c>
      <c r="G587" s="3"/>
    </row>
    <row r="588" spans="1:7" x14ac:dyDescent="0.25">
      <c r="A588" s="3"/>
      <c r="B588" s="3" t="s">
        <v>1070</v>
      </c>
      <c r="C588" s="3" t="s">
        <v>1071</v>
      </c>
      <c r="D588" s="3" t="s">
        <v>0</v>
      </c>
      <c r="E588" s="3" t="s">
        <v>1072</v>
      </c>
      <c r="F588" s="3" t="s">
        <v>1073</v>
      </c>
      <c r="G588" s="3"/>
    </row>
    <row r="589" spans="1:7" x14ac:dyDescent="0.25">
      <c r="A589" s="3"/>
      <c r="B589" s="3" t="s">
        <v>1074</v>
      </c>
      <c r="C589" s="3" t="s">
        <v>1075</v>
      </c>
      <c r="D589" s="3" t="s">
        <v>0</v>
      </c>
      <c r="E589" s="3" t="s">
        <v>1076</v>
      </c>
      <c r="F589" s="3" t="s">
        <v>39</v>
      </c>
      <c r="G589" s="3"/>
    </row>
    <row r="590" spans="1:7" x14ac:dyDescent="0.25">
      <c r="A590" s="3"/>
      <c r="B590" s="3" t="s">
        <v>2268</v>
      </c>
      <c r="C590" s="3" t="s">
        <v>2269</v>
      </c>
      <c r="D590" s="3" t="s">
        <v>0</v>
      </c>
      <c r="E590" s="3" t="s">
        <v>2270</v>
      </c>
      <c r="F590" s="3" t="s">
        <v>86</v>
      </c>
      <c r="G590" s="3"/>
    </row>
    <row r="591" spans="1:7" x14ac:dyDescent="0.25">
      <c r="A591" s="3"/>
      <c r="B591" s="3" t="s">
        <v>2271</v>
      </c>
      <c r="C591" s="3" t="s">
        <v>2272</v>
      </c>
      <c r="D591" s="3" t="s">
        <v>0</v>
      </c>
      <c r="E591" s="3" t="s">
        <v>2270</v>
      </c>
      <c r="F591" s="3" t="s">
        <v>2273</v>
      </c>
      <c r="G591" s="3"/>
    </row>
    <row r="592" spans="1:7" x14ac:dyDescent="0.25">
      <c r="A592" s="3"/>
      <c r="B592" s="3" t="s">
        <v>1955</v>
      </c>
      <c r="C592" s="3" t="s">
        <v>1956</v>
      </c>
      <c r="D592" s="3" t="s">
        <v>0</v>
      </c>
      <c r="E592" s="3" t="s">
        <v>1957</v>
      </c>
      <c r="F592" s="3" t="s">
        <v>0</v>
      </c>
      <c r="G592" s="3"/>
    </row>
    <row r="593" spans="1:7" x14ac:dyDescent="0.25">
      <c r="A593" s="3"/>
      <c r="B593" s="3" t="s">
        <v>1077</v>
      </c>
      <c r="C593" s="3" t="s">
        <v>1078</v>
      </c>
      <c r="D593" s="3" t="s">
        <v>0</v>
      </c>
      <c r="E593" s="3" t="s">
        <v>1079</v>
      </c>
      <c r="F593" s="3" t="s">
        <v>33</v>
      </c>
      <c r="G593" s="3"/>
    </row>
    <row r="594" spans="1:7" x14ac:dyDescent="0.25">
      <c r="A594" s="3"/>
      <c r="B594" s="3" t="s">
        <v>1080</v>
      </c>
      <c r="C594" s="3" t="s">
        <v>1081</v>
      </c>
      <c r="D594" s="3" t="s">
        <v>0</v>
      </c>
      <c r="E594" s="3" t="s">
        <v>1082</v>
      </c>
      <c r="F594" s="3" t="s">
        <v>900</v>
      </c>
      <c r="G594" s="3"/>
    </row>
    <row r="595" spans="1:7" x14ac:dyDescent="0.25">
      <c r="A595" s="3"/>
      <c r="B595" s="3" t="s">
        <v>1083</v>
      </c>
      <c r="C595" s="3" t="s">
        <v>1084</v>
      </c>
      <c r="D595" s="3" t="s">
        <v>0</v>
      </c>
      <c r="E595" s="3" t="s">
        <v>1085</v>
      </c>
      <c r="F595" s="3" t="s">
        <v>888</v>
      </c>
      <c r="G595" s="3"/>
    </row>
    <row r="596" spans="1:7" x14ac:dyDescent="0.25">
      <c r="A596" s="3"/>
      <c r="B596" s="3" t="s">
        <v>1086</v>
      </c>
      <c r="C596" s="3" t="s">
        <v>1087</v>
      </c>
      <c r="D596" s="3" t="s">
        <v>0</v>
      </c>
      <c r="E596" s="3" t="s">
        <v>1088</v>
      </c>
      <c r="F596" s="3" t="s">
        <v>39</v>
      </c>
      <c r="G596" s="3"/>
    </row>
    <row r="597" spans="1:7" x14ac:dyDescent="0.25">
      <c r="A597" s="3"/>
      <c r="B597" s="3" t="s">
        <v>1089</v>
      </c>
      <c r="C597" s="3" t="s">
        <v>1090</v>
      </c>
      <c r="D597" s="3" t="s">
        <v>0</v>
      </c>
      <c r="E597" s="3" t="s">
        <v>1091</v>
      </c>
      <c r="F597" s="3" t="s">
        <v>900</v>
      </c>
      <c r="G597" s="3"/>
    </row>
    <row r="598" spans="1:7" x14ac:dyDescent="0.25">
      <c r="A598" s="3"/>
      <c r="B598" s="3" t="s">
        <v>1092</v>
      </c>
      <c r="C598" s="3" t="s">
        <v>1093</v>
      </c>
      <c r="D598" s="3" t="s">
        <v>0</v>
      </c>
      <c r="E598" s="3" t="s">
        <v>1094</v>
      </c>
      <c r="F598" s="3" t="s">
        <v>994</v>
      </c>
      <c r="G598" s="3"/>
    </row>
    <row r="599" spans="1:7" x14ac:dyDescent="0.25">
      <c r="A599" s="3"/>
      <c r="B599" s="3" t="s">
        <v>1095</v>
      </c>
      <c r="C599" s="3" t="s">
        <v>1096</v>
      </c>
      <c r="D599" s="3" t="s">
        <v>0</v>
      </c>
      <c r="E599" s="3" t="s">
        <v>1097</v>
      </c>
      <c r="F599" s="3" t="s">
        <v>39</v>
      </c>
      <c r="G599" s="3"/>
    </row>
    <row r="600" spans="1:7" x14ac:dyDescent="0.25">
      <c r="A600" s="3"/>
      <c r="B600" s="3" t="s">
        <v>1958</v>
      </c>
      <c r="C600" s="3" t="s">
        <v>1959</v>
      </c>
      <c r="D600" s="3" t="s">
        <v>0</v>
      </c>
      <c r="E600" s="3" t="s">
        <v>1960</v>
      </c>
      <c r="F600" s="3" t="s">
        <v>892</v>
      </c>
      <c r="G600" s="3"/>
    </row>
    <row r="601" spans="1:7" x14ac:dyDescent="0.25">
      <c r="A601" s="3"/>
      <c r="B601" s="3" t="s">
        <v>2274</v>
      </c>
      <c r="C601" s="3" t="s">
        <v>2275</v>
      </c>
      <c r="D601" s="3" t="s">
        <v>0</v>
      </c>
      <c r="E601" s="3" t="s">
        <v>2276</v>
      </c>
      <c r="F601" s="3" t="s">
        <v>86</v>
      </c>
      <c r="G601" s="3"/>
    </row>
    <row r="602" spans="1:7" x14ac:dyDescent="0.25">
      <c r="A602" s="3"/>
      <c r="B602" s="3" t="s">
        <v>2509</v>
      </c>
      <c r="C602" s="3" t="s">
        <v>2510</v>
      </c>
      <c r="D602" s="3" t="s">
        <v>0</v>
      </c>
      <c r="E602" s="3" t="s">
        <v>2513</v>
      </c>
      <c r="F602" s="3" t="s">
        <v>2487</v>
      </c>
      <c r="G602" s="3"/>
    </row>
    <row r="603" spans="1:7" x14ac:dyDescent="0.25">
      <c r="A603" s="3"/>
      <c r="B603" s="3" t="s">
        <v>2364</v>
      </c>
      <c r="C603" s="3" t="s">
        <v>2365</v>
      </c>
      <c r="D603" s="3" t="s">
        <v>0</v>
      </c>
      <c r="E603" s="3" t="s">
        <v>2366</v>
      </c>
      <c r="F603" s="3" t="s">
        <v>2367</v>
      </c>
      <c r="G603" s="3"/>
    </row>
    <row r="604" spans="1:7" x14ac:dyDescent="0.25">
      <c r="A604" s="3"/>
      <c r="B604" s="3" t="s">
        <v>1961</v>
      </c>
      <c r="C604" s="3" t="s">
        <v>1962</v>
      </c>
      <c r="D604" s="3" t="s">
        <v>0</v>
      </c>
      <c r="E604" s="3" t="s">
        <v>1963</v>
      </c>
      <c r="F604" s="3" t="s">
        <v>1016</v>
      </c>
      <c r="G604" s="3"/>
    </row>
    <row r="605" spans="1:7" x14ac:dyDescent="0.25">
      <c r="A605" s="3"/>
      <c r="B605" s="3" t="s">
        <v>1098</v>
      </c>
      <c r="C605" s="3" t="s">
        <v>2277</v>
      </c>
      <c r="D605" s="3" t="s">
        <v>0</v>
      </c>
      <c r="E605" s="3" t="s">
        <v>1100</v>
      </c>
      <c r="F605" s="3" t="s">
        <v>904</v>
      </c>
      <c r="G605" s="3"/>
    </row>
    <row r="606" spans="1:7" x14ac:dyDescent="0.25">
      <c r="A606" s="3"/>
      <c r="B606" s="3" t="s">
        <v>2436</v>
      </c>
      <c r="C606" s="3" t="s">
        <v>2437</v>
      </c>
      <c r="D606" s="3" t="s">
        <v>0</v>
      </c>
      <c r="E606" s="3" t="s">
        <v>2440</v>
      </c>
      <c r="F606" s="3" t="s">
        <v>900</v>
      </c>
      <c r="G606" s="3"/>
    </row>
    <row r="607" spans="1:7" x14ac:dyDescent="0.25">
      <c r="A607" s="3"/>
      <c r="B607" s="3" t="s">
        <v>1101</v>
      </c>
      <c r="C607" s="3" t="s">
        <v>1102</v>
      </c>
      <c r="D607" s="3" t="s">
        <v>0</v>
      </c>
      <c r="E607" s="3" t="s">
        <v>1103</v>
      </c>
      <c r="F607" s="3" t="s">
        <v>0</v>
      </c>
      <c r="G607" s="3"/>
    </row>
    <row r="608" spans="1:7" x14ac:dyDescent="0.25">
      <c r="A608" s="3"/>
      <c r="B608" s="3" t="s">
        <v>1964</v>
      </c>
      <c r="C608" s="3" t="s">
        <v>1965</v>
      </c>
      <c r="D608" s="3" t="s">
        <v>0</v>
      </c>
      <c r="E608" s="3" t="s">
        <v>1966</v>
      </c>
      <c r="F608" s="3" t="s">
        <v>33</v>
      </c>
      <c r="G608" s="3"/>
    </row>
    <row r="609" spans="1:7" x14ac:dyDescent="0.25">
      <c r="A609" s="3"/>
      <c r="B609" s="3" t="s">
        <v>1104</v>
      </c>
      <c r="C609" s="3" t="s">
        <v>1105</v>
      </c>
      <c r="D609" s="3" t="s">
        <v>0</v>
      </c>
      <c r="E609" s="3" t="s">
        <v>1106</v>
      </c>
      <c r="F609" s="3" t="s">
        <v>86</v>
      </c>
      <c r="G609" s="3"/>
    </row>
    <row r="610" spans="1:7" x14ac:dyDescent="0.25">
      <c r="A610" s="3"/>
      <c r="B610" s="3" t="s">
        <v>1107</v>
      </c>
      <c r="C610" s="3" t="s">
        <v>1108</v>
      </c>
      <c r="D610" s="3" t="s">
        <v>0</v>
      </c>
      <c r="E610" s="3" t="s">
        <v>1109</v>
      </c>
      <c r="F610" s="3" t="s">
        <v>892</v>
      </c>
      <c r="G610" s="3"/>
    </row>
    <row r="611" spans="1:7" x14ac:dyDescent="0.25">
      <c r="A611" s="3"/>
      <c r="B611" s="3" t="s">
        <v>1110</v>
      </c>
      <c r="C611" s="3" t="s">
        <v>1111</v>
      </c>
      <c r="D611" s="3" t="s">
        <v>0</v>
      </c>
      <c r="E611" s="3" t="s">
        <v>1112</v>
      </c>
      <c r="F611" s="3" t="s">
        <v>1113</v>
      </c>
      <c r="G611" s="3"/>
    </row>
    <row r="612" spans="1:7" x14ac:dyDescent="0.25">
      <c r="A612" s="3"/>
      <c r="B612" s="3" t="s">
        <v>1114</v>
      </c>
      <c r="C612" s="3" t="s">
        <v>1115</v>
      </c>
      <c r="D612" s="3" t="s">
        <v>0</v>
      </c>
      <c r="E612" s="3" t="s">
        <v>1116</v>
      </c>
      <c r="F612" s="3" t="s">
        <v>39</v>
      </c>
      <c r="G612" s="3"/>
    </row>
    <row r="613" spans="1:7" x14ac:dyDescent="0.25">
      <c r="A613" s="3"/>
      <c r="B613" s="3" t="s">
        <v>1117</v>
      </c>
      <c r="C613" s="3" t="s">
        <v>1118</v>
      </c>
      <c r="D613" s="3" t="s">
        <v>0</v>
      </c>
      <c r="E613" s="3" t="s">
        <v>1119</v>
      </c>
      <c r="F613" s="3" t="s">
        <v>0</v>
      </c>
      <c r="G613" s="3"/>
    </row>
    <row r="614" spans="1:7" x14ac:dyDescent="0.25">
      <c r="A614" s="3"/>
      <c r="B614" s="3" t="s">
        <v>1120</v>
      </c>
      <c r="C614" s="3" t="s">
        <v>1121</v>
      </c>
      <c r="D614" s="3" t="s">
        <v>0</v>
      </c>
      <c r="E614" s="3" t="s">
        <v>1122</v>
      </c>
      <c r="F614" s="3" t="s">
        <v>38</v>
      </c>
      <c r="G614" s="3"/>
    </row>
    <row r="615" spans="1:7" x14ac:dyDescent="0.25">
      <c r="A615" s="3"/>
      <c r="B615" s="3" t="s">
        <v>1123</v>
      </c>
      <c r="C615" s="3" t="s">
        <v>1124</v>
      </c>
      <c r="D615" s="3" t="s">
        <v>0</v>
      </c>
      <c r="E615" s="3" t="s">
        <v>138</v>
      </c>
      <c r="F615" s="3" t="s">
        <v>1125</v>
      </c>
      <c r="G615" s="3"/>
    </row>
    <row r="616" spans="1:7" x14ac:dyDescent="0.25">
      <c r="A616" s="3"/>
      <c r="B616" s="3" t="s">
        <v>136</v>
      </c>
      <c r="C616" s="3" t="s">
        <v>137</v>
      </c>
      <c r="D616" s="3" t="s">
        <v>0</v>
      </c>
      <c r="E616" s="3" t="s">
        <v>138</v>
      </c>
      <c r="F616" s="3" t="s">
        <v>39</v>
      </c>
      <c r="G616" s="3"/>
    </row>
    <row r="617" spans="1:7" x14ac:dyDescent="0.25">
      <c r="A617" s="3"/>
      <c r="B617" s="3" t="s">
        <v>1967</v>
      </c>
      <c r="C617" s="3" t="s">
        <v>1968</v>
      </c>
      <c r="D617" s="3" t="s">
        <v>0</v>
      </c>
      <c r="E617" s="3" t="s">
        <v>1969</v>
      </c>
      <c r="F617" s="3" t="s">
        <v>86</v>
      </c>
      <c r="G617" s="3"/>
    </row>
    <row r="618" spans="1:7" x14ac:dyDescent="0.25">
      <c r="A618" s="3"/>
      <c r="B618" s="3" t="s">
        <v>1126</v>
      </c>
      <c r="C618" s="3" t="s">
        <v>1127</v>
      </c>
      <c r="D618" s="3" t="s">
        <v>0</v>
      </c>
      <c r="E618" s="3" t="s">
        <v>2278</v>
      </c>
      <c r="F618" s="3" t="s">
        <v>35</v>
      </c>
      <c r="G618" s="3"/>
    </row>
    <row r="619" spans="1:7" x14ac:dyDescent="0.25">
      <c r="A619" s="3"/>
      <c r="B619" s="3" t="s">
        <v>1970</v>
      </c>
      <c r="C619" s="3" t="s">
        <v>1971</v>
      </c>
      <c r="D619" s="3" t="s">
        <v>0</v>
      </c>
      <c r="E619" s="3" t="s">
        <v>1972</v>
      </c>
      <c r="F619" s="3" t="s">
        <v>39</v>
      </c>
      <c r="G619" s="3"/>
    </row>
    <row r="620" spans="1:7" x14ac:dyDescent="0.25">
      <c r="A620" s="3"/>
      <c r="B620" s="3" t="s">
        <v>1129</v>
      </c>
      <c r="C620" s="3" t="s">
        <v>1130</v>
      </c>
      <c r="D620" s="3" t="s">
        <v>0</v>
      </c>
      <c r="E620" s="3" t="s">
        <v>1131</v>
      </c>
      <c r="F620" s="3" t="s">
        <v>900</v>
      </c>
      <c r="G620" s="3"/>
    </row>
    <row r="621" spans="1:7" x14ac:dyDescent="0.25">
      <c r="A621" s="3"/>
      <c r="B621" s="3" t="s">
        <v>1973</v>
      </c>
      <c r="C621" s="3" t="s">
        <v>1974</v>
      </c>
      <c r="D621" s="3" t="s">
        <v>0</v>
      </c>
      <c r="E621" s="3" t="s">
        <v>1975</v>
      </c>
      <c r="F621" s="3" t="s">
        <v>39</v>
      </c>
      <c r="G621" s="3"/>
    </row>
    <row r="622" spans="1:7" x14ac:dyDescent="0.25">
      <c r="A622" s="3"/>
      <c r="B622" s="3" t="s">
        <v>1132</v>
      </c>
      <c r="C622" s="3" t="s">
        <v>1133</v>
      </c>
      <c r="D622" s="3" t="s">
        <v>0</v>
      </c>
      <c r="E622" s="3" t="s">
        <v>1134</v>
      </c>
      <c r="F622" s="3" t="s">
        <v>39</v>
      </c>
      <c r="G622" s="3"/>
    </row>
    <row r="623" spans="1:7" x14ac:dyDescent="0.25">
      <c r="A623" s="3"/>
      <c r="B623" s="3" t="s">
        <v>1135</v>
      </c>
      <c r="C623" s="3" t="s">
        <v>1136</v>
      </c>
      <c r="D623" s="3" t="s">
        <v>0</v>
      </c>
      <c r="E623" s="3" t="s">
        <v>1137</v>
      </c>
      <c r="F623" s="3" t="s">
        <v>904</v>
      </c>
      <c r="G623" s="3"/>
    </row>
    <row r="624" spans="1:7" x14ac:dyDescent="0.25">
      <c r="A624" s="3"/>
      <c r="B624" s="3" t="s">
        <v>130</v>
      </c>
      <c r="C624" s="3" t="s">
        <v>131</v>
      </c>
      <c r="D624" s="3" t="s">
        <v>0</v>
      </c>
      <c r="E624" s="3" t="s">
        <v>132</v>
      </c>
      <c r="F624" s="3" t="s">
        <v>33</v>
      </c>
      <c r="G624" s="3"/>
    </row>
    <row r="625" spans="1:7" x14ac:dyDescent="0.25">
      <c r="A625" s="3"/>
      <c r="B625" s="3" t="s">
        <v>2279</v>
      </c>
      <c r="C625" s="3" t="s">
        <v>2280</v>
      </c>
      <c r="D625" s="3" t="s">
        <v>0</v>
      </c>
      <c r="E625" s="3" t="s">
        <v>2281</v>
      </c>
      <c r="F625" s="3" t="s">
        <v>39</v>
      </c>
      <c r="G625" s="3"/>
    </row>
    <row r="626" spans="1:7" x14ac:dyDescent="0.25">
      <c r="A626" s="3"/>
      <c r="B626" s="3" t="s">
        <v>2282</v>
      </c>
      <c r="C626" s="3" t="s">
        <v>2283</v>
      </c>
      <c r="D626" s="3" t="s">
        <v>0</v>
      </c>
      <c r="E626" s="3" t="s">
        <v>2284</v>
      </c>
      <c r="F626" s="3" t="s">
        <v>39</v>
      </c>
      <c r="G626" s="3"/>
    </row>
    <row r="627" spans="1:7" x14ac:dyDescent="0.25">
      <c r="A627" s="3"/>
      <c r="B627" s="3" t="s">
        <v>133</v>
      </c>
      <c r="C627" s="3" t="s">
        <v>134</v>
      </c>
      <c r="D627" s="3" t="s">
        <v>0</v>
      </c>
      <c r="E627" s="3" t="s">
        <v>135</v>
      </c>
      <c r="F627" s="3" t="s">
        <v>33</v>
      </c>
      <c r="G627" s="3"/>
    </row>
    <row r="628" spans="1:7" x14ac:dyDescent="0.25">
      <c r="A628" s="3"/>
      <c r="B628" s="3" t="s">
        <v>1976</v>
      </c>
      <c r="C628" s="3" t="s">
        <v>1977</v>
      </c>
      <c r="D628" s="3" t="s">
        <v>0</v>
      </c>
      <c r="E628" s="3" t="s">
        <v>1978</v>
      </c>
      <c r="F628" s="3" t="s">
        <v>39</v>
      </c>
      <c r="G628" s="3"/>
    </row>
    <row r="629" spans="1:7" x14ac:dyDescent="0.25">
      <c r="A629" s="3"/>
      <c r="B629" s="3" t="s">
        <v>1138</v>
      </c>
      <c r="C629" s="3" t="s">
        <v>1139</v>
      </c>
      <c r="D629" s="3" t="s">
        <v>0</v>
      </c>
      <c r="E629" s="3" t="s">
        <v>1140</v>
      </c>
      <c r="F629" s="3" t="s">
        <v>33</v>
      </c>
      <c r="G629" s="3"/>
    </row>
    <row r="630" spans="1:7" x14ac:dyDescent="0.25">
      <c r="A630" s="3"/>
      <c r="B630" s="3" t="s">
        <v>2285</v>
      </c>
      <c r="C630" s="3" t="s">
        <v>2286</v>
      </c>
      <c r="D630" s="3" t="s">
        <v>0</v>
      </c>
      <c r="E630" s="3" t="s">
        <v>2287</v>
      </c>
      <c r="F630" s="3" t="s">
        <v>86</v>
      </c>
      <c r="G630" s="3"/>
    </row>
    <row r="631" spans="1:7" x14ac:dyDescent="0.25">
      <c r="A631" s="3"/>
      <c r="B631" s="3" t="s">
        <v>1141</v>
      </c>
      <c r="C631" s="3" t="s">
        <v>1142</v>
      </c>
      <c r="D631" s="3" t="s">
        <v>0</v>
      </c>
      <c r="E631" s="3" t="s">
        <v>1143</v>
      </c>
      <c r="F631" s="3" t="s">
        <v>33</v>
      </c>
      <c r="G631" s="3"/>
    </row>
    <row r="632" spans="1:7" x14ac:dyDescent="0.25">
      <c r="A632" s="3"/>
      <c r="B632" s="3" t="s">
        <v>1144</v>
      </c>
      <c r="C632" s="3" t="s">
        <v>1145</v>
      </c>
      <c r="D632" s="3" t="s">
        <v>0</v>
      </c>
      <c r="E632" s="3" t="s">
        <v>1146</v>
      </c>
      <c r="F632" s="3" t="s">
        <v>34</v>
      </c>
      <c r="G632" s="3"/>
    </row>
    <row r="633" spans="1:7" x14ac:dyDescent="0.25">
      <c r="A633" s="3"/>
      <c r="B633" s="3" t="s">
        <v>107</v>
      </c>
      <c r="C633" s="3" t="s">
        <v>108</v>
      </c>
      <c r="D633" s="3" t="s">
        <v>0</v>
      </c>
      <c r="E633" s="3" t="s">
        <v>109</v>
      </c>
      <c r="F633" s="3" t="s">
        <v>110</v>
      </c>
      <c r="G633" s="3"/>
    </row>
    <row r="634" spans="1:7" x14ac:dyDescent="0.25">
      <c r="A634" s="3"/>
      <c r="B634" s="3" t="s">
        <v>2414</v>
      </c>
      <c r="C634" s="3" t="s">
        <v>2415</v>
      </c>
      <c r="D634" s="3" t="s">
        <v>0</v>
      </c>
      <c r="E634" s="3" t="s">
        <v>2420</v>
      </c>
      <c r="F634" s="3" t="s">
        <v>1307</v>
      </c>
      <c r="G634" s="3"/>
    </row>
    <row r="635" spans="1:7" x14ac:dyDescent="0.25">
      <c r="A635" s="3"/>
      <c r="B635" s="3" t="s">
        <v>1147</v>
      </c>
      <c r="C635" s="3" t="s">
        <v>1148</v>
      </c>
      <c r="D635" s="3" t="s">
        <v>0</v>
      </c>
      <c r="E635" s="3" t="s">
        <v>1149</v>
      </c>
      <c r="F635" s="3" t="s">
        <v>86</v>
      </c>
      <c r="G635" s="3"/>
    </row>
    <row r="636" spans="1:7" x14ac:dyDescent="0.25">
      <c r="A636" s="3"/>
      <c r="B636" s="3" t="s">
        <v>139</v>
      </c>
      <c r="C636" s="3" t="s">
        <v>140</v>
      </c>
      <c r="D636" s="3" t="s">
        <v>0</v>
      </c>
      <c r="E636" s="3" t="s">
        <v>141</v>
      </c>
      <c r="F636" s="3" t="s">
        <v>33</v>
      </c>
      <c r="G636" s="3"/>
    </row>
    <row r="637" spans="1:7" x14ac:dyDescent="0.25">
      <c r="A637" s="3"/>
      <c r="B637" s="3" t="s">
        <v>1979</v>
      </c>
      <c r="C637" s="3" t="s">
        <v>1980</v>
      </c>
      <c r="D637" s="3" t="s">
        <v>0</v>
      </c>
      <c r="E637" s="3" t="s">
        <v>1981</v>
      </c>
      <c r="F637" s="3" t="s">
        <v>39</v>
      </c>
      <c r="G637" s="3"/>
    </row>
    <row r="638" spans="1:7" x14ac:dyDescent="0.25">
      <c r="A638" s="3"/>
      <c r="B638" s="3" t="s">
        <v>2446</v>
      </c>
      <c r="C638" s="3" t="s">
        <v>2447</v>
      </c>
      <c r="D638" s="3" t="s">
        <v>0</v>
      </c>
      <c r="E638" s="3" t="s">
        <v>2450</v>
      </c>
      <c r="F638" s="3" t="s">
        <v>2451</v>
      </c>
      <c r="G638" s="3"/>
    </row>
    <row r="639" spans="1:7" x14ac:dyDescent="0.25">
      <c r="A639" s="3"/>
      <c r="B639" s="3" t="s">
        <v>1150</v>
      </c>
      <c r="C639" s="3" t="s">
        <v>1151</v>
      </c>
      <c r="D639" s="3" t="s">
        <v>0</v>
      </c>
      <c r="E639" s="3" t="s">
        <v>1152</v>
      </c>
      <c r="F639" s="3" t="s">
        <v>86</v>
      </c>
      <c r="G639" s="3"/>
    </row>
    <row r="640" spans="1:7" x14ac:dyDescent="0.25">
      <c r="A640" s="3"/>
      <c r="B640" s="3" t="s">
        <v>2478</v>
      </c>
      <c r="C640" s="3" t="s">
        <v>2479</v>
      </c>
      <c r="D640" s="3" t="s">
        <v>0</v>
      </c>
      <c r="E640" s="3" t="s">
        <v>2491</v>
      </c>
      <c r="F640" s="3" t="s">
        <v>2488</v>
      </c>
      <c r="G640" s="3"/>
    </row>
    <row r="641" spans="1:7" x14ac:dyDescent="0.25">
      <c r="A641" s="3"/>
      <c r="B641" s="3" t="s">
        <v>1153</v>
      </c>
      <c r="C641" s="3" t="s">
        <v>1154</v>
      </c>
      <c r="D641" s="3" t="s">
        <v>0</v>
      </c>
      <c r="E641" s="3" t="s">
        <v>1155</v>
      </c>
      <c r="F641" s="3" t="s">
        <v>38</v>
      </c>
      <c r="G641" s="3"/>
    </row>
    <row r="642" spans="1:7" x14ac:dyDescent="0.25">
      <c r="A642" s="3"/>
      <c r="B642" s="3" t="s">
        <v>2480</v>
      </c>
      <c r="C642" s="3" t="s">
        <v>2481</v>
      </c>
      <c r="D642" s="3" t="s">
        <v>0</v>
      </c>
      <c r="E642" s="3" t="s">
        <v>2492</v>
      </c>
      <c r="F642" s="3" t="s">
        <v>2487</v>
      </c>
      <c r="G642" s="3"/>
    </row>
    <row r="643" spans="1:7" x14ac:dyDescent="0.25">
      <c r="A643" s="3"/>
      <c r="B643" s="3" t="s">
        <v>1156</v>
      </c>
      <c r="C643" s="3" t="s">
        <v>1157</v>
      </c>
      <c r="D643" s="3" t="s">
        <v>0</v>
      </c>
      <c r="E643" s="3" t="s">
        <v>1158</v>
      </c>
      <c r="F643" s="3" t="s">
        <v>33</v>
      </c>
      <c r="G643" s="3"/>
    </row>
    <row r="644" spans="1:7" x14ac:dyDescent="0.25">
      <c r="A644" s="3"/>
      <c r="B644" s="3" t="s">
        <v>1159</v>
      </c>
      <c r="C644" s="3" t="s">
        <v>1160</v>
      </c>
      <c r="D644" s="3" t="s">
        <v>0</v>
      </c>
      <c r="E644" s="3" t="s">
        <v>1161</v>
      </c>
      <c r="F644" s="3" t="s">
        <v>1162</v>
      </c>
      <c r="G644" s="3"/>
    </row>
    <row r="645" spans="1:7" x14ac:dyDescent="0.25">
      <c r="A645" s="3"/>
      <c r="B645" s="3" t="s">
        <v>1982</v>
      </c>
      <c r="C645" s="3" t="s">
        <v>1983</v>
      </c>
      <c r="D645" s="3" t="s">
        <v>0</v>
      </c>
      <c r="E645" s="3" t="s">
        <v>1984</v>
      </c>
      <c r="F645" s="3" t="s">
        <v>33</v>
      </c>
      <c r="G645" s="3"/>
    </row>
    <row r="646" spans="1:7" x14ac:dyDescent="0.25">
      <c r="A646" s="3"/>
      <c r="B646" s="3" t="s">
        <v>1163</v>
      </c>
      <c r="C646" s="3" t="s">
        <v>1164</v>
      </c>
      <c r="D646" s="3" t="s">
        <v>0</v>
      </c>
      <c r="E646" s="3" t="s">
        <v>1165</v>
      </c>
      <c r="F646" s="3" t="s">
        <v>911</v>
      </c>
      <c r="G646" s="3"/>
    </row>
    <row r="647" spans="1:7" x14ac:dyDescent="0.25">
      <c r="A647" s="3"/>
      <c r="B647" s="3" t="s">
        <v>2288</v>
      </c>
      <c r="C647" s="3" t="s">
        <v>2289</v>
      </c>
      <c r="D647" s="3" t="s">
        <v>0</v>
      </c>
      <c r="E647" s="3" t="s">
        <v>2290</v>
      </c>
      <c r="F647" s="3" t="s">
        <v>0</v>
      </c>
      <c r="G647" s="3"/>
    </row>
    <row r="648" spans="1:7" x14ac:dyDescent="0.25">
      <c r="A648" s="3"/>
      <c r="B648" s="3" t="s">
        <v>2381</v>
      </c>
      <c r="C648" s="3" t="s">
        <v>2382</v>
      </c>
      <c r="D648" s="3" t="s">
        <v>0</v>
      </c>
      <c r="E648" s="3" t="s">
        <v>2383</v>
      </c>
      <c r="F648" s="3" t="s">
        <v>2384</v>
      </c>
      <c r="G648" s="3"/>
    </row>
    <row r="649" spans="1:7" x14ac:dyDescent="0.25">
      <c r="A649" s="3"/>
      <c r="B649" s="3" t="s">
        <v>1166</v>
      </c>
      <c r="C649" s="3" t="s">
        <v>1167</v>
      </c>
      <c r="D649" s="3" t="s">
        <v>0</v>
      </c>
      <c r="E649" s="3" t="s">
        <v>1168</v>
      </c>
      <c r="F649" s="3" t="s">
        <v>86</v>
      </c>
      <c r="G649" s="3"/>
    </row>
    <row r="650" spans="1:7" x14ac:dyDescent="0.25">
      <c r="A650" s="3"/>
      <c r="B650" s="3" t="s">
        <v>1169</v>
      </c>
      <c r="C650" s="3" t="s">
        <v>1170</v>
      </c>
      <c r="D650" s="3" t="s">
        <v>0</v>
      </c>
      <c r="E650" s="3" t="s">
        <v>1171</v>
      </c>
      <c r="F650" s="3" t="s">
        <v>968</v>
      </c>
      <c r="G650" s="3"/>
    </row>
    <row r="651" spans="1:7" x14ac:dyDescent="0.25">
      <c r="A651" s="3"/>
      <c r="B651" s="3" t="s">
        <v>117</v>
      </c>
      <c r="C651" s="3" t="s">
        <v>118</v>
      </c>
      <c r="D651" s="3" t="s">
        <v>0</v>
      </c>
      <c r="E651" s="3" t="s">
        <v>119</v>
      </c>
      <c r="F651" s="3" t="s">
        <v>86</v>
      </c>
      <c r="G651" s="3"/>
    </row>
    <row r="652" spans="1:7" x14ac:dyDescent="0.25">
      <c r="A652" s="3"/>
      <c r="B652" s="3" t="s">
        <v>1985</v>
      </c>
      <c r="C652" s="3" t="s">
        <v>1986</v>
      </c>
      <c r="D652" s="3" t="s">
        <v>0</v>
      </c>
      <c r="E652" s="3" t="s">
        <v>1987</v>
      </c>
      <c r="F652" s="3" t="s">
        <v>1988</v>
      </c>
      <c r="G652" s="3"/>
    </row>
    <row r="653" spans="1:7" x14ac:dyDescent="0.25">
      <c r="A653" s="3"/>
      <c r="B653" s="3" t="s">
        <v>1172</v>
      </c>
      <c r="C653" s="3" t="s">
        <v>1173</v>
      </c>
      <c r="D653" s="3" t="s">
        <v>0</v>
      </c>
      <c r="E653" s="3" t="s">
        <v>1174</v>
      </c>
      <c r="F653" s="3" t="s">
        <v>86</v>
      </c>
      <c r="G653" s="3"/>
    </row>
    <row r="654" spans="1:7" x14ac:dyDescent="0.25">
      <c r="A654" s="3"/>
      <c r="B654" s="3" t="s">
        <v>1175</v>
      </c>
      <c r="C654" s="3" t="s">
        <v>1176</v>
      </c>
      <c r="D654" s="3" t="s">
        <v>0</v>
      </c>
      <c r="E654" s="3" t="s">
        <v>1177</v>
      </c>
      <c r="F654" s="3" t="s">
        <v>86</v>
      </c>
      <c r="G654" s="3"/>
    </row>
    <row r="655" spans="1:7" x14ac:dyDescent="0.25">
      <c r="A655" s="3"/>
      <c r="B655" s="3" t="s">
        <v>1408</v>
      </c>
      <c r="C655" s="3" t="s">
        <v>1409</v>
      </c>
      <c r="D655" s="3" t="s">
        <v>0</v>
      </c>
      <c r="E655" s="3" t="s">
        <v>1410</v>
      </c>
      <c r="F655" s="3" t="s">
        <v>33</v>
      </c>
      <c r="G655" s="3"/>
    </row>
    <row r="656" spans="1:7" x14ac:dyDescent="0.25">
      <c r="A656" s="3"/>
      <c r="B656" s="3" t="s">
        <v>1989</v>
      </c>
      <c r="C656" s="3" t="s">
        <v>1990</v>
      </c>
      <c r="D656" s="3" t="s">
        <v>0</v>
      </c>
      <c r="E656" s="3" t="s">
        <v>1991</v>
      </c>
      <c r="F656" s="3" t="s">
        <v>33</v>
      </c>
      <c r="G656" s="3"/>
    </row>
    <row r="657" spans="1:7" x14ac:dyDescent="0.25">
      <c r="A657" s="3"/>
      <c r="B657" s="3" t="s">
        <v>1178</v>
      </c>
      <c r="C657" s="3" t="s">
        <v>1179</v>
      </c>
      <c r="D657" s="3" t="s">
        <v>0</v>
      </c>
      <c r="E657" s="3" t="s">
        <v>1180</v>
      </c>
      <c r="F657" s="3" t="s">
        <v>1017</v>
      </c>
      <c r="G657" s="3"/>
    </row>
    <row r="658" spans="1:7" x14ac:dyDescent="0.25">
      <c r="A658" s="3"/>
      <c r="B658" s="3" t="s">
        <v>1181</v>
      </c>
      <c r="C658" s="3" t="s">
        <v>1182</v>
      </c>
      <c r="D658" s="3" t="s">
        <v>0</v>
      </c>
      <c r="E658" s="3" t="s">
        <v>1183</v>
      </c>
      <c r="F658" s="3" t="s">
        <v>86</v>
      </c>
      <c r="G658" s="3"/>
    </row>
    <row r="659" spans="1:7" x14ac:dyDescent="0.25">
      <c r="A659" s="3"/>
      <c r="B659" s="3" t="s">
        <v>1184</v>
      </c>
      <c r="C659" s="3" t="s">
        <v>1185</v>
      </c>
      <c r="D659" s="3" t="s">
        <v>0</v>
      </c>
      <c r="E659" s="3" t="s">
        <v>1186</v>
      </c>
      <c r="F659" s="3" t="s">
        <v>34</v>
      </c>
      <c r="G659" s="3"/>
    </row>
    <row r="660" spans="1:7" x14ac:dyDescent="0.25">
      <c r="A660" s="3"/>
      <c r="B660" s="3" t="s">
        <v>1187</v>
      </c>
      <c r="C660" s="3" t="s">
        <v>1188</v>
      </c>
      <c r="D660" s="3" t="s">
        <v>0</v>
      </c>
      <c r="E660" s="3" t="s">
        <v>1186</v>
      </c>
      <c r="F660" s="3" t="s">
        <v>876</v>
      </c>
      <c r="G660" s="3"/>
    </row>
    <row r="661" spans="1:7" x14ac:dyDescent="0.25">
      <c r="A661" s="3"/>
      <c r="B661" s="3" t="s">
        <v>1189</v>
      </c>
      <c r="C661" s="3" t="s">
        <v>1190</v>
      </c>
      <c r="D661" s="3" t="s">
        <v>0</v>
      </c>
      <c r="E661" s="3" t="s">
        <v>1191</v>
      </c>
      <c r="F661" s="3" t="s">
        <v>1012</v>
      </c>
      <c r="G661" s="3"/>
    </row>
    <row r="662" spans="1:7" x14ac:dyDescent="0.25">
      <c r="A662" s="3"/>
      <c r="B662" s="3" t="s">
        <v>1192</v>
      </c>
      <c r="C662" s="3" t="s">
        <v>1193</v>
      </c>
      <c r="D662" s="3" t="s">
        <v>0</v>
      </c>
      <c r="E662" s="3" t="s">
        <v>1194</v>
      </c>
      <c r="F662" s="3" t="s">
        <v>1012</v>
      </c>
      <c r="G662" s="3"/>
    </row>
    <row r="663" spans="1:7" x14ac:dyDescent="0.25">
      <c r="A663" s="3"/>
      <c r="B663" s="3" t="s">
        <v>1195</v>
      </c>
      <c r="C663" s="3" t="s">
        <v>1196</v>
      </c>
      <c r="D663" s="3" t="s">
        <v>0</v>
      </c>
      <c r="E663" s="3" t="s">
        <v>1197</v>
      </c>
      <c r="F663" s="3" t="s">
        <v>86</v>
      </c>
      <c r="G663" s="3"/>
    </row>
    <row r="664" spans="1:7" x14ac:dyDescent="0.25">
      <c r="A664" s="3"/>
      <c r="B664" s="3" t="s">
        <v>1198</v>
      </c>
      <c r="C664" s="3" t="s">
        <v>1199</v>
      </c>
      <c r="D664" s="3" t="s">
        <v>0</v>
      </c>
      <c r="E664" s="3" t="s">
        <v>1200</v>
      </c>
      <c r="F664" s="3" t="s">
        <v>876</v>
      </c>
      <c r="G664" s="3"/>
    </row>
    <row r="665" spans="1:7" x14ac:dyDescent="0.25">
      <c r="A665" s="3"/>
      <c r="B665" s="3" t="s">
        <v>1992</v>
      </c>
      <c r="C665" s="3" t="s">
        <v>1993</v>
      </c>
      <c r="D665" s="3" t="s">
        <v>0</v>
      </c>
      <c r="E665" s="3" t="s">
        <v>1994</v>
      </c>
      <c r="F665" s="3" t="s">
        <v>39</v>
      </c>
      <c r="G665" s="3"/>
    </row>
    <row r="666" spans="1:7" x14ac:dyDescent="0.25">
      <c r="A666" s="3"/>
      <c r="B666" s="3" t="s">
        <v>1201</v>
      </c>
      <c r="C666" s="3" t="s">
        <v>1202</v>
      </c>
      <c r="D666" s="3" t="s">
        <v>0</v>
      </c>
      <c r="E666" s="3" t="s">
        <v>1203</v>
      </c>
      <c r="F666" s="3" t="s">
        <v>86</v>
      </c>
      <c r="G666" s="3"/>
    </row>
    <row r="667" spans="1:7" x14ac:dyDescent="0.25">
      <c r="A667" s="3"/>
      <c r="B667" s="3" t="s">
        <v>1204</v>
      </c>
      <c r="C667" s="3" t="s">
        <v>1205</v>
      </c>
      <c r="D667" s="3" t="s">
        <v>0</v>
      </c>
      <c r="E667" s="3" t="s">
        <v>1206</v>
      </c>
      <c r="F667" s="3" t="s">
        <v>86</v>
      </c>
      <c r="G667" s="3"/>
    </row>
    <row r="668" spans="1:7" x14ac:dyDescent="0.25">
      <c r="A668" s="3"/>
      <c r="B668" s="3" t="s">
        <v>1207</v>
      </c>
      <c r="C668" s="3" t="s">
        <v>1208</v>
      </c>
      <c r="D668" s="3" t="s">
        <v>0</v>
      </c>
      <c r="E668" s="3" t="s">
        <v>1209</v>
      </c>
      <c r="F668" s="3" t="s">
        <v>904</v>
      </c>
      <c r="G668" s="3"/>
    </row>
    <row r="669" spans="1:7" x14ac:dyDescent="0.25">
      <c r="A669" s="3"/>
      <c r="B669" s="3" t="s">
        <v>1210</v>
      </c>
      <c r="C669" s="3" t="s">
        <v>1211</v>
      </c>
      <c r="D669" s="3" t="s">
        <v>0</v>
      </c>
      <c r="E669" s="3" t="s">
        <v>1212</v>
      </c>
      <c r="F669" s="3" t="s">
        <v>900</v>
      </c>
      <c r="G669" s="3"/>
    </row>
    <row r="670" spans="1:7" x14ac:dyDescent="0.25">
      <c r="A670" s="3"/>
      <c r="B670" s="3" t="s">
        <v>2291</v>
      </c>
      <c r="C670" s="3" t="s">
        <v>2292</v>
      </c>
      <c r="D670" s="3" t="s">
        <v>0</v>
      </c>
      <c r="E670" s="3" t="s">
        <v>2293</v>
      </c>
      <c r="F670" s="3" t="s">
        <v>86</v>
      </c>
      <c r="G670" s="3"/>
    </row>
    <row r="671" spans="1:7" x14ac:dyDescent="0.25">
      <c r="A671" s="3"/>
      <c r="B671" s="3" t="s">
        <v>1995</v>
      </c>
      <c r="C671" s="3" t="s">
        <v>1996</v>
      </c>
      <c r="D671" s="3" t="s">
        <v>0</v>
      </c>
      <c r="E671" s="3" t="s">
        <v>1997</v>
      </c>
      <c r="F671" s="3" t="s">
        <v>86</v>
      </c>
      <c r="G671" s="3"/>
    </row>
    <row r="672" spans="1:7" x14ac:dyDescent="0.25">
      <c r="A672" s="3"/>
      <c r="B672" s="3" t="s">
        <v>1213</v>
      </c>
      <c r="C672" s="3" t="s">
        <v>1214</v>
      </c>
      <c r="D672" s="3" t="s">
        <v>0</v>
      </c>
      <c r="E672" s="3" t="s">
        <v>1215</v>
      </c>
      <c r="F672" s="3" t="s">
        <v>38</v>
      </c>
      <c r="G672" s="3"/>
    </row>
    <row r="673" spans="1:7" x14ac:dyDescent="0.25">
      <c r="A673" s="3"/>
      <c r="B673" s="3" t="s">
        <v>1216</v>
      </c>
      <c r="C673" s="3" t="s">
        <v>1217</v>
      </c>
      <c r="D673" s="3" t="s">
        <v>0</v>
      </c>
      <c r="E673" s="3" t="s">
        <v>1218</v>
      </c>
      <c r="F673" s="3" t="s">
        <v>86</v>
      </c>
      <c r="G673" s="3"/>
    </row>
    <row r="674" spans="1:7" x14ac:dyDescent="0.25">
      <c r="A674" s="3"/>
      <c r="B674" s="3" t="s">
        <v>2294</v>
      </c>
      <c r="C674" s="3" t="s">
        <v>2295</v>
      </c>
      <c r="D674" s="3" t="s">
        <v>0</v>
      </c>
      <c r="E674" s="3" t="s">
        <v>2296</v>
      </c>
      <c r="F674" s="3" t="s">
        <v>33</v>
      </c>
      <c r="G674" s="3"/>
    </row>
    <row r="675" spans="1:7" x14ac:dyDescent="0.25">
      <c r="A675" s="3"/>
      <c r="B675" s="3" t="s">
        <v>881</v>
      </c>
      <c r="C675" s="3" t="s">
        <v>882</v>
      </c>
      <c r="D675" s="3" t="s">
        <v>0</v>
      </c>
      <c r="E675" s="3" t="s">
        <v>2452</v>
      </c>
      <c r="F675" s="3" t="s">
        <v>884</v>
      </c>
      <c r="G675" s="3"/>
    </row>
    <row r="676" spans="1:7" x14ac:dyDescent="0.25">
      <c r="A676" s="3"/>
      <c r="B676" s="3" t="s">
        <v>1998</v>
      </c>
      <c r="C676" s="3" t="s">
        <v>1999</v>
      </c>
      <c r="D676" s="3" t="s">
        <v>0</v>
      </c>
      <c r="E676" s="3" t="s">
        <v>2000</v>
      </c>
      <c r="F676" s="3" t="s">
        <v>2001</v>
      </c>
      <c r="G676" s="3"/>
    </row>
    <row r="677" spans="1:7" x14ac:dyDescent="0.25">
      <c r="A677" s="3"/>
      <c r="B677" s="3" t="s">
        <v>1412</v>
      </c>
      <c r="C677" s="3" t="s">
        <v>1413</v>
      </c>
      <c r="D677" s="3" t="s">
        <v>0</v>
      </c>
      <c r="E677" s="3" t="s">
        <v>1414</v>
      </c>
      <c r="F677" s="3" t="s">
        <v>33</v>
      </c>
      <c r="G677" s="3"/>
    </row>
    <row r="678" spans="1:7" x14ac:dyDescent="0.25">
      <c r="A678" s="3"/>
      <c r="B678" s="3" t="s">
        <v>2002</v>
      </c>
      <c r="C678" s="3" t="s">
        <v>2003</v>
      </c>
      <c r="D678" s="3" t="s">
        <v>0</v>
      </c>
      <c r="E678" s="3" t="s">
        <v>2004</v>
      </c>
      <c r="F678" s="3" t="s">
        <v>1932</v>
      </c>
      <c r="G678" s="3"/>
    </row>
    <row r="679" spans="1:7" x14ac:dyDescent="0.25">
      <c r="A679" s="3"/>
      <c r="B679" s="3" t="s">
        <v>2005</v>
      </c>
      <c r="C679" s="3" t="s">
        <v>2006</v>
      </c>
      <c r="D679" s="3" t="s">
        <v>0</v>
      </c>
      <c r="E679" s="3" t="s">
        <v>2007</v>
      </c>
      <c r="F679" s="3" t="s">
        <v>34</v>
      </c>
      <c r="G679" s="3"/>
    </row>
    <row r="680" spans="1:7" x14ac:dyDescent="0.25">
      <c r="A680" s="3"/>
      <c r="B680" s="3" t="s">
        <v>2008</v>
      </c>
      <c r="C680" s="3" t="s">
        <v>2009</v>
      </c>
      <c r="D680" s="3" t="s">
        <v>0</v>
      </c>
      <c r="E680" s="3" t="s">
        <v>2010</v>
      </c>
      <c r="F680" s="3" t="s">
        <v>86</v>
      </c>
      <c r="G680" s="3"/>
    </row>
    <row r="681" spans="1:7" x14ac:dyDescent="0.25">
      <c r="A681" s="3"/>
      <c r="B681" s="3" t="s">
        <v>2011</v>
      </c>
      <c r="C681" s="3" t="s">
        <v>2012</v>
      </c>
      <c r="D681" s="3" t="s">
        <v>0</v>
      </c>
      <c r="E681" s="3" t="s">
        <v>2013</v>
      </c>
      <c r="F681" s="3" t="s">
        <v>0</v>
      </c>
      <c r="G681" s="3"/>
    </row>
    <row r="682" spans="1:7" x14ac:dyDescent="0.25">
      <c r="A682" s="3"/>
      <c r="B682" s="3" t="s">
        <v>1219</v>
      </c>
      <c r="C682" s="3" t="s">
        <v>1220</v>
      </c>
      <c r="D682" s="3" t="s">
        <v>0</v>
      </c>
      <c r="E682" s="3" t="s">
        <v>724</v>
      </c>
      <c r="F682" s="3" t="s">
        <v>39</v>
      </c>
      <c r="G682" s="3"/>
    </row>
    <row r="683" spans="1:7" x14ac:dyDescent="0.25">
      <c r="A683" s="3"/>
      <c r="B683" s="3" t="s">
        <v>2014</v>
      </c>
      <c r="C683" s="3" t="s">
        <v>2375</v>
      </c>
      <c r="D683" s="3" t="s">
        <v>0</v>
      </c>
      <c r="E683" s="3" t="s">
        <v>2015</v>
      </c>
      <c r="F683" s="3" t="s">
        <v>2016</v>
      </c>
      <c r="G683" s="3"/>
    </row>
    <row r="684" spans="1:7" x14ac:dyDescent="0.25">
      <c r="A684" s="3"/>
      <c r="B684" s="3" t="s">
        <v>2297</v>
      </c>
      <c r="C684" s="3" t="s">
        <v>2298</v>
      </c>
      <c r="D684" s="3" t="s">
        <v>0</v>
      </c>
      <c r="E684" s="3" t="s">
        <v>2299</v>
      </c>
      <c r="F684" s="3" t="s">
        <v>39</v>
      </c>
      <c r="G684" s="3"/>
    </row>
    <row r="685" spans="1:7" x14ac:dyDescent="0.25">
      <c r="A685" s="3"/>
      <c r="B685" s="3" t="s">
        <v>1221</v>
      </c>
      <c r="C685" s="3" t="s">
        <v>1222</v>
      </c>
      <c r="D685" s="3" t="s">
        <v>0</v>
      </c>
      <c r="E685" s="3" t="s">
        <v>1223</v>
      </c>
      <c r="F685" s="3" t="s">
        <v>86</v>
      </c>
      <c r="G685" s="3"/>
    </row>
    <row r="686" spans="1:7" x14ac:dyDescent="0.25">
      <c r="A686" s="3"/>
      <c r="B686" s="3" t="s">
        <v>37</v>
      </c>
      <c r="C686" s="3" t="s">
        <v>1224</v>
      </c>
      <c r="D686" s="3" t="s">
        <v>0</v>
      </c>
      <c r="E686" s="3" t="s">
        <v>36</v>
      </c>
      <c r="F686" s="3" t="s">
        <v>33</v>
      </c>
      <c r="G686" s="3"/>
    </row>
    <row r="687" spans="1:7" x14ac:dyDescent="0.25">
      <c r="A687" s="3"/>
      <c r="B687" s="3" t="s">
        <v>2300</v>
      </c>
      <c r="C687" s="3" t="s">
        <v>2301</v>
      </c>
      <c r="D687" s="3" t="s">
        <v>0</v>
      </c>
      <c r="E687" s="3" t="s">
        <v>2302</v>
      </c>
      <c r="F687" s="3" t="s">
        <v>86</v>
      </c>
      <c r="G687" s="3"/>
    </row>
    <row r="688" spans="1:7" x14ac:dyDescent="0.25">
      <c r="A688" s="3"/>
      <c r="B688" s="3" t="s">
        <v>1225</v>
      </c>
      <c r="C688" s="3" t="s">
        <v>1226</v>
      </c>
      <c r="D688" s="3" t="s">
        <v>0</v>
      </c>
      <c r="E688" s="3" t="s">
        <v>1227</v>
      </c>
      <c r="F688" s="3" t="s">
        <v>86</v>
      </c>
      <c r="G688" s="3"/>
    </row>
    <row r="689" spans="1:7" x14ac:dyDescent="0.25">
      <c r="A689" s="3"/>
      <c r="B689" s="3" t="s">
        <v>2303</v>
      </c>
      <c r="C689" s="3" t="s">
        <v>2304</v>
      </c>
      <c r="D689" s="3" t="s">
        <v>0</v>
      </c>
      <c r="E689" s="3" t="s">
        <v>2305</v>
      </c>
      <c r="F689" s="3" t="s">
        <v>39</v>
      </c>
      <c r="G689" s="3"/>
    </row>
    <row r="690" spans="1:7" x14ac:dyDescent="0.25">
      <c r="A690" s="3"/>
      <c r="B690" s="3" t="s">
        <v>2306</v>
      </c>
      <c r="C690" s="3" t="s">
        <v>2307</v>
      </c>
      <c r="D690" s="3" t="s">
        <v>0</v>
      </c>
      <c r="E690" s="3" t="s">
        <v>2308</v>
      </c>
      <c r="F690" s="3" t="s">
        <v>35</v>
      </c>
      <c r="G690" s="3"/>
    </row>
    <row r="691" spans="1:7" x14ac:dyDescent="0.25">
      <c r="A691" s="3"/>
      <c r="B691" s="3" t="s">
        <v>2309</v>
      </c>
      <c r="C691" s="3" t="s">
        <v>2310</v>
      </c>
      <c r="D691" s="3" t="s">
        <v>0</v>
      </c>
      <c r="E691" s="3" t="s">
        <v>2311</v>
      </c>
      <c r="F691" s="3" t="s">
        <v>33</v>
      </c>
      <c r="G691" s="3"/>
    </row>
    <row r="692" spans="1:7" x14ac:dyDescent="0.25">
      <c r="A692" s="3"/>
      <c r="B692" s="3" t="s">
        <v>2017</v>
      </c>
      <c r="C692" s="3" t="s">
        <v>2018</v>
      </c>
      <c r="D692" s="3" t="s">
        <v>0</v>
      </c>
      <c r="E692" s="3" t="s">
        <v>2019</v>
      </c>
      <c r="F692" s="3" t="s">
        <v>33</v>
      </c>
      <c r="G692" s="3"/>
    </row>
    <row r="693" spans="1:7" x14ac:dyDescent="0.25">
      <c r="A693" s="3"/>
      <c r="B693" s="3" t="s">
        <v>2312</v>
      </c>
      <c r="C693" s="3" t="s">
        <v>2313</v>
      </c>
      <c r="D693" s="3" t="s">
        <v>0</v>
      </c>
      <c r="E693" s="3" t="s">
        <v>2314</v>
      </c>
      <c r="F693" s="3" t="s">
        <v>900</v>
      </c>
      <c r="G693" s="3"/>
    </row>
    <row r="694" spans="1:7" x14ac:dyDescent="0.25">
      <c r="A694" s="3"/>
      <c r="B694" s="3" t="s">
        <v>1415</v>
      </c>
      <c r="C694" s="3" t="s">
        <v>1416</v>
      </c>
      <c r="D694" s="3" t="s">
        <v>0</v>
      </c>
      <c r="E694" s="3" t="s">
        <v>1417</v>
      </c>
      <c r="F694" s="3" t="s">
        <v>35</v>
      </c>
      <c r="G694" s="3"/>
    </row>
    <row r="695" spans="1:7" x14ac:dyDescent="0.25">
      <c r="A695" s="3"/>
      <c r="B695" s="3" t="s">
        <v>2315</v>
      </c>
      <c r="C695" s="3" t="s">
        <v>2316</v>
      </c>
      <c r="D695" s="3" t="s">
        <v>0</v>
      </c>
      <c r="E695" s="3" t="s">
        <v>2317</v>
      </c>
      <c r="F695" s="3" t="s">
        <v>38</v>
      </c>
      <c r="G695" s="3"/>
    </row>
    <row r="696" spans="1:7" x14ac:dyDescent="0.25">
      <c r="A696" s="3"/>
      <c r="B696" s="3" t="s">
        <v>2318</v>
      </c>
      <c r="C696" s="3" t="s">
        <v>2319</v>
      </c>
      <c r="D696" s="3" t="s">
        <v>0</v>
      </c>
      <c r="E696" s="3" t="s">
        <v>2320</v>
      </c>
      <c r="F696" s="3" t="s">
        <v>33</v>
      </c>
      <c r="G696" s="3"/>
    </row>
    <row r="697" spans="1:7" x14ac:dyDescent="0.25">
      <c r="A697" s="3"/>
      <c r="B697" s="3" t="s">
        <v>1228</v>
      </c>
      <c r="C697" s="3" t="s">
        <v>1229</v>
      </c>
      <c r="D697" s="3" t="s">
        <v>0</v>
      </c>
      <c r="E697" s="3" t="s">
        <v>1230</v>
      </c>
      <c r="F697" s="3" t="s">
        <v>86</v>
      </c>
      <c r="G697" s="3"/>
    </row>
    <row r="698" spans="1:7" x14ac:dyDescent="0.25">
      <c r="A698" s="3"/>
      <c r="B698" s="3" t="s">
        <v>1231</v>
      </c>
      <c r="C698" s="3" t="s">
        <v>1232</v>
      </c>
      <c r="D698" s="3" t="s">
        <v>0</v>
      </c>
      <c r="E698" s="3" t="s">
        <v>1233</v>
      </c>
      <c r="F698" s="3" t="s">
        <v>1027</v>
      </c>
      <c r="G698" s="3"/>
    </row>
    <row r="699" spans="1:7" x14ac:dyDescent="0.25">
      <c r="A699" s="3"/>
      <c r="B699" s="3" t="s">
        <v>1234</v>
      </c>
      <c r="C699" s="3" t="s">
        <v>1235</v>
      </c>
      <c r="D699" s="3" t="s">
        <v>0</v>
      </c>
      <c r="E699" s="3" t="s">
        <v>1236</v>
      </c>
      <c r="F699" s="3" t="s">
        <v>33</v>
      </c>
      <c r="G699" s="3"/>
    </row>
    <row r="700" spans="1:7" x14ac:dyDescent="0.25">
      <c r="A700" s="3"/>
      <c r="B700" s="3" t="s">
        <v>1237</v>
      </c>
      <c r="C700" s="3" t="s">
        <v>1238</v>
      </c>
      <c r="D700" s="3" t="s">
        <v>0</v>
      </c>
      <c r="E700" s="3" t="s">
        <v>1239</v>
      </c>
      <c r="F700" s="3" t="s">
        <v>86</v>
      </c>
      <c r="G700" s="3"/>
    </row>
    <row r="701" spans="1:7" x14ac:dyDescent="0.25">
      <c r="A701" s="3"/>
      <c r="B701" s="3" t="s">
        <v>1240</v>
      </c>
      <c r="C701" s="3" t="s">
        <v>1241</v>
      </c>
      <c r="D701" s="3" t="s">
        <v>0</v>
      </c>
      <c r="E701" s="3" t="s">
        <v>1242</v>
      </c>
      <c r="F701" s="3" t="s">
        <v>86</v>
      </c>
      <c r="G701" s="3"/>
    </row>
    <row r="702" spans="1:7" x14ac:dyDescent="0.25">
      <c r="A702" s="3"/>
      <c r="B702" s="3" t="s">
        <v>1243</v>
      </c>
      <c r="C702" s="3" t="s">
        <v>1244</v>
      </c>
      <c r="D702" s="3" t="s">
        <v>0</v>
      </c>
      <c r="E702" s="3" t="s">
        <v>1245</v>
      </c>
      <c r="F702" s="3" t="s">
        <v>86</v>
      </c>
      <c r="G702" s="3"/>
    </row>
    <row r="703" spans="1:7" x14ac:dyDescent="0.25">
      <c r="A703" s="3"/>
      <c r="B703" s="3" t="s">
        <v>1246</v>
      </c>
      <c r="C703" s="3" t="s">
        <v>1247</v>
      </c>
      <c r="D703" s="3" t="s">
        <v>0</v>
      </c>
      <c r="E703" s="3" t="s">
        <v>1248</v>
      </c>
      <c r="F703" s="3" t="s">
        <v>86</v>
      </c>
      <c r="G703" s="3"/>
    </row>
    <row r="704" spans="1:7" x14ac:dyDescent="0.25">
      <c r="A704" s="3"/>
      <c r="B704" s="3" t="s">
        <v>2321</v>
      </c>
      <c r="C704" s="3" t="s">
        <v>2322</v>
      </c>
      <c r="D704" s="3" t="s">
        <v>0</v>
      </c>
      <c r="E704" s="3" t="s">
        <v>2323</v>
      </c>
      <c r="F704" s="3" t="s">
        <v>1924</v>
      </c>
      <c r="G704" s="3"/>
    </row>
    <row r="705" spans="1:7" x14ac:dyDescent="0.25">
      <c r="A705" s="3"/>
      <c r="B705" s="3" t="s">
        <v>2482</v>
      </c>
      <c r="C705" s="3" t="s">
        <v>2483</v>
      </c>
      <c r="D705" s="3" t="s">
        <v>0</v>
      </c>
      <c r="E705" s="3" t="s">
        <v>2323</v>
      </c>
      <c r="F705" s="3" t="s">
        <v>2493</v>
      </c>
      <c r="G705" s="3"/>
    </row>
    <row r="706" spans="1:7" x14ac:dyDescent="0.25">
      <c r="A706" s="3"/>
      <c r="B706" s="3" t="s">
        <v>1249</v>
      </c>
      <c r="C706" s="3" t="s">
        <v>1250</v>
      </c>
      <c r="D706" s="3" t="s">
        <v>0</v>
      </c>
      <c r="E706" s="3" t="s">
        <v>1251</v>
      </c>
      <c r="F706" s="3" t="s">
        <v>39</v>
      </c>
      <c r="G706" s="3"/>
    </row>
    <row r="707" spans="1:7" x14ac:dyDescent="0.25">
      <c r="A707" s="3"/>
      <c r="B707" s="3" t="s">
        <v>2020</v>
      </c>
      <c r="C707" s="3" t="s">
        <v>2021</v>
      </c>
      <c r="D707" s="3" t="s">
        <v>0</v>
      </c>
      <c r="E707" s="3" t="s">
        <v>2022</v>
      </c>
      <c r="F707" s="3" t="s">
        <v>1864</v>
      </c>
      <c r="G707" s="3"/>
    </row>
    <row r="708" spans="1:7" x14ac:dyDescent="0.25">
      <c r="A708" s="3"/>
      <c r="B708" s="3" t="s">
        <v>2023</v>
      </c>
      <c r="C708" s="3" t="s">
        <v>2024</v>
      </c>
      <c r="D708" s="3" t="s">
        <v>0</v>
      </c>
      <c r="E708" s="3" t="s">
        <v>2025</v>
      </c>
      <c r="F708" s="3" t="s">
        <v>86</v>
      </c>
      <c r="G708" s="3"/>
    </row>
    <row r="709" spans="1:7" x14ac:dyDescent="0.25">
      <c r="A709" s="3"/>
      <c r="B709" s="3" t="s">
        <v>2026</v>
      </c>
      <c r="C709" s="3" t="s">
        <v>2027</v>
      </c>
      <c r="D709" s="3" t="s">
        <v>0</v>
      </c>
      <c r="E709" s="3" t="s">
        <v>2028</v>
      </c>
      <c r="F709" s="3" t="s">
        <v>900</v>
      </c>
      <c r="G709" s="3"/>
    </row>
    <row r="710" spans="1:7" x14ac:dyDescent="0.25">
      <c r="A710" s="3"/>
      <c r="B710" s="3" t="s">
        <v>1252</v>
      </c>
      <c r="C710" s="3" t="s">
        <v>1253</v>
      </c>
      <c r="D710" s="3" t="s">
        <v>0</v>
      </c>
      <c r="E710" s="3" t="s">
        <v>1254</v>
      </c>
      <c r="F710" s="3" t="s">
        <v>39</v>
      </c>
      <c r="G710" s="3"/>
    </row>
    <row r="711" spans="1:7" x14ac:dyDescent="0.25">
      <c r="A711" s="3"/>
      <c r="B711" s="3" t="s">
        <v>1255</v>
      </c>
      <c r="C711" s="3" t="s">
        <v>1256</v>
      </c>
      <c r="D711" s="3" t="s">
        <v>0</v>
      </c>
      <c r="E711" s="3" t="s">
        <v>1257</v>
      </c>
      <c r="F711" s="3" t="s">
        <v>39</v>
      </c>
      <c r="G711" s="3"/>
    </row>
    <row r="712" spans="1:7" x14ac:dyDescent="0.25">
      <c r="A712" s="3"/>
      <c r="B712" s="3" t="s">
        <v>1258</v>
      </c>
      <c r="C712" s="3" t="s">
        <v>1259</v>
      </c>
      <c r="D712" s="3" t="s">
        <v>0</v>
      </c>
      <c r="E712" s="3" t="s">
        <v>1260</v>
      </c>
      <c r="F712" s="3" t="s">
        <v>86</v>
      </c>
      <c r="G712" s="3"/>
    </row>
    <row r="713" spans="1:7" x14ac:dyDescent="0.25">
      <c r="A713" s="3"/>
      <c r="B713" s="3" t="s">
        <v>2448</v>
      </c>
      <c r="C713" s="3" t="s">
        <v>2449</v>
      </c>
      <c r="D713" s="3" t="s">
        <v>0</v>
      </c>
      <c r="E713" s="3" t="s">
        <v>2441</v>
      </c>
      <c r="F713" s="3" t="s">
        <v>2453</v>
      </c>
      <c r="G713" s="3"/>
    </row>
    <row r="714" spans="1:7" x14ac:dyDescent="0.25">
      <c r="A714" s="3"/>
      <c r="B714" s="3" t="s">
        <v>2029</v>
      </c>
      <c r="C714" s="3" t="s">
        <v>2030</v>
      </c>
      <c r="D714" s="3" t="s">
        <v>0</v>
      </c>
      <c r="E714" s="3" t="s">
        <v>2031</v>
      </c>
      <c r="F714" s="3" t="s">
        <v>1073</v>
      </c>
      <c r="G714" s="3"/>
    </row>
    <row r="715" spans="1:7" x14ac:dyDescent="0.25">
      <c r="A715" s="3"/>
      <c r="B715" s="3" t="s">
        <v>2032</v>
      </c>
      <c r="C715" s="3" t="s">
        <v>2033</v>
      </c>
      <c r="D715" s="3" t="s">
        <v>0</v>
      </c>
      <c r="E715" s="3" t="s">
        <v>2034</v>
      </c>
      <c r="F715" s="3" t="s">
        <v>900</v>
      </c>
      <c r="G715" s="3"/>
    </row>
    <row r="716" spans="1:7" x14ac:dyDescent="0.25">
      <c r="A716" s="3"/>
      <c r="B716" s="3" t="s">
        <v>1261</v>
      </c>
      <c r="C716" s="3" t="s">
        <v>1262</v>
      </c>
      <c r="D716" s="3" t="s">
        <v>0</v>
      </c>
      <c r="E716" s="3" t="s">
        <v>1263</v>
      </c>
      <c r="F716" s="3" t="s">
        <v>33</v>
      </c>
      <c r="G716" s="3"/>
    </row>
    <row r="717" spans="1:7" x14ac:dyDescent="0.25">
      <c r="A717" s="3"/>
      <c r="B717" s="3" t="s">
        <v>1264</v>
      </c>
      <c r="C717" s="3" t="s">
        <v>1265</v>
      </c>
      <c r="D717" s="3" t="s">
        <v>0</v>
      </c>
      <c r="E717" s="3" t="s">
        <v>1266</v>
      </c>
      <c r="F717" s="3" t="s">
        <v>33</v>
      </c>
      <c r="G717" s="3"/>
    </row>
    <row r="718" spans="1:7" x14ac:dyDescent="0.25">
      <c r="A718" s="3"/>
      <c r="B718" s="3" t="s">
        <v>1267</v>
      </c>
      <c r="C718" s="3" t="s">
        <v>1268</v>
      </c>
      <c r="D718" s="3" t="s">
        <v>0</v>
      </c>
      <c r="E718" s="3" t="s">
        <v>1269</v>
      </c>
      <c r="F718" s="3" t="s">
        <v>34</v>
      </c>
      <c r="G718" s="3"/>
    </row>
    <row r="719" spans="1:7" x14ac:dyDescent="0.25">
      <c r="A719" s="3"/>
      <c r="B719" s="3" t="s">
        <v>1270</v>
      </c>
      <c r="C719" s="3" t="s">
        <v>1271</v>
      </c>
      <c r="D719" s="3" t="s">
        <v>0</v>
      </c>
      <c r="E719" s="3" t="s">
        <v>1272</v>
      </c>
      <c r="F719" s="3" t="s">
        <v>86</v>
      </c>
      <c r="G719" s="3"/>
    </row>
    <row r="720" spans="1:7" x14ac:dyDescent="0.25">
      <c r="A720" s="3"/>
      <c r="B720" s="3" t="s">
        <v>1273</v>
      </c>
      <c r="C720" s="3" t="s">
        <v>2324</v>
      </c>
      <c r="D720" s="3" t="s">
        <v>0</v>
      </c>
      <c r="E720" s="3" t="s">
        <v>1272</v>
      </c>
      <c r="F720" s="3" t="s">
        <v>968</v>
      </c>
      <c r="G720" s="3"/>
    </row>
    <row r="721" spans="1:7" x14ac:dyDescent="0.25">
      <c r="A721" s="3"/>
      <c r="B721" s="3" t="s">
        <v>2035</v>
      </c>
      <c r="C721" s="3" t="s">
        <v>2036</v>
      </c>
      <c r="D721" s="3" t="s">
        <v>0</v>
      </c>
      <c r="E721" s="3" t="s">
        <v>2037</v>
      </c>
      <c r="F721" s="3" t="s">
        <v>2038</v>
      </c>
      <c r="G721" s="3"/>
    </row>
    <row r="722" spans="1:7" x14ac:dyDescent="0.25">
      <c r="A722" s="3"/>
      <c r="B722" s="3" t="s">
        <v>1275</v>
      </c>
      <c r="C722" s="3" t="s">
        <v>1276</v>
      </c>
      <c r="D722" s="3" t="s">
        <v>0</v>
      </c>
      <c r="E722" s="3" t="s">
        <v>1277</v>
      </c>
      <c r="F722" s="3" t="s">
        <v>1012</v>
      </c>
      <c r="G722" s="3"/>
    </row>
    <row r="723" spans="1:7" x14ac:dyDescent="0.25">
      <c r="A723" s="3"/>
      <c r="B723" s="3" t="s">
        <v>1278</v>
      </c>
      <c r="C723" s="3" t="s">
        <v>1279</v>
      </c>
      <c r="D723" s="3" t="s">
        <v>0</v>
      </c>
      <c r="E723" s="3" t="s">
        <v>1280</v>
      </c>
      <c r="F723" s="3" t="s">
        <v>86</v>
      </c>
      <c r="G723" s="3"/>
    </row>
    <row r="724" spans="1:7" x14ac:dyDescent="0.25">
      <c r="A724" s="3"/>
      <c r="B724" s="3" t="s">
        <v>1281</v>
      </c>
      <c r="C724" s="3" t="s">
        <v>1282</v>
      </c>
      <c r="D724" s="3" t="s">
        <v>0</v>
      </c>
      <c r="E724" s="3" t="s">
        <v>1283</v>
      </c>
      <c r="F724" s="3" t="s">
        <v>86</v>
      </c>
      <c r="G724" s="3"/>
    </row>
    <row r="725" spans="1:7" x14ac:dyDescent="0.25">
      <c r="A725" s="3"/>
      <c r="B725" s="3" t="s">
        <v>2511</v>
      </c>
      <c r="C725" s="3" t="s">
        <v>2512</v>
      </c>
      <c r="D725" s="3" t="s">
        <v>0</v>
      </c>
      <c r="E725" s="3" t="s">
        <v>2514</v>
      </c>
      <c r="F725" s="3" t="s">
        <v>2515</v>
      </c>
      <c r="G725" s="3"/>
    </row>
    <row r="726" spans="1:7" x14ac:dyDescent="0.25">
      <c r="A726" s="3"/>
      <c r="B726" s="3" t="s">
        <v>2325</v>
      </c>
      <c r="C726" s="3" t="s">
        <v>2326</v>
      </c>
      <c r="D726" s="3" t="s">
        <v>0</v>
      </c>
      <c r="E726" s="3" t="s">
        <v>2327</v>
      </c>
      <c r="F726" s="3" t="s">
        <v>34</v>
      </c>
      <c r="G726" s="3"/>
    </row>
    <row r="727" spans="1:7" x14ac:dyDescent="0.25">
      <c r="A727" s="3"/>
      <c r="B727" s="3" t="s">
        <v>1284</v>
      </c>
      <c r="C727" s="3" t="s">
        <v>1285</v>
      </c>
      <c r="D727" s="3" t="s">
        <v>0</v>
      </c>
      <c r="E727" s="3" t="s">
        <v>1286</v>
      </c>
      <c r="F727" s="3" t="s">
        <v>911</v>
      </c>
      <c r="G727" s="3"/>
    </row>
    <row r="728" spans="1:7" x14ac:dyDescent="0.25">
      <c r="A728" s="3"/>
      <c r="B728" s="3" t="s">
        <v>1287</v>
      </c>
      <c r="C728" s="3" t="s">
        <v>1288</v>
      </c>
      <c r="D728" s="3" t="s">
        <v>0</v>
      </c>
      <c r="E728" s="3" t="s">
        <v>1289</v>
      </c>
      <c r="F728" s="3" t="s">
        <v>86</v>
      </c>
      <c r="G728" s="3"/>
    </row>
    <row r="729" spans="1:7" x14ac:dyDescent="0.25">
      <c r="A729" s="3"/>
      <c r="B729" s="3" t="s">
        <v>87</v>
      </c>
      <c r="C729" s="3" t="s">
        <v>88</v>
      </c>
      <c r="D729" s="3" t="s">
        <v>0</v>
      </c>
      <c r="E729" s="3" t="s">
        <v>89</v>
      </c>
      <c r="F729" s="3" t="s">
        <v>90</v>
      </c>
      <c r="G729" s="3"/>
    </row>
    <row r="730" spans="1:7" x14ac:dyDescent="0.25">
      <c r="A730" s="3"/>
      <c r="B730" s="3" t="s">
        <v>1290</v>
      </c>
      <c r="C730" s="3" t="s">
        <v>1291</v>
      </c>
      <c r="D730" s="3" t="s">
        <v>0</v>
      </c>
      <c r="E730" s="3" t="s">
        <v>1292</v>
      </c>
      <c r="F730" s="3" t="s">
        <v>884</v>
      </c>
      <c r="G730" s="3"/>
    </row>
    <row r="731" spans="1:7" x14ac:dyDescent="0.25">
      <c r="A731" s="3"/>
      <c r="B731" s="3" t="s">
        <v>2039</v>
      </c>
      <c r="C731" s="3" t="s">
        <v>2040</v>
      </c>
      <c r="D731" s="3" t="s">
        <v>0</v>
      </c>
      <c r="E731" s="3" t="s">
        <v>2041</v>
      </c>
      <c r="F731" s="3" t="s">
        <v>38</v>
      </c>
      <c r="G731" s="3"/>
    </row>
    <row r="732" spans="1:7" x14ac:dyDescent="0.25">
      <c r="A732" s="3"/>
      <c r="B732" s="3" t="s">
        <v>1293</v>
      </c>
      <c r="C732" s="3" t="s">
        <v>1294</v>
      </c>
      <c r="D732" s="3" t="s">
        <v>0</v>
      </c>
      <c r="E732" s="3" t="s">
        <v>1295</v>
      </c>
      <c r="F732" s="3" t="s">
        <v>911</v>
      </c>
      <c r="G732" s="3"/>
    </row>
    <row r="733" spans="1:7" x14ac:dyDescent="0.25">
      <c r="A733" s="3"/>
      <c r="B733" s="3" t="s">
        <v>1296</v>
      </c>
      <c r="C733" s="3" t="s">
        <v>1297</v>
      </c>
      <c r="D733" s="3" t="s">
        <v>0</v>
      </c>
      <c r="E733" s="3" t="s">
        <v>1298</v>
      </c>
      <c r="F733" s="3" t="s">
        <v>86</v>
      </c>
      <c r="G733" s="3"/>
    </row>
    <row r="734" spans="1:7" x14ac:dyDescent="0.25">
      <c r="A734" s="3"/>
      <c r="B734" s="3" t="s">
        <v>1299</v>
      </c>
      <c r="C734" s="3" t="s">
        <v>1300</v>
      </c>
      <c r="D734" s="3" t="s">
        <v>0</v>
      </c>
      <c r="E734" s="3" t="s">
        <v>1301</v>
      </c>
      <c r="F734" s="3" t="s">
        <v>0</v>
      </c>
      <c r="G734" s="3"/>
    </row>
    <row r="735" spans="1:7" x14ac:dyDescent="0.25">
      <c r="A735" s="3"/>
      <c r="B735" s="3" t="s">
        <v>1302</v>
      </c>
      <c r="C735" s="3" t="s">
        <v>1303</v>
      </c>
      <c r="D735" s="3" t="s">
        <v>0</v>
      </c>
      <c r="E735" s="3" t="s">
        <v>2376</v>
      </c>
      <c r="F735" s="3" t="s">
        <v>33</v>
      </c>
      <c r="G735" s="3"/>
    </row>
    <row r="736" spans="1:7" x14ac:dyDescent="0.25">
      <c r="A736" s="3"/>
      <c r="B736" s="3" t="s">
        <v>2328</v>
      </c>
      <c r="C736" s="3" t="s">
        <v>2329</v>
      </c>
      <c r="D736" s="3" t="s">
        <v>0</v>
      </c>
      <c r="E736" s="3" t="s">
        <v>2330</v>
      </c>
      <c r="F736" s="3" t="s">
        <v>39</v>
      </c>
      <c r="G736" s="3"/>
    </row>
    <row r="737" spans="1:7" x14ac:dyDescent="0.25">
      <c r="A737" s="3"/>
      <c r="B737" s="3" t="s">
        <v>1308</v>
      </c>
      <c r="C737" s="3" t="s">
        <v>1309</v>
      </c>
      <c r="D737" s="3" t="s">
        <v>0</v>
      </c>
      <c r="E737" s="3" t="s">
        <v>1310</v>
      </c>
      <c r="F737" s="3" t="s">
        <v>86</v>
      </c>
      <c r="G737" s="3"/>
    </row>
    <row r="738" spans="1:7" x14ac:dyDescent="0.25">
      <c r="A738" s="3"/>
      <c r="B738" s="3" t="s">
        <v>1311</v>
      </c>
      <c r="C738" s="3" t="s">
        <v>1312</v>
      </c>
      <c r="D738" s="3" t="s">
        <v>0</v>
      </c>
      <c r="E738" s="3" t="s">
        <v>1313</v>
      </c>
      <c r="F738" s="3" t="s">
        <v>86</v>
      </c>
      <c r="G738" s="3"/>
    </row>
    <row r="739" spans="1:7" x14ac:dyDescent="0.25">
      <c r="A739" s="3"/>
      <c r="B739" s="3" t="s">
        <v>1314</v>
      </c>
      <c r="C739" s="3" t="s">
        <v>1315</v>
      </c>
      <c r="D739" s="3" t="s">
        <v>0</v>
      </c>
      <c r="E739" s="3" t="s">
        <v>1316</v>
      </c>
      <c r="F739" s="3" t="s">
        <v>948</v>
      </c>
      <c r="G739" s="3"/>
    </row>
    <row r="740" spans="1:7" x14ac:dyDescent="0.25">
      <c r="A740" s="3"/>
      <c r="B740" s="3" t="s">
        <v>1317</v>
      </c>
      <c r="C740" s="3" t="s">
        <v>1318</v>
      </c>
      <c r="D740" s="3" t="s">
        <v>0</v>
      </c>
      <c r="E740" s="3" t="s">
        <v>1319</v>
      </c>
      <c r="F740" s="3" t="s">
        <v>39</v>
      </c>
      <c r="G740" s="3"/>
    </row>
    <row r="741" spans="1:7" x14ac:dyDescent="0.25">
      <c r="A741" s="3"/>
      <c r="B741" s="3" t="s">
        <v>1320</v>
      </c>
      <c r="C741" s="3" t="s">
        <v>1321</v>
      </c>
      <c r="D741" s="3" t="s">
        <v>0</v>
      </c>
      <c r="E741" s="3" t="s">
        <v>1319</v>
      </c>
      <c r="F741" s="3" t="s">
        <v>39</v>
      </c>
      <c r="G741" s="3"/>
    </row>
    <row r="742" spans="1:7" x14ac:dyDescent="0.25">
      <c r="A742" s="3"/>
      <c r="B742" s="3" t="s">
        <v>2042</v>
      </c>
      <c r="C742" s="3" t="s">
        <v>2043</v>
      </c>
      <c r="D742" s="3" t="s">
        <v>0</v>
      </c>
      <c r="E742" s="3" t="s">
        <v>2044</v>
      </c>
      <c r="F742" s="3" t="s">
        <v>33</v>
      </c>
      <c r="G742" s="3"/>
    </row>
    <row r="743" spans="1:7" x14ac:dyDescent="0.25">
      <c r="A743" s="3"/>
      <c r="B743" s="3" t="s">
        <v>2045</v>
      </c>
      <c r="C743" s="3" t="s">
        <v>2046</v>
      </c>
      <c r="D743" s="3" t="s">
        <v>0</v>
      </c>
      <c r="E743" s="3" t="s">
        <v>2047</v>
      </c>
      <c r="F743" s="3" t="s">
        <v>1868</v>
      </c>
      <c r="G743" s="3"/>
    </row>
    <row r="744" spans="1:7" x14ac:dyDescent="0.25">
      <c r="A744" s="3"/>
      <c r="B744" s="3" t="s">
        <v>2048</v>
      </c>
      <c r="C744" s="3" t="s">
        <v>2049</v>
      </c>
      <c r="D744" s="3" t="s">
        <v>0</v>
      </c>
      <c r="E744" s="3" t="s">
        <v>2050</v>
      </c>
      <c r="F744" s="3" t="s">
        <v>86</v>
      </c>
      <c r="G744" s="3"/>
    </row>
    <row r="745" spans="1:7" x14ac:dyDescent="0.25">
      <c r="A745" s="3"/>
      <c r="B745" s="3" t="s">
        <v>1322</v>
      </c>
      <c r="C745" s="3" t="s">
        <v>1323</v>
      </c>
      <c r="D745" s="3" t="s">
        <v>0</v>
      </c>
      <c r="E745" s="3" t="s">
        <v>1324</v>
      </c>
      <c r="F745" s="3" t="s">
        <v>86</v>
      </c>
      <c r="G745" s="3"/>
    </row>
    <row r="746" spans="1:7" x14ac:dyDescent="0.25">
      <c r="A746" s="3"/>
      <c r="B746" s="3" t="s">
        <v>2051</v>
      </c>
      <c r="C746" s="3" t="s">
        <v>2052</v>
      </c>
      <c r="D746" s="3" t="s">
        <v>0</v>
      </c>
      <c r="E746" s="3" t="s">
        <v>2053</v>
      </c>
      <c r="F746" s="3" t="s">
        <v>896</v>
      </c>
      <c r="G746" s="3"/>
    </row>
    <row r="747" spans="1:7" x14ac:dyDescent="0.25">
      <c r="A747" s="3"/>
      <c r="B747" s="3" t="s">
        <v>2054</v>
      </c>
      <c r="C747" s="3" t="s">
        <v>2055</v>
      </c>
      <c r="D747" s="3" t="s">
        <v>0</v>
      </c>
      <c r="E747" s="3" t="s">
        <v>2056</v>
      </c>
      <c r="F747" s="3" t="s">
        <v>33</v>
      </c>
      <c r="G747" s="3"/>
    </row>
    <row r="748" spans="1:7" x14ac:dyDescent="0.25">
      <c r="A748" s="3"/>
      <c r="B748" s="3" t="s">
        <v>1325</v>
      </c>
      <c r="C748" s="3" t="s">
        <v>1326</v>
      </c>
      <c r="D748" s="3" t="s">
        <v>0</v>
      </c>
      <c r="E748" s="3" t="s">
        <v>1327</v>
      </c>
      <c r="F748" s="3" t="s">
        <v>948</v>
      </c>
      <c r="G748" s="3"/>
    </row>
    <row r="749" spans="1:7" x14ac:dyDescent="0.25">
      <c r="A749" s="3"/>
      <c r="B749" s="3" t="s">
        <v>83</v>
      </c>
      <c r="C749" s="3" t="s">
        <v>84</v>
      </c>
      <c r="D749" s="3" t="s">
        <v>0</v>
      </c>
      <c r="E749" s="3" t="s">
        <v>2331</v>
      </c>
      <c r="F749" s="3" t="s">
        <v>1924</v>
      </c>
      <c r="G749" s="3"/>
    </row>
    <row r="750" spans="1:7" x14ac:dyDescent="0.25">
      <c r="A750" s="3"/>
      <c r="B750" s="3" t="s">
        <v>2057</v>
      </c>
      <c r="C750" s="3" t="s">
        <v>2058</v>
      </c>
      <c r="D750" s="3" t="s">
        <v>0</v>
      </c>
      <c r="E750" s="3" t="s">
        <v>2059</v>
      </c>
      <c r="F750" s="3" t="s">
        <v>86</v>
      </c>
      <c r="G750" s="3"/>
    </row>
    <row r="751" spans="1:7" x14ac:dyDescent="0.25">
      <c r="A751" s="3"/>
      <c r="B751" s="3" t="s">
        <v>2332</v>
      </c>
      <c r="C751" s="3" t="s">
        <v>2333</v>
      </c>
      <c r="D751" s="3" t="s">
        <v>0</v>
      </c>
      <c r="E751" s="3" t="s">
        <v>2334</v>
      </c>
      <c r="F751" s="3" t="s">
        <v>978</v>
      </c>
      <c r="G751" s="3"/>
    </row>
    <row r="752" spans="1:7" x14ac:dyDescent="0.25">
      <c r="A752" s="3"/>
      <c r="B752" s="3" t="s">
        <v>2484</v>
      </c>
      <c r="C752" s="3" t="s">
        <v>2485</v>
      </c>
      <c r="D752" s="3" t="s">
        <v>0</v>
      </c>
      <c r="E752" s="3" t="s">
        <v>2494</v>
      </c>
      <c r="F752" s="3" t="s">
        <v>86</v>
      </c>
      <c r="G752" s="3"/>
    </row>
    <row r="753" spans="1:7" x14ac:dyDescent="0.25">
      <c r="A753" s="3"/>
      <c r="B753" s="3" t="s">
        <v>2416</v>
      </c>
      <c r="C753" s="3" t="s">
        <v>2417</v>
      </c>
      <c r="D753" s="3" t="s">
        <v>0</v>
      </c>
      <c r="E753" s="3" t="s">
        <v>788</v>
      </c>
      <c r="F753" s="3" t="s">
        <v>2421</v>
      </c>
      <c r="G753" s="3"/>
    </row>
    <row r="754" spans="1:7" x14ac:dyDescent="0.25">
      <c r="A754" s="3"/>
      <c r="B754" s="3" t="s">
        <v>1328</v>
      </c>
      <c r="C754" s="3" t="s">
        <v>1329</v>
      </c>
      <c r="D754" s="3" t="s">
        <v>0</v>
      </c>
      <c r="E754" s="3" t="s">
        <v>1330</v>
      </c>
      <c r="F754" s="3" t="s">
        <v>33</v>
      </c>
      <c r="G754" s="3"/>
    </row>
  </sheetData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E5F6-0DE8-453C-A8CE-9CCBE8A371B7}">
  <dimension ref="C1:N202"/>
  <sheetViews>
    <sheetView topLeftCell="B67" workbookViewId="0">
      <selection activeCell="F70" sqref="F70"/>
    </sheetView>
  </sheetViews>
  <sheetFormatPr baseColWidth="10" defaultRowHeight="15" x14ac:dyDescent="0.25"/>
  <cols>
    <col min="1" max="1" width="1.85546875" customWidth="1"/>
    <col min="2" max="2" width="3.42578125" customWidth="1"/>
    <col min="3" max="3" width="6.7109375" customWidth="1"/>
    <col min="4" max="4" width="9.85546875" customWidth="1"/>
    <col min="5" max="5" width="10.28515625" customWidth="1"/>
    <col min="6" max="6" width="41" customWidth="1"/>
    <col min="7" max="7" width="23.28515625" customWidth="1"/>
    <col min="8" max="8" width="42.5703125" customWidth="1"/>
    <col min="14" max="14" width="42.85546875" customWidth="1"/>
    <col min="15" max="15" width="14.140625" customWidth="1"/>
  </cols>
  <sheetData>
    <row r="1" spans="3:8" x14ac:dyDescent="0.25">
      <c r="C1" s="452" t="s">
        <v>2393</v>
      </c>
      <c r="D1" s="452"/>
      <c r="E1" s="452"/>
      <c r="F1" s="452"/>
      <c r="G1" s="452"/>
      <c r="H1" s="452"/>
    </row>
    <row r="3" spans="3:8" ht="30" x14ac:dyDescent="0.25">
      <c r="C3" s="216" t="s">
        <v>2394</v>
      </c>
      <c r="D3" s="216" t="s">
        <v>2</v>
      </c>
      <c r="E3" s="216" t="s">
        <v>3</v>
      </c>
      <c r="F3" s="216" t="s">
        <v>4</v>
      </c>
      <c r="G3" s="216" t="s">
        <v>2395</v>
      </c>
      <c r="H3" s="216" t="s">
        <v>1359</v>
      </c>
    </row>
    <row r="4" spans="3:8" x14ac:dyDescent="0.25">
      <c r="C4" s="249" t="s">
        <v>172</v>
      </c>
      <c r="D4" s="249" t="s">
        <v>173</v>
      </c>
      <c r="E4" s="250" t="s">
        <v>17</v>
      </c>
      <c r="F4" s="249" t="s">
        <v>174</v>
      </c>
      <c r="G4" s="249" t="s">
        <v>175</v>
      </c>
      <c r="H4" s="3" t="s">
        <v>2520</v>
      </c>
    </row>
    <row r="5" spans="3:8" x14ac:dyDescent="0.25">
      <c r="C5" s="250" t="s">
        <v>183</v>
      </c>
      <c r="D5" s="250" t="s">
        <v>184</v>
      </c>
      <c r="E5" s="250" t="s">
        <v>13</v>
      </c>
      <c r="F5" s="250" t="s">
        <v>185</v>
      </c>
      <c r="G5" s="250" t="s">
        <v>43</v>
      </c>
      <c r="H5" s="3" t="s">
        <v>2520</v>
      </c>
    </row>
    <row r="6" spans="3:8" x14ac:dyDescent="0.25">
      <c r="C6" s="250" t="s">
        <v>195</v>
      </c>
      <c r="D6" s="250" t="s">
        <v>196</v>
      </c>
      <c r="E6" s="250" t="s">
        <v>13</v>
      </c>
      <c r="F6" s="250" t="s">
        <v>197</v>
      </c>
      <c r="G6" s="250" t="s">
        <v>43</v>
      </c>
      <c r="H6" s="3" t="s">
        <v>2520</v>
      </c>
    </row>
    <row r="7" spans="3:8" x14ac:dyDescent="0.25">
      <c r="C7" s="250" t="s">
        <v>211</v>
      </c>
      <c r="D7" s="250" t="s">
        <v>212</v>
      </c>
      <c r="E7" s="250" t="s">
        <v>13</v>
      </c>
      <c r="F7" s="250" t="s">
        <v>213</v>
      </c>
      <c r="G7" s="250" t="s">
        <v>214</v>
      </c>
      <c r="H7" s="3" t="s">
        <v>2521</v>
      </c>
    </row>
    <row r="8" spans="3:8" x14ac:dyDescent="0.25">
      <c r="C8" s="250" t="s">
        <v>1461</v>
      </c>
      <c r="D8" s="250" t="s">
        <v>1462</v>
      </c>
      <c r="E8" s="250" t="s">
        <v>13</v>
      </c>
      <c r="F8" s="250" t="s">
        <v>1463</v>
      </c>
      <c r="G8" s="250" t="s">
        <v>43</v>
      </c>
      <c r="H8" s="3" t="s">
        <v>2522</v>
      </c>
    </row>
    <row r="9" spans="3:8" x14ac:dyDescent="0.25">
      <c r="C9" s="250" t="s">
        <v>271</v>
      </c>
      <c r="D9" s="250" t="s">
        <v>272</v>
      </c>
      <c r="E9" s="250" t="s">
        <v>13</v>
      </c>
      <c r="F9" s="250" t="s">
        <v>273</v>
      </c>
      <c r="G9" s="250" t="s">
        <v>43</v>
      </c>
      <c r="H9" s="3" t="s">
        <v>2523</v>
      </c>
    </row>
    <row r="10" spans="3:8" x14ac:dyDescent="0.25">
      <c r="C10" s="250" t="s">
        <v>1473</v>
      </c>
      <c r="D10" s="250" t="s">
        <v>1474</v>
      </c>
      <c r="E10" s="250" t="s">
        <v>13</v>
      </c>
      <c r="F10" s="250" t="s">
        <v>1475</v>
      </c>
      <c r="G10" s="250" t="s">
        <v>43</v>
      </c>
      <c r="H10" s="3" t="s">
        <v>2524</v>
      </c>
    </row>
    <row r="11" spans="3:8" x14ac:dyDescent="0.25">
      <c r="C11" s="250" t="s">
        <v>1476</v>
      </c>
      <c r="D11" s="250" t="s">
        <v>1477</v>
      </c>
      <c r="E11" s="250" t="s">
        <v>13</v>
      </c>
      <c r="F11" s="250" t="s">
        <v>1478</v>
      </c>
      <c r="G11" s="250" t="s">
        <v>43</v>
      </c>
      <c r="H11" s="3" t="s">
        <v>2520</v>
      </c>
    </row>
    <row r="12" spans="3:8" x14ac:dyDescent="0.25">
      <c r="C12" s="250" t="s">
        <v>289</v>
      </c>
      <c r="D12" s="250" t="s">
        <v>290</v>
      </c>
      <c r="E12" s="250" t="s">
        <v>13</v>
      </c>
      <c r="F12" s="250" t="s">
        <v>291</v>
      </c>
      <c r="G12" s="250" t="s">
        <v>43</v>
      </c>
      <c r="H12" s="3" t="s">
        <v>2522</v>
      </c>
    </row>
    <row r="13" spans="3:8" x14ac:dyDescent="0.25">
      <c r="C13" s="250" t="s">
        <v>1488</v>
      </c>
      <c r="D13" s="250" t="s">
        <v>1489</v>
      </c>
      <c r="E13" s="250" t="s">
        <v>12</v>
      </c>
      <c r="F13" s="250" t="s">
        <v>1490</v>
      </c>
      <c r="G13" s="250" t="s">
        <v>47</v>
      </c>
      <c r="H13" s="3" t="s">
        <v>2525</v>
      </c>
    </row>
    <row r="14" spans="3:8" x14ac:dyDescent="0.25">
      <c r="C14" s="250" t="s">
        <v>1503</v>
      </c>
      <c r="D14" s="250" t="s">
        <v>1504</v>
      </c>
      <c r="E14" s="250" t="s">
        <v>12</v>
      </c>
      <c r="F14" s="250" t="s">
        <v>1505</v>
      </c>
      <c r="G14" s="250" t="s">
        <v>43</v>
      </c>
      <c r="H14" s="3" t="s">
        <v>2527</v>
      </c>
    </row>
    <row r="15" spans="3:8" x14ac:dyDescent="0.25">
      <c r="C15" s="250" t="s">
        <v>376</v>
      </c>
      <c r="D15" s="250" t="s">
        <v>377</v>
      </c>
      <c r="E15" s="250" t="s">
        <v>12</v>
      </c>
      <c r="F15" s="250" t="s">
        <v>378</v>
      </c>
      <c r="G15" s="250" t="s">
        <v>49</v>
      </c>
      <c r="H15" s="3" t="s">
        <v>2528</v>
      </c>
    </row>
    <row r="16" spans="3:8" x14ac:dyDescent="0.25">
      <c r="C16" s="250" t="s">
        <v>382</v>
      </c>
      <c r="D16" s="250" t="s">
        <v>383</v>
      </c>
      <c r="E16" s="250" t="s">
        <v>12</v>
      </c>
      <c r="F16" s="250" t="s">
        <v>384</v>
      </c>
      <c r="G16" s="250" t="s">
        <v>43</v>
      </c>
      <c r="H16" s="3" t="s">
        <v>2525</v>
      </c>
    </row>
    <row r="17" spans="3:8" x14ac:dyDescent="0.25">
      <c r="C17" s="250" t="s">
        <v>1529</v>
      </c>
      <c r="D17" s="250" t="s">
        <v>1530</v>
      </c>
      <c r="E17" s="250" t="s">
        <v>12</v>
      </c>
      <c r="F17" s="250" t="s">
        <v>1531</v>
      </c>
      <c r="G17" s="250" t="s">
        <v>44</v>
      </c>
      <c r="H17" s="3" t="s">
        <v>2529</v>
      </c>
    </row>
    <row r="18" spans="3:8" x14ac:dyDescent="0.25">
      <c r="C18" s="250" t="s">
        <v>1539</v>
      </c>
      <c r="D18" s="250" t="s">
        <v>1540</v>
      </c>
      <c r="E18" s="250" t="s">
        <v>12</v>
      </c>
      <c r="F18" s="250" t="s">
        <v>1541</v>
      </c>
      <c r="G18" s="250" t="s">
        <v>1542</v>
      </c>
      <c r="H18" s="3" t="s">
        <v>2520</v>
      </c>
    </row>
    <row r="19" spans="3:8" x14ac:dyDescent="0.25">
      <c r="C19" s="250" t="s">
        <v>410</v>
      </c>
      <c r="D19" s="250" t="s">
        <v>411</v>
      </c>
      <c r="E19" s="250" t="s">
        <v>12</v>
      </c>
      <c r="F19" s="250" t="s">
        <v>412</v>
      </c>
      <c r="G19" s="250" t="s">
        <v>43</v>
      </c>
      <c r="H19" s="3" t="s">
        <v>2530</v>
      </c>
    </row>
    <row r="20" spans="3:8" x14ac:dyDescent="0.25">
      <c r="C20" s="250" t="s">
        <v>420</v>
      </c>
      <c r="D20" s="250" t="s">
        <v>421</v>
      </c>
      <c r="E20" s="250" t="s">
        <v>12</v>
      </c>
      <c r="F20" s="250" t="s">
        <v>422</v>
      </c>
      <c r="G20" s="250" t="s">
        <v>315</v>
      </c>
      <c r="H20" s="3" t="s">
        <v>2531</v>
      </c>
    </row>
    <row r="21" spans="3:8" x14ac:dyDescent="0.25">
      <c r="C21" s="250" t="s">
        <v>423</v>
      </c>
      <c r="D21" s="250" t="s">
        <v>424</v>
      </c>
      <c r="E21" s="250" t="s">
        <v>12</v>
      </c>
      <c r="F21" s="250" t="s">
        <v>425</v>
      </c>
      <c r="G21" s="250" t="s">
        <v>327</v>
      </c>
      <c r="H21" s="3" t="s">
        <v>2520</v>
      </c>
    </row>
    <row r="22" spans="3:8" x14ac:dyDescent="0.25">
      <c r="C22" s="250" t="s">
        <v>2097</v>
      </c>
      <c r="D22" s="250" t="s">
        <v>2098</v>
      </c>
      <c r="E22" s="250" t="s">
        <v>12</v>
      </c>
      <c r="F22" s="250" t="s">
        <v>2099</v>
      </c>
      <c r="G22" s="250" t="s">
        <v>47</v>
      </c>
      <c r="H22" s="3" t="s">
        <v>2532</v>
      </c>
    </row>
    <row r="23" spans="3:8" x14ac:dyDescent="0.25">
      <c r="C23" s="250" t="s">
        <v>1556</v>
      </c>
      <c r="D23" s="250" t="s">
        <v>1557</v>
      </c>
      <c r="E23" s="250" t="s">
        <v>12</v>
      </c>
      <c r="F23" s="250" t="s">
        <v>1558</v>
      </c>
      <c r="G23" s="250" t="s">
        <v>47</v>
      </c>
      <c r="H23" s="3" t="s">
        <v>2533</v>
      </c>
    </row>
    <row r="24" spans="3:8" x14ac:dyDescent="0.25">
      <c r="C24" s="250" t="s">
        <v>1577</v>
      </c>
      <c r="D24" s="250" t="s">
        <v>1578</v>
      </c>
      <c r="E24" s="250" t="s">
        <v>12</v>
      </c>
      <c r="F24" s="250" t="s">
        <v>1579</v>
      </c>
      <c r="G24" s="250" t="s">
        <v>46</v>
      </c>
      <c r="H24" s="3" t="s">
        <v>2525</v>
      </c>
    </row>
    <row r="25" spans="3:8" x14ac:dyDescent="0.25">
      <c r="C25" s="250" t="s">
        <v>491</v>
      </c>
      <c r="D25" s="250" t="s">
        <v>492</v>
      </c>
      <c r="E25" s="250" t="s">
        <v>12</v>
      </c>
      <c r="F25" s="250" t="s">
        <v>493</v>
      </c>
      <c r="G25" s="250" t="s">
        <v>48</v>
      </c>
      <c r="H25" s="3" t="s">
        <v>2534</v>
      </c>
    </row>
    <row r="26" spans="3:8" x14ac:dyDescent="0.25">
      <c r="C26" s="250" t="s">
        <v>500</v>
      </c>
      <c r="D26" s="250" t="s">
        <v>501</v>
      </c>
      <c r="E26" s="250" t="s">
        <v>12</v>
      </c>
      <c r="F26" s="250" t="s">
        <v>502</v>
      </c>
      <c r="G26" s="250" t="s">
        <v>129</v>
      </c>
      <c r="H26" s="3" t="s">
        <v>2535</v>
      </c>
    </row>
    <row r="27" spans="3:8" x14ac:dyDescent="0.25">
      <c r="C27" s="250" t="s">
        <v>2377</v>
      </c>
      <c r="D27" s="250" t="s">
        <v>2378</v>
      </c>
      <c r="E27" s="250" t="s">
        <v>12</v>
      </c>
      <c r="F27" s="250" t="s">
        <v>2379</v>
      </c>
      <c r="G27" s="250" t="s">
        <v>2380</v>
      </c>
      <c r="H27" s="3" t="s">
        <v>2520</v>
      </c>
    </row>
    <row r="28" spans="3:8" x14ac:dyDescent="0.25">
      <c r="C28" s="250" t="s">
        <v>1610</v>
      </c>
      <c r="D28" s="250" t="s">
        <v>1611</v>
      </c>
      <c r="E28" s="250" t="s">
        <v>12</v>
      </c>
      <c r="F28" s="250" t="s">
        <v>1612</v>
      </c>
      <c r="G28" s="250" t="s">
        <v>311</v>
      </c>
      <c r="H28" s="3" t="s">
        <v>2520</v>
      </c>
    </row>
    <row r="29" spans="3:8" x14ac:dyDescent="0.25">
      <c r="C29" s="250" t="s">
        <v>576</v>
      </c>
      <c r="D29" s="250" t="s">
        <v>577</v>
      </c>
      <c r="E29" s="250" t="s">
        <v>12</v>
      </c>
      <c r="F29" s="250" t="s">
        <v>578</v>
      </c>
      <c r="G29" s="250" t="s">
        <v>579</v>
      </c>
      <c r="H29" s="3" t="s">
        <v>2536</v>
      </c>
    </row>
    <row r="30" spans="3:8" x14ac:dyDescent="0.25">
      <c r="C30" s="250" t="s">
        <v>2136</v>
      </c>
      <c r="D30" s="250" t="s">
        <v>2137</v>
      </c>
      <c r="E30" s="250" t="s">
        <v>12</v>
      </c>
      <c r="F30" s="250" t="s">
        <v>2138</v>
      </c>
      <c r="G30" s="250" t="s">
        <v>46</v>
      </c>
      <c r="H30" s="3" t="s">
        <v>2520</v>
      </c>
    </row>
    <row r="31" spans="3:8" x14ac:dyDescent="0.25">
      <c r="C31" s="250" t="s">
        <v>2139</v>
      </c>
      <c r="D31" s="250" t="s">
        <v>2140</v>
      </c>
      <c r="E31" s="250" t="s">
        <v>12</v>
      </c>
      <c r="F31" s="250" t="s">
        <v>2141</v>
      </c>
      <c r="G31" s="250" t="s">
        <v>116</v>
      </c>
      <c r="H31" s="3" t="s">
        <v>2525</v>
      </c>
    </row>
    <row r="32" spans="3:8" x14ac:dyDescent="0.25">
      <c r="C32" s="250" t="s">
        <v>583</v>
      </c>
      <c r="D32" s="250" t="s">
        <v>584</v>
      </c>
      <c r="E32" s="250" t="s">
        <v>12</v>
      </c>
      <c r="F32" s="250" t="s">
        <v>585</v>
      </c>
      <c r="G32" s="250" t="s">
        <v>46</v>
      </c>
      <c r="H32" s="3" t="s">
        <v>2537</v>
      </c>
    </row>
    <row r="33" spans="3:11" x14ac:dyDescent="0.25">
      <c r="C33" s="250" t="s">
        <v>586</v>
      </c>
      <c r="D33" s="250" t="s">
        <v>587</v>
      </c>
      <c r="E33" s="250" t="s">
        <v>12</v>
      </c>
      <c r="F33" s="250" t="s">
        <v>588</v>
      </c>
      <c r="G33" s="250" t="s">
        <v>46</v>
      </c>
      <c r="H33" s="3" t="s">
        <v>2538</v>
      </c>
    </row>
    <row r="34" spans="3:11" x14ac:dyDescent="0.25">
      <c r="C34" s="250" t="s">
        <v>1642</v>
      </c>
      <c r="D34" s="250" t="s">
        <v>1643</v>
      </c>
      <c r="E34" s="250" t="s">
        <v>12</v>
      </c>
      <c r="F34" s="250" t="s">
        <v>1644</v>
      </c>
      <c r="G34" s="250" t="s">
        <v>43</v>
      </c>
      <c r="H34" s="3" t="s">
        <v>2526</v>
      </c>
    </row>
    <row r="35" spans="3:11" x14ac:dyDescent="0.25">
      <c r="C35" s="250" t="s">
        <v>1645</v>
      </c>
      <c r="D35" s="250" t="s">
        <v>1646</v>
      </c>
      <c r="E35" s="250" t="s">
        <v>12</v>
      </c>
      <c r="F35" s="250" t="s">
        <v>1647</v>
      </c>
      <c r="G35" s="250" t="s">
        <v>1528</v>
      </c>
      <c r="H35" s="3" t="s">
        <v>2520</v>
      </c>
      <c r="K35" t="s">
        <v>51</v>
      </c>
    </row>
    <row r="36" spans="3:11" x14ac:dyDescent="0.25">
      <c r="C36" s="250" t="s">
        <v>2145</v>
      </c>
      <c r="D36" s="250" t="s">
        <v>2146</v>
      </c>
      <c r="E36" s="250" t="s">
        <v>12</v>
      </c>
      <c r="F36" s="250" t="s">
        <v>2147</v>
      </c>
      <c r="G36" s="250" t="s">
        <v>49</v>
      </c>
      <c r="H36" s="3" t="s">
        <v>2539</v>
      </c>
    </row>
    <row r="37" spans="3:11" x14ac:dyDescent="0.25">
      <c r="C37" s="250" t="s">
        <v>2148</v>
      </c>
      <c r="D37" s="250" t="s">
        <v>2371</v>
      </c>
      <c r="E37" s="250" t="s">
        <v>12</v>
      </c>
      <c r="F37" s="250" t="s">
        <v>2149</v>
      </c>
      <c r="G37" s="250" t="s">
        <v>43</v>
      </c>
      <c r="H37" s="3" t="s">
        <v>2540</v>
      </c>
    </row>
    <row r="38" spans="3:11" x14ac:dyDescent="0.25">
      <c r="C38" s="250" t="s">
        <v>1695</v>
      </c>
      <c r="D38" s="250" t="s">
        <v>1696</v>
      </c>
      <c r="E38" s="250" t="s">
        <v>12</v>
      </c>
      <c r="F38" s="250" t="s">
        <v>1697</v>
      </c>
      <c r="G38" s="250" t="s">
        <v>93</v>
      </c>
      <c r="H38" s="3" t="s">
        <v>2520</v>
      </c>
    </row>
    <row r="39" spans="3:11" x14ac:dyDescent="0.25">
      <c r="C39" s="250" t="s">
        <v>1714</v>
      </c>
      <c r="D39" s="250" t="s">
        <v>1715</v>
      </c>
      <c r="E39" s="250" t="s">
        <v>12</v>
      </c>
      <c r="F39" s="250" t="s">
        <v>1716</v>
      </c>
      <c r="G39" s="250" t="s">
        <v>46</v>
      </c>
      <c r="H39" s="3" t="s">
        <v>2541</v>
      </c>
    </row>
    <row r="40" spans="3:11" x14ac:dyDescent="0.25">
      <c r="C40" s="250" t="s">
        <v>685</v>
      </c>
      <c r="D40" s="250" t="s">
        <v>686</v>
      </c>
      <c r="E40" s="250" t="s">
        <v>12</v>
      </c>
      <c r="F40" s="250" t="s">
        <v>687</v>
      </c>
      <c r="G40" s="250" t="s">
        <v>12</v>
      </c>
      <c r="H40" s="3" t="s">
        <v>2520</v>
      </c>
    </row>
    <row r="41" spans="3:11" x14ac:dyDescent="0.25">
      <c r="C41" s="250" t="s">
        <v>694</v>
      </c>
      <c r="D41" s="250" t="s">
        <v>695</v>
      </c>
      <c r="E41" s="250" t="s">
        <v>12</v>
      </c>
      <c r="F41" s="250" t="s">
        <v>696</v>
      </c>
      <c r="G41" s="250" t="s">
        <v>44</v>
      </c>
      <c r="H41" s="3" t="s">
        <v>2542</v>
      </c>
    </row>
    <row r="42" spans="3:11" x14ac:dyDescent="0.25">
      <c r="C42" s="250" t="s">
        <v>1729</v>
      </c>
      <c r="D42" s="250" t="s">
        <v>1730</v>
      </c>
      <c r="E42" s="250" t="s">
        <v>12</v>
      </c>
      <c r="F42" s="250" t="s">
        <v>1731</v>
      </c>
      <c r="G42" s="250" t="s">
        <v>311</v>
      </c>
      <c r="H42" s="3" t="s">
        <v>2543</v>
      </c>
    </row>
    <row r="43" spans="3:11" x14ac:dyDescent="0.25">
      <c r="C43" s="250" t="s">
        <v>1735</v>
      </c>
      <c r="D43" s="250" t="s">
        <v>1736</v>
      </c>
      <c r="E43" s="250" t="s">
        <v>12</v>
      </c>
      <c r="F43" s="250" t="s">
        <v>1737</v>
      </c>
      <c r="G43" s="250" t="s">
        <v>1570</v>
      </c>
      <c r="H43" s="3" t="s">
        <v>2544</v>
      </c>
    </row>
    <row r="44" spans="3:11" x14ac:dyDescent="0.25">
      <c r="C44" s="250" t="s">
        <v>722</v>
      </c>
      <c r="D44" s="250" t="s">
        <v>723</v>
      </c>
      <c r="E44" s="250" t="s">
        <v>12</v>
      </c>
      <c r="F44" s="250" t="s">
        <v>724</v>
      </c>
      <c r="G44" s="250" t="s">
        <v>129</v>
      </c>
      <c r="H44" s="3" t="s">
        <v>2545</v>
      </c>
    </row>
    <row r="45" spans="3:11" x14ac:dyDescent="0.25">
      <c r="C45" s="250" t="s">
        <v>1750</v>
      </c>
      <c r="D45" s="250" t="s">
        <v>1751</v>
      </c>
      <c r="E45" s="250" t="s">
        <v>12</v>
      </c>
      <c r="F45" s="250" t="s">
        <v>1391</v>
      </c>
      <c r="G45" s="250" t="s">
        <v>311</v>
      </c>
      <c r="H45" s="3" t="s">
        <v>2546</v>
      </c>
    </row>
    <row r="46" spans="3:11" x14ac:dyDescent="0.25">
      <c r="C46" s="250" t="s">
        <v>147</v>
      </c>
      <c r="D46" s="250" t="s">
        <v>148</v>
      </c>
      <c r="E46" s="250" t="s">
        <v>12</v>
      </c>
      <c r="F46" s="250" t="s">
        <v>149</v>
      </c>
      <c r="G46" s="250" t="s">
        <v>150</v>
      </c>
      <c r="H46" s="3" t="s">
        <v>2547</v>
      </c>
    </row>
    <row r="47" spans="3:11" x14ac:dyDescent="0.25">
      <c r="C47" s="250" t="s">
        <v>1752</v>
      </c>
      <c r="D47" s="250" t="s">
        <v>1753</v>
      </c>
      <c r="E47" s="250" t="s">
        <v>12</v>
      </c>
      <c r="F47" s="250" t="s">
        <v>1754</v>
      </c>
      <c r="G47" s="250" t="s">
        <v>47</v>
      </c>
      <c r="H47" s="3" t="s">
        <v>2548</v>
      </c>
    </row>
    <row r="48" spans="3:11" x14ac:dyDescent="0.25">
      <c r="C48" s="250" t="s">
        <v>2174</v>
      </c>
      <c r="D48" s="250" t="s">
        <v>2175</v>
      </c>
      <c r="E48" s="250" t="s">
        <v>12</v>
      </c>
      <c r="F48" s="250" t="s">
        <v>2176</v>
      </c>
      <c r="G48" s="250" t="s">
        <v>340</v>
      </c>
      <c r="H48" s="3" t="s">
        <v>2549</v>
      </c>
    </row>
    <row r="49" spans="3:8" x14ac:dyDescent="0.25">
      <c r="C49" s="250" t="s">
        <v>1765</v>
      </c>
      <c r="D49" s="250" t="s">
        <v>1766</v>
      </c>
      <c r="E49" s="250" t="s">
        <v>12</v>
      </c>
      <c r="F49" s="250" t="s">
        <v>1767</v>
      </c>
      <c r="G49" s="250" t="s">
        <v>46</v>
      </c>
      <c r="H49" s="3" t="s">
        <v>2550</v>
      </c>
    </row>
    <row r="50" spans="3:8" x14ac:dyDescent="0.25">
      <c r="C50" s="250" t="s">
        <v>2177</v>
      </c>
      <c r="D50" s="250" t="s">
        <v>2178</v>
      </c>
      <c r="E50" s="250" t="s">
        <v>12</v>
      </c>
      <c r="F50" s="250" t="s">
        <v>2179</v>
      </c>
      <c r="G50" s="250" t="s">
        <v>47</v>
      </c>
      <c r="H50" s="3" t="s">
        <v>2551</v>
      </c>
    </row>
    <row r="51" spans="3:8" x14ac:dyDescent="0.25">
      <c r="C51" s="250" t="s">
        <v>2180</v>
      </c>
      <c r="D51" s="250" t="s">
        <v>2181</v>
      </c>
      <c r="E51" s="250" t="s">
        <v>12</v>
      </c>
      <c r="F51" s="250" t="s">
        <v>1445</v>
      </c>
      <c r="G51" s="250" t="s">
        <v>311</v>
      </c>
      <c r="H51" s="3" t="s">
        <v>2552</v>
      </c>
    </row>
    <row r="52" spans="3:8" x14ac:dyDescent="0.25">
      <c r="C52" s="250" t="s">
        <v>1774</v>
      </c>
      <c r="D52" s="250" t="s">
        <v>1775</v>
      </c>
      <c r="E52" s="250" t="s">
        <v>12</v>
      </c>
      <c r="F52" s="250" t="s">
        <v>1776</v>
      </c>
      <c r="G52" s="250" t="s">
        <v>1758</v>
      </c>
      <c r="H52" s="3" t="s">
        <v>2553</v>
      </c>
    </row>
    <row r="53" spans="3:8" x14ac:dyDescent="0.25">
      <c r="C53" s="250" t="s">
        <v>1777</v>
      </c>
      <c r="D53" s="250" t="s">
        <v>1778</v>
      </c>
      <c r="E53" s="250" t="s">
        <v>12</v>
      </c>
      <c r="F53" s="250" t="s">
        <v>1779</v>
      </c>
      <c r="G53" s="250" t="s">
        <v>327</v>
      </c>
      <c r="H53" s="3" t="s">
        <v>2554</v>
      </c>
    </row>
    <row r="54" spans="3:8" x14ac:dyDescent="0.25">
      <c r="C54" s="250" t="s">
        <v>2185</v>
      </c>
      <c r="D54" s="250" t="s">
        <v>2186</v>
      </c>
      <c r="E54" s="250" t="s">
        <v>12</v>
      </c>
      <c r="F54" s="250" t="s">
        <v>2187</v>
      </c>
      <c r="G54" s="250" t="s">
        <v>2188</v>
      </c>
      <c r="H54" s="3" t="s">
        <v>2555</v>
      </c>
    </row>
    <row r="55" spans="3:8" x14ac:dyDescent="0.25">
      <c r="C55" s="250" t="s">
        <v>2189</v>
      </c>
      <c r="D55" s="250" t="s">
        <v>2190</v>
      </c>
      <c r="E55" s="250" t="s">
        <v>12</v>
      </c>
      <c r="F55" s="250" t="s">
        <v>2191</v>
      </c>
      <c r="G55" s="250" t="s">
        <v>201</v>
      </c>
      <c r="H55" s="3" t="s">
        <v>2548</v>
      </c>
    </row>
    <row r="56" spans="3:8" x14ac:dyDescent="0.25">
      <c r="C56" s="250" t="s">
        <v>806</v>
      </c>
      <c r="D56" s="250" t="s">
        <v>807</v>
      </c>
      <c r="E56" s="250" t="s">
        <v>14</v>
      </c>
      <c r="F56" s="250" t="s">
        <v>808</v>
      </c>
      <c r="G56" s="250" t="s">
        <v>32</v>
      </c>
      <c r="H56" s="3" t="s">
        <v>2556</v>
      </c>
    </row>
    <row r="57" spans="3:8" x14ac:dyDescent="0.25">
      <c r="C57" s="250" t="s">
        <v>1803</v>
      </c>
      <c r="D57" s="250" t="s">
        <v>1804</v>
      </c>
      <c r="E57" s="250" t="s">
        <v>14</v>
      </c>
      <c r="F57" s="250" t="s">
        <v>1805</v>
      </c>
      <c r="G57" s="250" t="s">
        <v>32</v>
      </c>
      <c r="H57" s="3" t="s">
        <v>2557</v>
      </c>
    </row>
    <row r="58" spans="3:8" x14ac:dyDescent="0.25">
      <c r="C58" s="250" t="s">
        <v>1806</v>
      </c>
      <c r="D58" s="250" t="s">
        <v>1807</v>
      </c>
      <c r="E58" s="250" t="s">
        <v>14</v>
      </c>
      <c r="F58" s="250" t="s">
        <v>1808</v>
      </c>
      <c r="G58" s="250" t="s">
        <v>32</v>
      </c>
      <c r="H58" s="3" t="s">
        <v>2558</v>
      </c>
    </row>
    <row r="59" spans="3:8" x14ac:dyDescent="0.25">
      <c r="C59" s="250" t="s">
        <v>846</v>
      </c>
      <c r="D59" s="250" t="s">
        <v>847</v>
      </c>
      <c r="E59" s="250" t="s">
        <v>14</v>
      </c>
      <c r="F59" s="250" t="s">
        <v>568</v>
      </c>
      <c r="G59" s="250" t="s">
        <v>32</v>
      </c>
      <c r="H59" s="3" t="s">
        <v>2548</v>
      </c>
    </row>
    <row r="60" spans="3:8" x14ac:dyDescent="0.25">
      <c r="C60" s="250" t="s">
        <v>1831</v>
      </c>
      <c r="D60" s="250" t="s">
        <v>1832</v>
      </c>
      <c r="E60" s="250" t="s">
        <v>14</v>
      </c>
      <c r="F60" s="250" t="s">
        <v>1833</v>
      </c>
      <c r="G60" s="250" t="s">
        <v>1830</v>
      </c>
      <c r="H60" s="3" t="s">
        <v>2559</v>
      </c>
    </row>
    <row r="61" spans="3:8" x14ac:dyDescent="0.25">
      <c r="C61" s="250" t="s">
        <v>934</v>
      </c>
      <c r="D61" s="250" t="s">
        <v>935</v>
      </c>
      <c r="E61" s="250" t="s">
        <v>0</v>
      </c>
      <c r="F61" s="250" t="s">
        <v>936</v>
      </c>
      <c r="G61" s="250" t="s">
        <v>937</v>
      </c>
      <c r="H61" s="3" t="s">
        <v>2560</v>
      </c>
    </row>
    <row r="62" spans="3:8" x14ac:dyDescent="0.25">
      <c r="C62" s="250" t="s">
        <v>1869</v>
      </c>
      <c r="D62" s="250" t="s">
        <v>1870</v>
      </c>
      <c r="E62" s="250" t="s">
        <v>0</v>
      </c>
      <c r="F62" s="250" t="s">
        <v>1871</v>
      </c>
      <c r="G62" s="250" t="s">
        <v>34</v>
      </c>
      <c r="H62" s="3" t="s">
        <v>2561</v>
      </c>
    </row>
    <row r="63" spans="3:8" ht="14.25" customHeight="1" x14ac:dyDescent="0.25">
      <c r="C63" s="250" t="s">
        <v>952</v>
      </c>
      <c r="D63" s="250" t="s">
        <v>953</v>
      </c>
      <c r="E63" s="250" t="s">
        <v>0</v>
      </c>
      <c r="F63" s="250" t="s">
        <v>954</v>
      </c>
      <c r="G63" s="250" t="s">
        <v>955</v>
      </c>
      <c r="H63" s="3" t="s">
        <v>2562</v>
      </c>
    </row>
    <row r="64" spans="3:8" x14ac:dyDescent="0.25">
      <c r="C64" s="250" t="s">
        <v>979</v>
      </c>
      <c r="D64" s="250" t="s">
        <v>980</v>
      </c>
      <c r="E64" s="250" t="s">
        <v>0</v>
      </c>
      <c r="F64" s="250" t="s">
        <v>981</v>
      </c>
      <c r="G64" s="250" t="s">
        <v>86</v>
      </c>
      <c r="H64" s="3" t="s">
        <v>2563</v>
      </c>
    </row>
    <row r="65" spans="3:8" x14ac:dyDescent="0.25">
      <c r="C65" s="250" t="s">
        <v>1882</v>
      </c>
      <c r="D65" s="250" t="s">
        <v>1883</v>
      </c>
      <c r="E65" s="250" t="s">
        <v>0</v>
      </c>
      <c r="F65" s="250" t="s">
        <v>1884</v>
      </c>
      <c r="G65" s="250" t="s">
        <v>1885</v>
      </c>
      <c r="H65" s="3" t="s">
        <v>2522</v>
      </c>
    </row>
    <row r="66" spans="3:8" x14ac:dyDescent="0.25">
      <c r="C66" s="250" t="s">
        <v>1886</v>
      </c>
      <c r="D66" s="250" t="s">
        <v>1887</v>
      </c>
      <c r="E66" s="250" t="s">
        <v>0</v>
      </c>
      <c r="F66" s="250" t="s">
        <v>1888</v>
      </c>
      <c r="G66" s="250" t="s">
        <v>39</v>
      </c>
      <c r="H66" s="3" t="s">
        <v>2564</v>
      </c>
    </row>
    <row r="67" spans="3:8" x14ac:dyDescent="0.25">
      <c r="C67" s="250" t="s">
        <v>1921</v>
      </c>
      <c r="D67" s="250" t="s">
        <v>1922</v>
      </c>
      <c r="E67" s="250" t="s">
        <v>0</v>
      </c>
      <c r="F67" s="250" t="s">
        <v>1923</v>
      </c>
      <c r="G67" s="250" t="s">
        <v>1924</v>
      </c>
      <c r="H67" s="3" t="s">
        <v>2565</v>
      </c>
    </row>
    <row r="68" spans="3:8" x14ac:dyDescent="0.25">
      <c r="C68" s="250" t="s">
        <v>2434</v>
      </c>
      <c r="D68" s="250" t="s">
        <v>2435</v>
      </c>
      <c r="E68" s="250" t="s">
        <v>0</v>
      </c>
      <c r="F68" s="250" t="s">
        <v>2439</v>
      </c>
      <c r="G68" s="250" t="s">
        <v>1307</v>
      </c>
      <c r="H68" s="3" t="s">
        <v>2566</v>
      </c>
    </row>
    <row r="69" spans="3:8" x14ac:dyDescent="0.25">
      <c r="C69" s="250" t="s">
        <v>2412</v>
      </c>
      <c r="D69" s="250" t="s">
        <v>2413</v>
      </c>
      <c r="E69" s="250" t="s">
        <v>0</v>
      </c>
      <c r="F69" s="250" t="s">
        <v>2419</v>
      </c>
      <c r="G69" s="250" t="s">
        <v>1113</v>
      </c>
      <c r="H69" s="3" t="s">
        <v>2567</v>
      </c>
    </row>
    <row r="70" spans="3:8" x14ac:dyDescent="0.25">
      <c r="C70" s="250" t="s">
        <v>2248</v>
      </c>
      <c r="D70" s="250" t="s">
        <v>2249</v>
      </c>
      <c r="E70" s="250" t="s">
        <v>0</v>
      </c>
      <c r="F70" s="250" t="s">
        <v>2250</v>
      </c>
      <c r="G70" s="250" t="s">
        <v>34</v>
      </c>
      <c r="H70" s="3" t="s">
        <v>2556</v>
      </c>
    </row>
    <row r="71" spans="3:8" x14ac:dyDescent="0.25">
      <c r="C71" s="250" t="s">
        <v>2251</v>
      </c>
      <c r="D71" s="250" t="s">
        <v>2252</v>
      </c>
      <c r="E71" s="250" t="s">
        <v>0</v>
      </c>
      <c r="F71" s="250" t="s">
        <v>2250</v>
      </c>
      <c r="G71" s="250" t="s">
        <v>896</v>
      </c>
      <c r="H71" s="3" t="s">
        <v>2568</v>
      </c>
    </row>
    <row r="72" spans="3:8" x14ac:dyDescent="0.25">
      <c r="C72" s="250" t="s">
        <v>1925</v>
      </c>
      <c r="D72" s="250" t="s">
        <v>1926</v>
      </c>
      <c r="E72" s="250" t="s">
        <v>0</v>
      </c>
      <c r="F72" s="250" t="s">
        <v>1927</v>
      </c>
      <c r="G72" s="250" t="s">
        <v>911</v>
      </c>
      <c r="H72" s="3" t="s">
        <v>2569</v>
      </c>
    </row>
    <row r="73" spans="3:8" x14ac:dyDescent="0.25">
      <c r="C73" s="250" t="s">
        <v>2262</v>
      </c>
      <c r="D73" s="250" t="s">
        <v>2263</v>
      </c>
      <c r="E73" s="250" t="s">
        <v>0</v>
      </c>
      <c r="F73" s="250" t="s">
        <v>2264</v>
      </c>
      <c r="G73" s="250" t="s">
        <v>1932</v>
      </c>
      <c r="H73" s="3" t="s">
        <v>2548</v>
      </c>
    </row>
    <row r="74" spans="3:8" x14ac:dyDescent="0.25">
      <c r="C74" s="250" t="s">
        <v>1083</v>
      </c>
      <c r="D74" s="250" t="s">
        <v>1084</v>
      </c>
      <c r="E74" s="250" t="s">
        <v>0</v>
      </c>
      <c r="F74" s="250" t="s">
        <v>1085</v>
      </c>
      <c r="G74" s="250" t="s">
        <v>888</v>
      </c>
      <c r="H74" s="3" t="s">
        <v>2570</v>
      </c>
    </row>
    <row r="75" spans="3:8" x14ac:dyDescent="0.25">
      <c r="C75" s="250" t="s">
        <v>1958</v>
      </c>
      <c r="D75" s="250" t="s">
        <v>1959</v>
      </c>
      <c r="E75" s="250" t="s">
        <v>0</v>
      </c>
      <c r="F75" s="250" t="s">
        <v>1960</v>
      </c>
      <c r="G75" s="250" t="s">
        <v>892</v>
      </c>
      <c r="H75" s="3" t="s">
        <v>2571</v>
      </c>
    </row>
    <row r="76" spans="3:8" x14ac:dyDescent="0.25">
      <c r="C76" s="250" t="s">
        <v>136</v>
      </c>
      <c r="D76" s="250" t="s">
        <v>137</v>
      </c>
      <c r="E76" s="250" t="s">
        <v>0</v>
      </c>
      <c r="F76" s="250" t="s">
        <v>138</v>
      </c>
      <c r="G76" s="250" t="s">
        <v>39</v>
      </c>
      <c r="H76" s="3" t="s">
        <v>2569</v>
      </c>
    </row>
    <row r="77" spans="3:8" x14ac:dyDescent="0.25">
      <c r="C77" s="250" t="s">
        <v>1126</v>
      </c>
      <c r="D77" s="250" t="s">
        <v>1127</v>
      </c>
      <c r="E77" s="250" t="s">
        <v>0</v>
      </c>
      <c r="F77" s="250" t="s">
        <v>2278</v>
      </c>
      <c r="G77" s="250" t="s">
        <v>35</v>
      </c>
      <c r="H77" s="3" t="s">
        <v>2572</v>
      </c>
    </row>
    <row r="78" spans="3:8" x14ac:dyDescent="0.25">
      <c r="C78" s="250" t="s">
        <v>2279</v>
      </c>
      <c r="D78" s="250" t="s">
        <v>2280</v>
      </c>
      <c r="E78" s="250" t="s">
        <v>0</v>
      </c>
      <c r="F78" s="250" t="s">
        <v>2281</v>
      </c>
      <c r="G78" s="250" t="s">
        <v>39</v>
      </c>
      <c r="H78" s="3" t="s">
        <v>2573</v>
      </c>
    </row>
    <row r="79" spans="3:8" x14ac:dyDescent="0.25">
      <c r="C79" s="250" t="s">
        <v>2381</v>
      </c>
      <c r="D79" s="250" t="s">
        <v>2382</v>
      </c>
      <c r="E79" s="250" t="s">
        <v>0</v>
      </c>
      <c r="F79" s="250" t="s">
        <v>2383</v>
      </c>
      <c r="G79" s="250" t="s">
        <v>2384</v>
      </c>
      <c r="H79" s="3" t="s">
        <v>2548</v>
      </c>
    </row>
    <row r="80" spans="3:8" x14ac:dyDescent="0.25">
      <c r="C80" s="250" t="s">
        <v>1985</v>
      </c>
      <c r="D80" s="250" t="s">
        <v>1986</v>
      </c>
      <c r="E80" s="250" t="s">
        <v>0</v>
      </c>
      <c r="F80" s="250" t="s">
        <v>1987</v>
      </c>
      <c r="G80" s="250" t="s">
        <v>1988</v>
      </c>
      <c r="H80" s="3" t="s">
        <v>2574</v>
      </c>
    </row>
    <row r="81" spans="3:8" x14ac:dyDescent="0.25">
      <c r="C81" s="250" t="s">
        <v>1175</v>
      </c>
      <c r="D81" s="250" t="s">
        <v>1176</v>
      </c>
      <c r="E81" s="250" t="s">
        <v>0</v>
      </c>
      <c r="F81" s="250" t="s">
        <v>1177</v>
      </c>
      <c r="G81" s="250" t="s">
        <v>86</v>
      </c>
      <c r="H81" s="3" t="s">
        <v>2575</v>
      </c>
    </row>
    <row r="82" spans="3:8" x14ac:dyDescent="0.25">
      <c r="C82" s="250" t="s">
        <v>1178</v>
      </c>
      <c r="D82" s="250" t="s">
        <v>1179</v>
      </c>
      <c r="E82" s="250" t="s">
        <v>0</v>
      </c>
      <c r="F82" s="250" t="s">
        <v>1180</v>
      </c>
      <c r="G82" s="250" t="s">
        <v>1017</v>
      </c>
      <c r="H82" s="3" t="s">
        <v>2548</v>
      </c>
    </row>
    <row r="83" spans="3:8" x14ac:dyDescent="0.25">
      <c r="C83" s="250" t="s">
        <v>1213</v>
      </c>
      <c r="D83" s="250" t="s">
        <v>1214</v>
      </c>
      <c r="E83" s="250" t="s">
        <v>0</v>
      </c>
      <c r="F83" s="250" t="s">
        <v>1215</v>
      </c>
      <c r="G83" s="250" t="s">
        <v>38</v>
      </c>
      <c r="H83" s="3" t="s">
        <v>2576</v>
      </c>
    </row>
    <row r="84" spans="3:8" x14ac:dyDescent="0.25">
      <c r="C84" s="250" t="s">
        <v>2294</v>
      </c>
      <c r="D84" s="250" t="s">
        <v>2295</v>
      </c>
      <c r="E84" s="250" t="s">
        <v>0</v>
      </c>
      <c r="F84" s="250" t="s">
        <v>2296</v>
      </c>
      <c r="G84" s="250" t="s">
        <v>33</v>
      </c>
      <c r="H84" s="3" t="s">
        <v>2548</v>
      </c>
    </row>
    <row r="85" spans="3:8" x14ac:dyDescent="0.25">
      <c r="C85" s="250" t="s">
        <v>1998</v>
      </c>
      <c r="D85" s="250" t="s">
        <v>1999</v>
      </c>
      <c r="E85" s="250" t="s">
        <v>0</v>
      </c>
      <c r="F85" s="250" t="s">
        <v>2000</v>
      </c>
      <c r="G85" s="250" t="s">
        <v>2001</v>
      </c>
      <c r="H85" s="3" t="s">
        <v>2548</v>
      </c>
    </row>
    <row r="86" spans="3:8" x14ac:dyDescent="0.25">
      <c r="C86" s="250" t="s">
        <v>1219</v>
      </c>
      <c r="D86" s="250" t="s">
        <v>1220</v>
      </c>
      <c r="E86" s="250" t="s">
        <v>0</v>
      </c>
      <c r="F86" s="250" t="s">
        <v>724</v>
      </c>
      <c r="G86" s="250" t="s">
        <v>39</v>
      </c>
      <c r="H86" s="3" t="s">
        <v>2577</v>
      </c>
    </row>
    <row r="87" spans="3:8" x14ac:dyDescent="0.25">
      <c r="C87" s="250" t="s">
        <v>2312</v>
      </c>
      <c r="D87" s="250" t="s">
        <v>2313</v>
      </c>
      <c r="E87" s="250" t="s">
        <v>0</v>
      </c>
      <c r="F87" s="250" t="s">
        <v>2314</v>
      </c>
      <c r="G87" s="250" t="s">
        <v>900</v>
      </c>
      <c r="H87" s="3" t="s">
        <v>2548</v>
      </c>
    </row>
    <row r="88" spans="3:8" x14ac:dyDescent="0.25">
      <c r="C88" s="250" t="s">
        <v>1255</v>
      </c>
      <c r="D88" s="250" t="s">
        <v>1256</v>
      </c>
      <c r="E88" s="250" t="s">
        <v>0</v>
      </c>
      <c r="F88" s="250" t="s">
        <v>1257</v>
      </c>
      <c r="G88" s="250" t="s">
        <v>39</v>
      </c>
      <c r="H88" s="3" t="s">
        <v>2522</v>
      </c>
    </row>
    <row r="89" spans="3:8" x14ac:dyDescent="0.25">
      <c r="C89" s="250" t="s">
        <v>1261</v>
      </c>
      <c r="D89" s="250" t="s">
        <v>1262</v>
      </c>
      <c r="E89" s="250" t="s">
        <v>0</v>
      </c>
      <c r="F89" s="250" t="s">
        <v>1263</v>
      </c>
      <c r="G89" s="250" t="s">
        <v>33</v>
      </c>
      <c r="H89" s="3" t="s">
        <v>2522</v>
      </c>
    </row>
    <row r="90" spans="3:8" x14ac:dyDescent="0.25">
      <c r="C90" s="250" t="s">
        <v>1270</v>
      </c>
      <c r="D90" s="250" t="s">
        <v>1271</v>
      </c>
      <c r="E90" s="250" t="s">
        <v>0</v>
      </c>
      <c r="F90" s="250" t="s">
        <v>1272</v>
      </c>
      <c r="G90" s="250" t="s">
        <v>86</v>
      </c>
      <c r="H90" s="3" t="s">
        <v>2556</v>
      </c>
    </row>
    <row r="91" spans="3:8" x14ac:dyDescent="0.25">
      <c r="C91" s="250" t="s">
        <v>1290</v>
      </c>
      <c r="D91" s="250" t="s">
        <v>1291</v>
      </c>
      <c r="E91" s="250" t="s">
        <v>0</v>
      </c>
      <c r="F91" s="250" t="s">
        <v>1292</v>
      </c>
      <c r="G91" s="250" t="s">
        <v>884</v>
      </c>
      <c r="H91" s="3" t="s">
        <v>2578</v>
      </c>
    </row>
    <row r="92" spans="3:8" x14ac:dyDescent="0.25">
      <c r="C92" s="250" t="s">
        <v>1293</v>
      </c>
      <c r="D92" s="250" t="s">
        <v>1294</v>
      </c>
      <c r="E92" s="250" t="s">
        <v>0</v>
      </c>
      <c r="F92" s="250" t="s">
        <v>1295</v>
      </c>
      <c r="G92" s="250" t="s">
        <v>911</v>
      </c>
      <c r="H92" s="3" t="s">
        <v>2579</v>
      </c>
    </row>
    <row r="93" spans="3:8" x14ac:dyDescent="0.25">
      <c r="C93" s="250" t="s">
        <v>2045</v>
      </c>
      <c r="D93" s="250" t="s">
        <v>2046</v>
      </c>
      <c r="E93" s="250" t="s">
        <v>0</v>
      </c>
      <c r="F93" s="250" t="s">
        <v>2047</v>
      </c>
      <c r="G93" s="250" t="s">
        <v>1868</v>
      </c>
      <c r="H93" s="3" t="s">
        <v>2580</v>
      </c>
    </row>
    <row r="94" spans="3:8" x14ac:dyDescent="0.25">
      <c r="C94" s="250" t="s">
        <v>2048</v>
      </c>
      <c r="D94" s="250" t="s">
        <v>2049</v>
      </c>
      <c r="E94" s="250" t="s">
        <v>0</v>
      </c>
      <c r="F94" s="250" t="s">
        <v>2050</v>
      </c>
      <c r="G94" s="250" t="s">
        <v>86</v>
      </c>
      <c r="H94" s="3" t="s">
        <v>2581</v>
      </c>
    </row>
    <row r="95" spans="3:8" x14ac:dyDescent="0.25">
      <c r="C95" s="250" t="s">
        <v>2051</v>
      </c>
      <c r="D95" s="250" t="s">
        <v>2052</v>
      </c>
      <c r="E95" s="250" t="s">
        <v>0</v>
      </c>
      <c r="F95" s="250" t="s">
        <v>2053</v>
      </c>
      <c r="G95" s="250" t="s">
        <v>896</v>
      </c>
      <c r="H95" s="3" t="s">
        <v>2582</v>
      </c>
    </row>
    <row r="96" spans="3:8" x14ac:dyDescent="0.25">
      <c r="C96" s="250" t="s">
        <v>2332</v>
      </c>
      <c r="D96" s="250" t="s">
        <v>2333</v>
      </c>
      <c r="E96" s="250" t="s">
        <v>0</v>
      </c>
      <c r="F96" s="250" t="s">
        <v>2334</v>
      </c>
      <c r="G96" s="250" t="s">
        <v>978</v>
      </c>
      <c r="H96" s="3" t="s">
        <v>2583</v>
      </c>
    </row>
    <row r="97" spans="3:8" x14ac:dyDescent="0.25">
      <c r="C97" s="250" t="s">
        <v>2416</v>
      </c>
      <c r="D97" s="250" t="s">
        <v>2417</v>
      </c>
      <c r="E97" s="250" t="s">
        <v>0</v>
      </c>
      <c r="F97" s="250" t="s">
        <v>788</v>
      </c>
      <c r="G97" s="250" t="s">
        <v>2421</v>
      </c>
      <c r="H97" s="3" t="s">
        <v>2584</v>
      </c>
    </row>
    <row r="100" spans="3:8" x14ac:dyDescent="0.25">
      <c r="F100" s="277" t="s">
        <v>2586</v>
      </c>
    </row>
    <row r="102" spans="3:8" ht="30" x14ac:dyDescent="0.25">
      <c r="C102" s="211" t="s">
        <v>2394</v>
      </c>
      <c r="D102" s="211" t="s">
        <v>2</v>
      </c>
      <c r="E102" s="211" t="s">
        <v>3</v>
      </c>
      <c r="F102" s="211" t="s">
        <v>4</v>
      </c>
      <c r="G102" s="211" t="s">
        <v>2395</v>
      </c>
      <c r="H102" s="211" t="s">
        <v>1359</v>
      </c>
    </row>
    <row r="103" spans="3:8" x14ac:dyDescent="0.25">
      <c r="C103" s="248" t="s">
        <v>277</v>
      </c>
      <c r="D103" s="248" t="s">
        <v>278</v>
      </c>
      <c r="E103" s="248" t="s">
        <v>13</v>
      </c>
      <c r="F103" s="248" t="s">
        <v>279</v>
      </c>
      <c r="G103" s="248" t="s">
        <v>43</v>
      </c>
      <c r="H103" s="293" t="s">
        <v>2628</v>
      </c>
    </row>
    <row r="104" spans="3:8" x14ac:dyDescent="0.25">
      <c r="C104" s="248" t="s">
        <v>2091</v>
      </c>
      <c r="D104" s="248" t="s">
        <v>2092</v>
      </c>
      <c r="E104" s="248" t="s">
        <v>12</v>
      </c>
      <c r="F104" s="248" t="s">
        <v>2093</v>
      </c>
      <c r="G104" s="248" t="s">
        <v>1528</v>
      </c>
      <c r="H104" s="294" t="s">
        <v>2587</v>
      </c>
    </row>
    <row r="105" spans="3:8" x14ac:dyDescent="0.25">
      <c r="C105" s="248" t="s">
        <v>81</v>
      </c>
      <c r="D105" s="248" t="s">
        <v>82</v>
      </c>
      <c r="E105" s="248" t="s">
        <v>12</v>
      </c>
      <c r="F105" s="248" t="s">
        <v>80</v>
      </c>
      <c r="G105" s="248" t="s">
        <v>52</v>
      </c>
      <c r="H105" s="294" t="s">
        <v>2587</v>
      </c>
    </row>
    <row r="106" spans="3:8" x14ac:dyDescent="0.25">
      <c r="C106" s="248" t="s">
        <v>521</v>
      </c>
      <c r="D106" s="248" t="s">
        <v>522</v>
      </c>
      <c r="E106" s="248" t="s">
        <v>12</v>
      </c>
      <c r="F106" s="248" t="s">
        <v>523</v>
      </c>
      <c r="G106" s="248" t="s">
        <v>319</v>
      </c>
      <c r="H106" s="294" t="s">
        <v>2587</v>
      </c>
    </row>
    <row r="107" spans="3:8" x14ac:dyDescent="0.25">
      <c r="C107" s="248" t="s">
        <v>1592</v>
      </c>
      <c r="D107" s="248" t="s">
        <v>1593</v>
      </c>
      <c r="E107" s="248" t="s">
        <v>12</v>
      </c>
      <c r="F107" s="248" t="s">
        <v>1594</v>
      </c>
      <c r="G107" s="248" t="s">
        <v>43</v>
      </c>
      <c r="H107" s="294" t="s">
        <v>2589</v>
      </c>
    </row>
    <row r="108" spans="3:8" x14ac:dyDescent="0.25">
      <c r="C108" s="248" t="s">
        <v>1494</v>
      </c>
      <c r="D108" s="248" t="s">
        <v>1495</v>
      </c>
      <c r="E108" s="248" t="s">
        <v>12</v>
      </c>
      <c r="F108" s="248" t="s">
        <v>1496</v>
      </c>
      <c r="G108" s="248" t="s">
        <v>43</v>
      </c>
      <c r="H108" s="294" t="s">
        <v>2590</v>
      </c>
    </row>
    <row r="109" spans="3:8" ht="15.75" customHeight="1" x14ac:dyDescent="0.25">
      <c r="C109" s="248" t="s">
        <v>570</v>
      </c>
      <c r="D109" s="248" t="s">
        <v>571</v>
      </c>
      <c r="E109" s="248" t="s">
        <v>12</v>
      </c>
      <c r="F109" s="248" t="s">
        <v>572</v>
      </c>
      <c r="G109" s="248" t="s">
        <v>129</v>
      </c>
      <c r="H109" s="293" t="s">
        <v>2591</v>
      </c>
    </row>
    <row r="110" spans="3:8" x14ac:dyDescent="0.25">
      <c r="C110" s="248" t="s">
        <v>1645</v>
      </c>
      <c r="D110" s="248" t="s">
        <v>1646</v>
      </c>
      <c r="E110" s="248" t="s">
        <v>12</v>
      </c>
      <c r="F110" s="248" t="s">
        <v>1647</v>
      </c>
      <c r="G110" s="248" t="s">
        <v>1528</v>
      </c>
      <c r="H110" s="294" t="s">
        <v>2587</v>
      </c>
    </row>
    <row r="111" spans="3:8" x14ac:dyDescent="0.25">
      <c r="C111" s="248" t="s">
        <v>765</v>
      </c>
      <c r="D111" s="248" t="s">
        <v>766</v>
      </c>
      <c r="E111" s="248" t="s">
        <v>12</v>
      </c>
      <c r="F111" s="248" t="s">
        <v>767</v>
      </c>
      <c r="G111" s="248" t="s">
        <v>1758</v>
      </c>
      <c r="H111" s="294" t="s">
        <v>2587</v>
      </c>
    </row>
    <row r="112" spans="3:8" x14ac:dyDescent="0.25">
      <c r="C112" s="248" t="s">
        <v>1603</v>
      </c>
      <c r="D112" s="248" t="s">
        <v>1604</v>
      </c>
      <c r="E112" s="248" t="s">
        <v>12</v>
      </c>
      <c r="F112" s="248" t="s">
        <v>1605</v>
      </c>
      <c r="G112" s="248" t="s">
        <v>315</v>
      </c>
      <c r="H112" s="294" t="s">
        <v>2592</v>
      </c>
    </row>
    <row r="113" spans="3:8" x14ac:dyDescent="0.25">
      <c r="C113" s="248" t="s">
        <v>1512</v>
      </c>
      <c r="D113" s="248" t="s">
        <v>1513</v>
      </c>
      <c r="E113" s="248" t="s">
        <v>12</v>
      </c>
      <c r="F113" s="248" t="s">
        <v>1514</v>
      </c>
      <c r="G113" s="248" t="s">
        <v>327</v>
      </c>
      <c r="H113" s="294" t="s">
        <v>2588</v>
      </c>
    </row>
    <row r="114" spans="3:8" x14ac:dyDescent="0.25">
      <c r="C114" s="248" t="s">
        <v>1522</v>
      </c>
      <c r="D114" s="248" t="s">
        <v>1523</v>
      </c>
      <c r="E114" s="248" t="s">
        <v>12</v>
      </c>
      <c r="F114" s="248" t="s">
        <v>1524</v>
      </c>
      <c r="G114" s="248" t="s">
        <v>43</v>
      </c>
      <c r="H114" s="294" t="s">
        <v>2626</v>
      </c>
    </row>
    <row r="115" spans="3:8" x14ac:dyDescent="0.25">
      <c r="C115" s="248" t="s">
        <v>435</v>
      </c>
      <c r="D115" s="248" t="s">
        <v>436</v>
      </c>
      <c r="E115" s="248" t="s">
        <v>12</v>
      </c>
      <c r="F115" s="248" t="s">
        <v>437</v>
      </c>
      <c r="G115" s="248" t="s">
        <v>48</v>
      </c>
      <c r="H115" s="294" t="s">
        <v>2594</v>
      </c>
    </row>
    <row r="116" spans="3:8" x14ac:dyDescent="0.25">
      <c r="C116" s="248" t="s">
        <v>737</v>
      </c>
      <c r="D116" s="248" t="s">
        <v>738</v>
      </c>
      <c r="E116" s="248" t="s">
        <v>12</v>
      </c>
      <c r="F116" s="248" t="s">
        <v>1345</v>
      </c>
      <c r="G116" s="248" t="s">
        <v>48</v>
      </c>
      <c r="H116" s="294" t="s">
        <v>2595</v>
      </c>
    </row>
    <row r="117" spans="3:8" x14ac:dyDescent="0.25">
      <c r="C117" s="248" t="s">
        <v>2424</v>
      </c>
      <c r="D117" s="248" t="s">
        <v>2425</v>
      </c>
      <c r="E117" s="248" t="s">
        <v>12</v>
      </c>
      <c r="F117" s="248" t="s">
        <v>2428</v>
      </c>
      <c r="G117" s="248" t="s">
        <v>319</v>
      </c>
      <c r="H117" s="294" t="s">
        <v>2593</v>
      </c>
    </row>
    <row r="118" spans="3:8" x14ac:dyDescent="0.25">
      <c r="C118" s="248" t="s">
        <v>1525</v>
      </c>
      <c r="D118" s="248" t="s">
        <v>1526</v>
      </c>
      <c r="E118" s="248" t="s">
        <v>12</v>
      </c>
      <c r="F118" s="248" t="s">
        <v>1527</v>
      </c>
      <c r="G118" s="248" t="s">
        <v>1528</v>
      </c>
      <c r="H118" s="294" t="s">
        <v>2593</v>
      </c>
    </row>
    <row r="119" spans="3:8" x14ac:dyDescent="0.25">
      <c r="C119" s="248" t="s">
        <v>1539</v>
      </c>
      <c r="D119" s="248" t="s">
        <v>1540</v>
      </c>
      <c r="E119" s="248" t="s">
        <v>12</v>
      </c>
      <c r="F119" s="248" t="s">
        <v>1541</v>
      </c>
      <c r="G119" s="248" t="s">
        <v>1542</v>
      </c>
      <c r="H119" s="294" t="s">
        <v>2622</v>
      </c>
    </row>
    <row r="120" spans="3:8" x14ac:dyDescent="0.25">
      <c r="C120" s="248" t="s">
        <v>1588</v>
      </c>
      <c r="D120" s="248" t="s">
        <v>1589</v>
      </c>
      <c r="E120" s="248" t="s">
        <v>12</v>
      </c>
      <c r="F120" s="248" t="s">
        <v>1590</v>
      </c>
      <c r="G120" s="248" t="s">
        <v>2396</v>
      </c>
      <c r="H120" s="294" t="s">
        <v>2597</v>
      </c>
    </row>
    <row r="121" spans="3:8" x14ac:dyDescent="0.25">
      <c r="C121" s="248" t="s">
        <v>2426</v>
      </c>
      <c r="D121" s="248" t="s">
        <v>2427</v>
      </c>
      <c r="E121" s="248" t="s">
        <v>12</v>
      </c>
      <c r="F121" s="248" t="s">
        <v>2429</v>
      </c>
      <c r="G121" s="248" t="s">
        <v>43</v>
      </c>
      <c r="H121" s="294" t="s">
        <v>2622</v>
      </c>
    </row>
    <row r="122" spans="3:8" x14ac:dyDescent="0.25">
      <c r="C122" s="248" t="s">
        <v>1278</v>
      </c>
      <c r="D122" s="248" t="s">
        <v>1279</v>
      </c>
      <c r="E122" s="248" t="s">
        <v>0</v>
      </c>
      <c r="F122" s="248" t="s">
        <v>1280</v>
      </c>
      <c r="G122" s="248" t="s">
        <v>86</v>
      </c>
      <c r="H122" s="294" t="s">
        <v>2602</v>
      </c>
    </row>
    <row r="123" spans="3:8" x14ac:dyDescent="0.25">
      <c r="C123" s="248" t="s">
        <v>1879</v>
      </c>
      <c r="D123" s="248" t="s">
        <v>1880</v>
      </c>
      <c r="E123" s="248" t="s">
        <v>0</v>
      </c>
      <c r="F123" s="248" t="s">
        <v>1881</v>
      </c>
      <c r="G123" s="248" t="s">
        <v>896</v>
      </c>
      <c r="H123" s="295" t="s">
        <v>2598</v>
      </c>
    </row>
    <row r="124" spans="3:8" x14ac:dyDescent="0.25">
      <c r="C124" s="248" t="s">
        <v>952</v>
      </c>
      <c r="D124" s="248" t="s">
        <v>953</v>
      </c>
      <c r="E124" s="248" t="s">
        <v>0</v>
      </c>
      <c r="F124" s="248" t="s">
        <v>954</v>
      </c>
      <c r="G124" s="248" t="s">
        <v>955</v>
      </c>
      <c r="H124" s="294" t="s">
        <v>2599</v>
      </c>
    </row>
    <row r="125" spans="3:8" x14ac:dyDescent="0.25">
      <c r="C125" s="248" t="s">
        <v>1258</v>
      </c>
      <c r="D125" s="248" t="s">
        <v>1259</v>
      </c>
      <c r="E125" s="248" t="s">
        <v>0</v>
      </c>
      <c r="F125" s="248" t="s">
        <v>1260</v>
      </c>
      <c r="G125" s="248" t="s">
        <v>86</v>
      </c>
      <c r="H125" s="294" t="s">
        <v>2619</v>
      </c>
    </row>
    <row r="126" spans="3:8" x14ac:dyDescent="0.25">
      <c r="C126" s="248" t="s">
        <v>2416</v>
      </c>
      <c r="D126" s="248" t="s">
        <v>2417</v>
      </c>
      <c r="E126" s="248" t="s">
        <v>0</v>
      </c>
      <c r="F126" s="248" t="s">
        <v>788</v>
      </c>
      <c r="G126" s="248" t="s">
        <v>2421</v>
      </c>
      <c r="H126" s="294" t="s">
        <v>2600</v>
      </c>
    </row>
    <row r="127" spans="3:8" x14ac:dyDescent="0.25">
      <c r="C127" s="248" t="s">
        <v>2020</v>
      </c>
      <c r="D127" s="248" t="s">
        <v>2021</v>
      </c>
      <c r="E127" s="248" t="s">
        <v>0</v>
      </c>
      <c r="F127" s="248" t="s">
        <v>2022</v>
      </c>
      <c r="G127" s="248" t="s">
        <v>1864</v>
      </c>
      <c r="H127" s="294" t="s">
        <v>2597</v>
      </c>
    </row>
    <row r="128" spans="3:8" x14ac:dyDescent="0.25">
      <c r="C128" s="248" t="s">
        <v>1252</v>
      </c>
      <c r="D128" s="248" t="s">
        <v>1253</v>
      </c>
      <c r="E128" s="248" t="s">
        <v>0</v>
      </c>
      <c r="F128" s="248" t="s">
        <v>1254</v>
      </c>
      <c r="G128" s="248" t="s">
        <v>39</v>
      </c>
      <c r="H128" s="294" t="s">
        <v>2601</v>
      </c>
    </row>
    <row r="129" spans="3:8" x14ac:dyDescent="0.25">
      <c r="C129" s="248" t="s">
        <v>922</v>
      </c>
      <c r="D129" s="248" t="s">
        <v>923</v>
      </c>
      <c r="E129" s="248" t="s">
        <v>0</v>
      </c>
      <c r="F129" s="248" t="s">
        <v>924</v>
      </c>
      <c r="G129" s="248" t="s">
        <v>39</v>
      </c>
      <c r="H129" s="294" t="s">
        <v>2601</v>
      </c>
    </row>
    <row r="130" spans="3:8" x14ac:dyDescent="0.25">
      <c r="C130" s="248" t="s">
        <v>1156</v>
      </c>
      <c r="D130" s="248" t="s">
        <v>1157</v>
      </c>
      <c r="E130" s="248" t="s">
        <v>0</v>
      </c>
      <c r="F130" s="248" t="s">
        <v>1158</v>
      </c>
      <c r="G130" s="248" t="s">
        <v>33</v>
      </c>
      <c r="H130" s="294" t="s">
        <v>2603</v>
      </c>
    </row>
    <row r="131" spans="3:8" ht="33" customHeight="1" x14ac:dyDescent="0.25">
      <c r="C131" s="278" t="s">
        <v>1886</v>
      </c>
      <c r="D131" s="278" t="s">
        <v>1887</v>
      </c>
      <c r="E131" s="278" t="s">
        <v>0</v>
      </c>
      <c r="F131" s="278" t="s">
        <v>1888</v>
      </c>
      <c r="G131" s="278" t="s">
        <v>39</v>
      </c>
      <c r="H131" s="296" t="s">
        <v>2604</v>
      </c>
    </row>
    <row r="132" spans="3:8" x14ac:dyDescent="0.25">
      <c r="C132" s="248" t="s">
        <v>998</v>
      </c>
      <c r="D132" s="248" t="s">
        <v>999</v>
      </c>
      <c r="E132" s="248" t="s">
        <v>0</v>
      </c>
      <c r="F132" s="248" t="s">
        <v>458</v>
      </c>
      <c r="G132" s="248" t="s">
        <v>39</v>
      </c>
      <c r="H132" s="293" t="s">
        <v>2625</v>
      </c>
    </row>
    <row r="133" spans="3:8" x14ac:dyDescent="0.25">
      <c r="C133" s="248" t="s">
        <v>2238</v>
      </c>
      <c r="D133" s="248" t="s">
        <v>2239</v>
      </c>
      <c r="E133" s="248" t="s">
        <v>0</v>
      </c>
      <c r="F133" s="248" t="s">
        <v>2240</v>
      </c>
      <c r="G133" s="248" t="s">
        <v>86</v>
      </c>
      <c r="H133" s="294" t="s">
        <v>2605</v>
      </c>
    </row>
    <row r="134" spans="3:8" x14ac:dyDescent="0.25">
      <c r="C134" s="248" t="s">
        <v>1901</v>
      </c>
      <c r="D134" s="248" t="s">
        <v>1902</v>
      </c>
      <c r="E134" s="248" t="s">
        <v>0</v>
      </c>
      <c r="F134" s="248" t="s">
        <v>1903</v>
      </c>
      <c r="G134" s="248" t="s">
        <v>1017</v>
      </c>
      <c r="H134" s="294" t="s">
        <v>2606</v>
      </c>
    </row>
    <row r="135" spans="3:8" x14ac:dyDescent="0.25">
      <c r="C135" s="248" t="s">
        <v>1067</v>
      </c>
      <c r="D135" s="248" t="s">
        <v>1068</v>
      </c>
      <c r="E135" s="248" t="s">
        <v>0</v>
      </c>
      <c r="F135" s="248" t="s">
        <v>1069</v>
      </c>
      <c r="G135" s="248" t="s">
        <v>994</v>
      </c>
      <c r="H135" s="294" t="s">
        <v>2593</v>
      </c>
    </row>
    <row r="136" spans="3:8" x14ac:dyDescent="0.25">
      <c r="C136" s="248" t="s">
        <v>2216</v>
      </c>
      <c r="D136" s="248" t="s">
        <v>2217</v>
      </c>
      <c r="E136" s="248" t="s">
        <v>0</v>
      </c>
      <c r="F136" s="248" t="s">
        <v>2218</v>
      </c>
      <c r="G136" s="248" t="s">
        <v>34</v>
      </c>
      <c r="H136" s="294" t="s">
        <v>2596</v>
      </c>
    </row>
    <row r="137" spans="3:8" x14ac:dyDescent="0.25">
      <c r="C137" s="314" t="s">
        <v>1689</v>
      </c>
      <c r="D137" s="314" t="s">
        <v>1690</v>
      </c>
      <c r="E137" s="314" t="s">
        <v>12</v>
      </c>
      <c r="F137" s="314" t="s">
        <v>1691</v>
      </c>
      <c r="G137" s="314" t="s">
        <v>47</v>
      </c>
      <c r="H137" s="299" t="s">
        <v>2608</v>
      </c>
    </row>
    <row r="138" spans="3:8" x14ac:dyDescent="0.25">
      <c r="C138" s="314" t="s">
        <v>674</v>
      </c>
      <c r="D138" s="314" t="s">
        <v>675</v>
      </c>
      <c r="E138" s="314" t="s">
        <v>12</v>
      </c>
      <c r="F138" s="314" t="s">
        <v>676</v>
      </c>
      <c r="G138" s="314" t="s">
        <v>44</v>
      </c>
      <c r="H138" s="299" t="s">
        <v>2608</v>
      </c>
    </row>
    <row r="139" spans="3:8" x14ac:dyDescent="0.25">
      <c r="C139" s="314" t="s">
        <v>1491</v>
      </c>
      <c r="D139" s="314" t="s">
        <v>1492</v>
      </c>
      <c r="E139" s="314" t="s">
        <v>12</v>
      </c>
      <c r="F139" s="314" t="s">
        <v>1493</v>
      </c>
      <c r="G139" s="314" t="s">
        <v>201</v>
      </c>
      <c r="H139" s="299" t="s">
        <v>2608</v>
      </c>
    </row>
    <row r="140" spans="3:8" x14ac:dyDescent="0.25">
      <c r="C140" s="314" t="s">
        <v>2457</v>
      </c>
      <c r="D140" s="314" t="s">
        <v>2458</v>
      </c>
      <c r="E140" s="314" t="s">
        <v>12</v>
      </c>
      <c r="F140" s="314" t="s">
        <v>2465</v>
      </c>
      <c r="G140" s="314" t="s">
        <v>311</v>
      </c>
      <c r="H140" s="299" t="s">
        <v>2608</v>
      </c>
    </row>
    <row r="141" spans="3:8" x14ac:dyDescent="0.25">
      <c r="C141" s="314" t="s">
        <v>1281</v>
      </c>
      <c r="D141" s="314" t="s">
        <v>1282</v>
      </c>
      <c r="E141" s="314" t="s">
        <v>0</v>
      </c>
      <c r="F141" s="314" t="s">
        <v>1283</v>
      </c>
      <c r="G141" s="314" t="s">
        <v>86</v>
      </c>
      <c r="H141" s="298" t="s">
        <v>2608</v>
      </c>
    </row>
    <row r="142" spans="3:8" ht="15.75" customHeight="1" x14ac:dyDescent="0.25">
      <c r="C142" s="248" t="s">
        <v>912</v>
      </c>
      <c r="D142" s="248" t="s">
        <v>913</v>
      </c>
      <c r="E142" s="248" t="s">
        <v>0</v>
      </c>
      <c r="F142" s="248" t="s">
        <v>914</v>
      </c>
      <c r="G142" s="248" t="s">
        <v>915</v>
      </c>
      <c r="H142" s="293" t="s">
        <v>2607</v>
      </c>
    </row>
    <row r="143" spans="3:8" ht="15.75" customHeight="1" x14ac:dyDescent="0.25">
      <c r="C143" s="314" t="s">
        <v>2042</v>
      </c>
      <c r="D143" s="314" t="s">
        <v>2043</v>
      </c>
      <c r="E143" s="314" t="s">
        <v>0</v>
      </c>
      <c r="F143" s="314" t="s">
        <v>2044</v>
      </c>
      <c r="G143" s="314" t="s">
        <v>33</v>
      </c>
      <c r="H143" s="299" t="s">
        <v>2608</v>
      </c>
    </row>
    <row r="144" spans="3:8" x14ac:dyDescent="0.25">
      <c r="C144" s="248" t="s">
        <v>1135</v>
      </c>
      <c r="D144" s="248" t="s">
        <v>1136</v>
      </c>
      <c r="E144" s="248" t="s">
        <v>0</v>
      </c>
      <c r="F144" s="248" t="s">
        <v>1137</v>
      </c>
      <c r="G144" s="248" t="s">
        <v>904</v>
      </c>
      <c r="H144" s="297" t="s">
        <v>2593</v>
      </c>
    </row>
    <row r="145" spans="3:9" x14ac:dyDescent="0.25">
      <c r="C145" s="278" t="s">
        <v>2231</v>
      </c>
      <c r="D145" s="278" t="s">
        <v>2232</v>
      </c>
      <c r="E145" s="278" t="s">
        <v>0</v>
      </c>
      <c r="F145" s="278" t="s">
        <v>2233</v>
      </c>
      <c r="G145" s="278" t="s">
        <v>86</v>
      </c>
      <c r="H145" s="298" t="s">
        <v>2608</v>
      </c>
      <c r="I145" s="60" t="s">
        <v>2585</v>
      </c>
    </row>
    <row r="146" spans="3:9" x14ac:dyDescent="0.25">
      <c r="C146" s="278" t="s">
        <v>2480</v>
      </c>
      <c r="D146" s="278" t="s">
        <v>2481</v>
      </c>
      <c r="E146" s="278" t="s">
        <v>0</v>
      </c>
      <c r="F146" s="278" t="s">
        <v>2492</v>
      </c>
      <c r="G146" s="278" t="s">
        <v>2487</v>
      </c>
      <c r="H146" s="298" t="s">
        <v>2608</v>
      </c>
      <c r="I146" s="60" t="s">
        <v>2585</v>
      </c>
    </row>
    <row r="147" spans="3:9" x14ac:dyDescent="0.25">
      <c r="C147" s="314" t="s">
        <v>1768</v>
      </c>
      <c r="D147" s="314" t="s">
        <v>1769</v>
      </c>
      <c r="E147" s="314" t="s">
        <v>12</v>
      </c>
      <c r="F147" s="314" t="s">
        <v>1770</v>
      </c>
      <c r="G147" s="314" t="s">
        <v>340</v>
      </c>
      <c r="H147" s="298" t="s">
        <v>2608</v>
      </c>
    </row>
    <row r="148" spans="3:9" x14ac:dyDescent="0.25">
      <c r="C148" s="314" t="s">
        <v>1774</v>
      </c>
      <c r="D148" s="314" t="s">
        <v>1775</v>
      </c>
      <c r="E148" s="314" t="s">
        <v>12</v>
      </c>
      <c r="F148" s="314" t="s">
        <v>1776</v>
      </c>
      <c r="G148" s="314" t="s">
        <v>1758</v>
      </c>
      <c r="H148" s="298" t="s">
        <v>2608</v>
      </c>
    </row>
    <row r="149" spans="3:9" x14ac:dyDescent="0.25">
      <c r="C149" s="314" t="s">
        <v>202</v>
      </c>
      <c r="D149" s="314" t="s">
        <v>203</v>
      </c>
      <c r="E149" s="314" t="s">
        <v>13</v>
      </c>
      <c r="F149" s="314" t="s">
        <v>204</v>
      </c>
      <c r="G149" s="314" t="s">
        <v>43</v>
      </c>
      <c r="H149" s="298" t="s">
        <v>2608</v>
      </c>
    </row>
    <row r="150" spans="3:9" x14ac:dyDescent="0.25">
      <c r="C150" s="278" t="s">
        <v>2097</v>
      </c>
      <c r="D150" s="278" t="s">
        <v>2098</v>
      </c>
      <c r="E150" s="278" t="s">
        <v>12</v>
      </c>
      <c r="F150" s="278" t="s">
        <v>2099</v>
      </c>
      <c r="G150" s="278" t="s">
        <v>47</v>
      </c>
      <c r="H150" s="298" t="s">
        <v>2608</v>
      </c>
    </row>
    <row r="151" spans="3:9" x14ac:dyDescent="0.25">
      <c r="C151" s="278" t="s">
        <v>926</v>
      </c>
      <c r="D151" s="278" t="s">
        <v>927</v>
      </c>
      <c r="E151" s="278" t="s">
        <v>0</v>
      </c>
      <c r="F151" s="278" t="s">
        <v>387</v>
      </c>
      <c r="G151" s="292" t="s">
        <v>39</v>
      </c>
      <c r="H151" s="299" t="s">
        <v>2608</v>
      </c>
      <c r="I151" t="s">
        <v>2585</v>
      </c>
    </row>
    <row r="152" spans="3:9" x14ac:dyDescent="0.25">
      <c r="C152" s="248" t="s">
        <v>1213</v>
      </c>
      <c r="D152" s="248" t="s">
        <v>1214</v>
      </c>
      <c r="E152" s="248" t="s">
        <v>0</v>
      </c>
      <c r="F152" s="248" t="s">
        <v>1215</v>
      </c>
      <c r="G152" s="248" t="s">
        <v>38</v>
      </c>
      <c r="H152" s="300" t="s">
        <v>2595</v>
      </c>
    </row>
    <row r="155" spans="3:9" x14ac:dyDescent="0.25">
      <c r="E155" s="175" t="s">
        <v>2422</v>
      </c>
      <c r="F155" s="175"/>
      <c r="G155" s="175"/>
      <c r="H155" s="175"/>
    </row>
    <row r="157" spans="3:9" ht="30" x14ac:dyDescent="0.25">
      <c r="C157" s="216" t="s">
        <v>2394</v>
      </c>
      <c r="D157" s="216" t="s">
        <v>2</v>
      </c>
      <c r="E157" s="216" t="s">
        <v>3</v>
      </c>
      <c r="F157" s="216" t="s">
        <v>4</v>
      </c>
      <c r="G157" s="216" t="s">
        <v>2395</v>
      </c>
      <c r="H157" s="216" t="s">
        <v>1359</v>
      </c>
    </row>
    <row r="158" spans="3:9" x14ac:dyDescent="0.25">
      <c r="C158" s="301" t="s">
        <v>1532</v>
      </c>
      <c r="D158" s="301" t="s">
        <v>1533</v>
      </c>
      <c r="E158" s="301" t="s">
        <v>12</v>
      </c>
      <c r="F158" s="302" t="s">
        <v>1534</v>
      </c>
      <c r="G158" s="213" t="s">
        <v>93</v>
      </c>
      <c r="H158" s="282" t="s">
        <v>2610</v>
      </c>
    </row>
    <row r="159" spans="3:9" x14ac:dyDescent="0.25">
      <c r="C159" s="303" t="s">
        <v>1539</v>
      </c>
      <c r="D159" s="303" t="s">
        <v>1540</v>
      </c>
      <c r="E159" s="301" t="s">
        <v>12</v>
      </c>
      <c r="F159" s="304" t="s">
        <v>1541</v>
      </c>
      <c r="G159" s="6" t="s">
        <v>1542</v>
      </c>
      <c r="H159" s="282" t="s">
        <v>2610</v>
      </c>
    </row>
    <row r="160" spans="3:9" x14ac:dyDescent="0.25">
      <c r="C160" s="301" t="s">
        <v>2403</v>
      </c>
      <c r="D160" s="301" t="s">
        <v>2404</v>
      </c>
      <c r="E160" s="301" t="s">
        <v>12</v>
      </c>
      <c r="F160" s="302" t="s">
        <v>2407</v>
      </c>
      <c r="G160" s="213" t="s">
        <v>43</v>
      </c>
      <c r="H160" s="282" t="s">
        <v>2610</v>
      </c>
    </row>
    <row r="161" spans="3:14" x14ac:dyDescent="0.25">
      <c r="C161" s="301" t="s">
        <v>1648</v>
      </c>
      <c r="D161" s="301" t="s">
        <v>1649</v>
      </c>
      <c r="E161" s="301" t="s">
        <v>12</v>
      </c>
      <c r="F161" s="302" t="s">
        <v>1650</v>
      </c>
      <c r="G161" s="213" t="s">
        <v>48</v>
      </c>
      <c r="H161" s="276" t="s">
        <v>2423</v>
      </c>
      <c r="L161" s="37" t="s">
        <v>2614</v>
      </c>
      <c r="M161" s="287"/>
      <c r="N161" s="37" t="s">
        <v>2615</v>
      </c>
    </row>
    <row r="162" spans="3:14" x14ac:dyDescent="0.25">
      <c r="C162" s="301" t="s">
        <v>1592</v>
      </c>
      <c r="D162" s="301" t="s">
        <v>1593</v>
      </c>
      <c r="E162" s="301" t="s">
        <v>12</v>
      </c>
      <c r="F162" s="302" t="s">
        <v>1594</v>
      </c>
      <c r="G162" s="213" t="s">
        <v>43</v>
      </c>
      <c r="H162" s="282" t="s">
        <v>2611</v>
      </c>
      <c r="M162" s="288"/>
      <c r="N162" s="37" t="s">
        <v>2616</v>
      </c>
    </row>
    <row r="163" spans="3:14" x14ac:dyDescent="0.25">
      <c r="C163" s="301" t="s">
        <v>765</v>
      </c>
      <c r="D163" s="301" t="s">
        <v>766</v>
      </c>
      <c r="E163" s="301" t="s">
        <v>12</v>
      </c>
      <c r="F163" s="302" t="s">
        <v>767</v>
      </c>
      <c r="G163" s="213" t="s">
        <v>340</v>
      </c>
      <c r="H163" s="282" t="s">
        <v>2611</v>
      </c>
      <c r="M163" s="290"/>
      <c r="N163" s="37" t="s">
        <v>2621</v>
      </c>
    </row>
    <row r="164" spans="3:14" x14ac:dyDescent="0.25">
      <c r="C164" s="301" t="s">
        <v>1774</v>
      </c>
      <c r="D164" s="301" t="s">
        <v>1775</v>
      </c>
      <c r="E164" s="301" t="s">
        <v>12</v>
      </c>
      <c r="F164" s="302" t="s">
        <v>1776</v>
      </c>
      <c r="G164" s="213" t="s">
        <v>1758</v>
      </c>
      <c r="H164" s="282" t="s">
        <v>2611</v>
      </c>
      <c r="M164" s="291"/>
      <c r="N164" s="37" t="s">
        <v>2617</v>
      </c>
    </row>
    <row r="165" spans="3:14" x14ac:dyDescent="0.25">
      <c r="C165" s="303" t="s">
        <v>1588</v>
      </c>
      <c r="D165" s="303" t="s">
        <v>1589</v>
      </c>
      <c r="E165" s="301" t="s">
        <v>12</v>
      </c>
      <c r="F165" s="304" t="s">
        <v>1590</v>
      </c>
      <c r="G165" s="6" t="s">
        <v>1591</v>
      </c>
      <c r="H165" s="282" t="s">
        <v>2611</v>
      </c>
      <c r="M165" s="289"/>
      <c r="N165" s="37" t="s">
        <v>2618</v>
      </c>
    </row>
    <row r="166" spans="3:14" x14ac:dyDescent="0.25">
      <c r="C166" s="301" t="s">
        <v>713</v>
      </c>
      <c r="D166" s="301" t="s">
        <v>714</v>
      </c>
      <c r="E166" s="301" t="s">
        <v>12</v>
      </c>
      <c r="F166" s="302" t="s">
        <v>715</v>
      </c>
      <c r="G166" s="213" t="s">
        <v>664</v>
      </c>
      <c r="H166" s="282" t="s">
        <v>2611</v>
      </c>
      <c r="M166" s="305"/>
      <c r="N166" s="37" t="s">
        <v>2624</v>
      </c>
    </row>
    <row r="167" spans="3:14" x14ac:dyDescent="0.25">
      <c r="C167" s="301" t="s">
        <v>1771</v>
      </c>
      <c r="D167" s="301" t="s">
        <v>1772</v>
      </c>
      <c r="E167" s="301" t="s">
        <v>12</v>
      </c>
      <c r="F167" s="302" t="s">
        <v>1773</v>
      </c>
      <c r="G167" s="213" t="s">
        <v>48</v>
      </c>
      <c r="H167" s="282" t="s">
        <v>2611</v>
      </c>
    </row>
    <row r="168" spans="3:14" x14ac:dyDescent="0.25">
      <c r="C168" s="301" t="s">
        <v>271</v>
      </c>
      <c r="D168" s="301" t="s">
        <v>272</v>
      </c>
      <c r="E168" s="301" t="s">
        <v>13</v>
      </c>
      <c r="F168" s="302" t="s">
        <v>273</v>
      </c>
      <c r="G168" s="213" t="s">
        <v>43</v>
      </c>
      <c r="H168" s="282" t="s">
        <v>2611</v>
      </c>
    </row>
    <row r="169" spans="3:14" x14ac:dyDescent="0.25">
      <c r="C169" s="301" t="s">
        <v>995</v>
      </c>
      <c r="D169" s="301" t="s">
        <v>996</v>
      </c>
      <c r="E169" s="301" t="s">
        <v>0</v>
      </c>
      <c r="F169" s="302" t="s">
        <v>997</v>
      </c>
      <c r="G169" s="213" t="s">
        <v>33</v>
      </c>
      <c r="H169" s="282" t="s">
        <v>2611</v>
      </c>
    </row>
    <row r="170" spans="3:14" ht="14.25" customHeight="1" x14ac:dyDescent="0.25">
      <c r="C170" s="301" t="s">
        <v>2288</v>
      </c>
      <c r="D170" s="301" t="s">
        <v>2289</v>
      </c>
      <c r="E170" s="301" t="s">
        <v>0</v>
      </c>
      <c r="F170" s="302" t="s">
        <v>2290</v>
      </c>
      <c r="G170" s="213" t="s">
        <v>0</v>
      </c>
      <c r="H170" s="308" t="s">
        <v>2613</v>
      </c>
      <c r="I170" s="307" t="s">
        <v>2585</v>
      </c>
    </row>
    <row r="171" spans="3:14" x14ac:dyDescent="0.25">
      <c r="C171" s="301" t="s">
        <v>1915</v>
      </c>
      <c r="D171" s="301" t="s">
        <v>1916</v>
      </c>
      <c r="E171" s="301" t="s">
        <v>0</v>
      </c>
      <c r="F171" s="302" t="s">
        <v>1917</v>
      </c>
      <c r="G171" s="213" t="s">
        <v>896</v>
      </c>
      <c r="H171" s="282" t="s">
        <v>2397</v>
      </c>
    </row>
    <row r="172" spans="3:14" x14ac:dyDescent="0.25">
      <c r="C172" s="301" t="s">
        <v>1284</v>
      </c>
      <c r="D172" s="301" t="s">
        <v>1285</v>
      </c>
      <c r="E172" s="301" t="s">
        <v>0</v>
      </c>
      <c r="F172" s="302" t="s">
        <v>1286</v>
      </c>
      <c r="G172" s="213" t="s">
        <v>911</v>
      </c>
      <c r="H172" s="285" t="s">
        <v>2612</v>
      </c>
    </row>
    <row r="173" spans="3:14" x14ac:dyDescent="0.25">
      <c r="C173" s="301" t="s">
        <v>1907</v>
      </c>
      <c r="D173" s="301" t="s">
        <v>1908</v>
      </c>
      <c r="E173" s="301" t="s">
        <v>0</v>
      </c>
      <c r="F173" s="302" t="s">
        <v>1909</v>
      </c>
      <c r="G173" s="213" t="s">
        <v>39</v>
      </c>
      <c r="H173" s="286" t="s">
        <v>2609</v>
      </c>
    </row>
    <row r="174" spans="3:14" x14ac:dyDescent="0.25">
      <c r="C174" s="301" t="s">
        <v>1919</v>
      </c>
      <c r="D174" s="301" t="s">
        <v>1920</v>
      </c>
      <c r="E174" s="301" t="s">
        <v>0</v>
      </c>
      <c r="F174" s="302" t="s">
        <v>1918</v>
      </c>
      <c r="G174" s="213" t="s">
        <v>994</v>
      </c>
      <c r="H174" s="309" t="s">
        <v>2398</v>
      </c>
      <c r="I174" s="307" t="s">
        <v>2585</v>
      </c>
      <c r="L174" s="37" t="s">
        <v>2614</v>
      </c>
      <c r="M174" s="287"/>
      <c r="N174" s="37" t="s">
        <v>2615</v>
      </c>
    </row>
    <row r="175" spans="3:14" ht="15" customHeight="1" x14ac:dyDescent="0.25">
      <c r="C175" s="301" t="s">
        <v>1958</v>
      </c>
      <c r="D175" s="301" t="s">
        <v>1959</v>
      </c>
      <c r="E175" s="301" t="s">
        <v>0</v>
      </c>
      <c r="F175" s="302" t="s">
        <v>1960</v>
      </c>
      <c r="G175" s="213" t="s">
        <v>892</v>
      </c>
      <c r="H175" s="283" t="s">
        <v>2397</v>
      </c>
      <c r="M175" s="288"/>
      <c r="N175" s="37" t="s">
        <v>2616</v>
      </c>
    </row>
    <row r="176" spans="3:14" x14ac:dyDescent="0.25">
      <c r="C176" s="301" t="s">
        <v>1067</v>
      </c>
      <c r="D176" s="301" t="s">
        <v>1068</v>
      </c>
      <c r="E176" s="301" t="s">
        <v>0</v>
      </c>
      <c r="F176" s="302" t="s">
        <v>1069</v>
      </c>
      <c r="G176" s="213" t="s">
        <v>994</v>
      </c>
      <c r="H176" s="284" t="s">
        <v>2610</v>
      </c>
      <c r="M176" s="290"/>
      <c r="N176" s="37" t="s">
        <v>2621</v>
      </c>
    </row>
    <row r="177" spans="3:14" x14ac:dyDescent="0.25">
      <c r="C177" s="301" t="s">
        <v>1258</v>
      </c>
      <c r="D177" s="301" t="s">
        <v>1259</v>
      </c>
      <c r="E177" s="301" t="s">
        <v>0</v>
      </c>
      <c r="F177" s="302" t="s">
        <v>1260</v>
      </c>
      <c r="G177" s="213" t="s">
        <v>86</v>
      </c>
      <c r="H177" s="284" t="s">
        <v>2610</v>
      </c>
      <c r="M177" s="291"/>
      <c r="N177" s="37" t="s">
        <v>2617</v>
      </c>
    </row>
    <row r="178" spans="3:14" x14ac:dyDescent="0.25">
      <c r="C178" s="310" t="s">
        <v>2231</v>
      </c>
      <c r="D178" s="310" t="s">
        <v>2232</v>
      </c>
      <c r="E178" s="310" t="s">
        <v>0</v>
      </c>
      <c r="F178" s="310" t="s">
        <v>2233</v>
      </c>
      <c r="G178" s="248" t="s">
        <v>86</v>
      </c>
      <c r="H178" s="284" t="s">
        <v>2610</v>
      </c>
      <c r="I178" s="306" t="s">
        <v>2585</v>
      </c>
      <c r="M178" s="289"/>
      <c r="N178" s="37" t="s">
        <v>2618</v>
      </c>
    </row>
    <row r="179" spans="3:14" x14ac:dyDescent="0.25">
      <c r="C179" s="310" t="s">
        <v>2238</v>
      </c>
      <c r="D179" s="310" t="s">
        <v>2239</v>
      </c>
      <c r="E179" s="310" t="s">
        <v>0</v>
      </c>
      <c r="F179" s="310" t="s">
        <v>2240</v>
      </c>
      <c r="G179" s="248" t="s">
        <v>86</v>
      </c>
      <c r="H179" s="286" t="s">
        <v>2609</v>
      </c>
      <c r="I179" s="306" t="s">
        <v>2585</v>
      </c>
      <c r="K179" t="s">
        <v>51</v>
      </c>
      <c r="M179" s="305"/>
      <c r="N179" s="37" t="s">
        <v>2624</v>
      </c>
    </row>
    <row r="180" spans="3:14" x14ac:dyDescent="0.25">
      <c r="C180" s="310" t="s">
        <v>934</v>
      </c>
      <c r="D180" s="310" t="s">
        <v>935</v>
      </c>
      <c r="E180" s="310" t="s">
        <v>0</v>
      </c>
      <c r="F180" s="310" t="s">
        <v>936</v>
      </c>
      <c r="G180" s="248" t="s">
        <v>937</v>
      </c>
      <c r="H180" s="286" t="s">
        <v>2609</v>
      </c>
      <c r="I180" s="306" t="s">
        <v>2585</v>
      </c>
    </row>
    <row r="181" spans="3:14" x14ac:dyDescent="0.25">
      <c r="C181" s="310" t="s">
        <v>1907</v>
      </c>
      <c r="D181" s="310" t="s">
        <v>1908</v>
      </c>
      <c r="E181" s="310" t="s">
        <v>0</v>
      </c>
      <c r="F181" s="310" t="s">
        <v>1909</v>
      </c>
      <c r="G181" s="248" t="s">
        <v>39</v>
      </c>
      <c r="H181" s="286" t="s">
        <v>2609</v>
      </c>
      <c r="I181" s="306" t="s">
        <v>2585</v>
      </c>
    </row>
    <row r="182" spans="3:14" x14ac:dyDescent="0.25">
      <c r="C182" s="310" t="s">
        <v>1114</v>
      </c>
      <c r="D182" s="310" t="s">
        <v>1115</v>
      </c>
      <c r="E182" s="310" t="s">
        <v>0</v>
      </c>
      <c r="F182" s="310" t="s">
        <v>1116</v>
      </c>
      <c r="G182" s="248" t="s">
        <v>39</v>
      </c>
      <c r="H182" s="285" t="s">
        <v>2612</v>
      </c>
      <c r="I182" s="306" t="s">
        <v>2585</v>
      </c>
    </row>
    <row r="183" spans="3:14" x14ac:dyDescent="0.25">
      <c r="C183" s="310" t="s">
        <v>1123</v>
      </c>
      <c r="D183" s="310" t="s">
        <v>1124</v>
      </c>
      <c r="E183" s="310" t="s">
        <v>0</v>
      </c>
      <c r="F183" s="310" t="s">
        <v>138</v>
      </c>
      <c r="G183" s="248" t="s">
        <v>1125</v>
      </c>
      <c r="H183" s="284" t="s">
        <v>2610</v>
      </c>
      <c r="I183" s="306" t="s">
        <v>2585</v>
      </c>
    </row>
    <row r="184" spans="3:14" x14ac:dyDescent="0.25">
      <c r="C184" s="310" t="s">
        <v>130</v>
      </c>
      <c r="D184" s="310" t="s">
        <v>131</v>
      </c>
      <c r="E184" s="310" t="s">
        <v>0</v>
      </c>
      <c r="F184" s="310" t="s">
        <v>132</v>
      </c>
      <c r="G184" s="248" t="s">
        <v>33</v>
      </c>
      <c r="H184" s="284" t="s">
        <v>2610</v>
      </c>
      <c r="I184" s="306" t="s">
        <v>2585</v>
      </c>
    </row>
    <row r="185" spans="3:14" x14ac:dyDescent="0.25">
      <c r="C185" s="310" t="s">
        <v>133</v>
      </c>
      <c r="D185" s="310" t="s">
        <v>134</v>
      </c>
      <c r="E185" s="310" t="s">
        <v>0</v>
      </c>
      <c r="F185" s="310" t="s">
        <v>135</v>
      </c>
      <c r="G185" s="248" t="s">
        <v>33</v>
      </c>
      <c r="H185" s="284" t="s">
        <v>2610</v>
      </c>
      <c r="I185" s="306" t="s">
        <v>2585</v>
      </c>
    </row>
    <row r="186" spans="3:14" x14ac:dyDescent="0.25">
      <c r="C186" s="310" t="s">
        <v>1976</v>
      </c>
      <c r="D186" s="310" t="s">
        <v>1977</v>
      </c>
      <c r="E186" s="310" t="s">
        <v>0</v>
      </c>
      <c r="F186" s="310" t="s">
        <v>1978</v>
      </c>
      <c r="G186" s="248" t="s">
        <v>39</v>
      </c>
      <c r="H186" s="284" t="s">
        <v>2610</v>
      </c>
      <c r="I186" s="306" t="s">
        <v>2585</v>
      </c>
    </row>
    <row r="187" spans="3:14" x14ac:dyDescent="0.25">
      <c r="C187" s="310" t="s">
        <v>2288</v>
      </c>
      <c r="D187" s="310" t="s">
        <v>2289</v>
      </c>
      <c r="E187" s="310" t="s">
        <v>0</v>
      </c>
      <c r="F187" s="310" t="s">
        <v>2290</v>
      </c>
      <c r="G187" s="248" t="s">
        <v>0</v>
      </c>
      <c r="H187" s="284" t="s">
        <v>2610</v>
      </c>
      <c r="I187" s="306" t="s">
        <v>2585</v>
      </c>
    </row>
    <row r="188" spans="3:14" x14ac:dyDescent="0.25">
      <c r="C188" s="310" t="s">
        <v>2023</v>
      </c>
      <c r="D188" s="310" t="s">
        <v>2024</v>
      </c>
      <c r="E188" s="310" t="s">
        <v>0</v>
      </c>
      <c r="F188" s="310" t="s">
        <v>2025</v>
      </c>
      <c r="G188" s="248" t="s">
        <v>86</v>
      </c>
      <c r="H188" s="284" t="s">
        <v>2610</v>
      </c>
      <c r="I188" s="306" t="s">
        <v>2585</v>
      </c>
    </row>
    <row r="189" spans="3:14" x14ac:dyDescent="0.25">
      <c r="C189" s="310" t="s">
        <v>2081</v>
      </c>
      <c r="D189" s="310" t="s">
        <v>2082</v>
      </c>
      <c r="E189" s="310" t="s">
        <v>12</v>
      </c>
      <c r="F189" s="310" t="s">
        <v>2083</v>
      </c>
      <c r="G189" s="248" t="s">
        <v>12</v>
      </c>
      <c r="H189" s="311" t="s">
        <v>2620</v>
      </c>
      <c r="I189" s="306" t="s">
        <v>2585</v>
      </c>
    </row>
    <row r="190" spans="3:14" x14ac:dyDescent="0.25">
      <c r="C190" s="310" t="s">
        <v>87</v>
      </c>
      <c r="D190" s="310" t="s">
        <v>88</v>
      </c>
      <c r="E190" s="310" t="s">
        <v>0</v>
      </c>
      <c r="F190" s="310" t="s">
        <v>89</v>
      </c>
      <c r="G190" s="248" t="s">
        <v>90</v>
      </c>
      <c r="H190" s="311" t="s">
        <v>2620</v>
      </c>
      <c r="I190" s="306" t="s">
        <v>2585</v>
      </c>
    </row>
    <row r="191" spans="3:14" x14ac:dyDescent="0.25">
      <c r="C191" s="310" t="s">
        <v>551</v>
      </c>
      <c r="D191" s="310" t="s">
        <v>552</v>
      </c>
      <c r="E191" s="310" t="s">
        <v>12</v>
      </c>
      <c r="F191" s="310" t="s">
        <v>553</v>
      </c>
      <c r="G191" s="312" t="s">
        <v>44</v>
      </c>
      <c r="H191" s="309" t="s">
        <v>2398</v>
      </c>
      <c r="I191" s="306" t="s">
        <v>2585</v>
      </c>
    </row>
    <row r="192" spans="3:14" x14ac:dyDescent="0.25">
      <c r="C192" s="310" t="s">
        <v>1689</v>
      </c>
      <c r="D192" s="310" t="s">
        <v>1690</v>
      </c>
      <c r="E192" s="310" t="s">
        <v>12</v>
      </c>
      <c r="F192" s="310" t="s">
        <v>1691</v>
      </c>
      <c r="G192" s="248" t="s">
        <v>47</v>
      </c>
      <c r="H192" s="311" t="s">
        <v>2620</v>
      </c>
      <c r="I192" s="306" t="s">
        <v>2585</v>
      </c>
    </row>
    <row r="193" spans="3:9" x14ac:dyDescent="0.25">
      <c r="C193" s="310" t="s">
        <v>750</v>
      </c>
      <c r="D193" s="310" t="s">
        <v>751</v>
      </c>
      <c r="E193" s="310" t="s">
        <v>12</v>
      </c>
      <c r="F193" s="310" t="s">
        <v>752</v>
      </c>
      <c r="G193" s="248" t="s">
        <v>49</v>
      </c>
      <c r="H193" s="286" t="s">
        <v>2609</v>
      </c>
      <c r="I193" s="306" t="s">
        <v>2585</v>
      </c>
    </row>
    <row r="194" spans="3:9" x14ac:dyDescent="0.25">
      <c r="C194" s="310" t="s">
        <v>1418</v>
      </c>
      <c r="D194" s="310" t="s">
        <v>1419</v>
      </c>
      <c r="E194" s="310" t="s">
        <v>14</v>
      </c>
      <c r="F194" s="310" t="s">
        <v>2372</v>
      </c>
      <c r="G194" s="248" t="s">
        <v>32</v>
      </c>
      <c r="H194" s="313" t="s">
        <v>2623</v>
      </c>
      <c r="I194" s="306" t="s">
        <v>2585</v>
      </c>
    </row>
    <row r="195" spans="3:9" x14ac:dyDescent="0.25">
      <c r="C195" s="310" t="s">
        <v>737</v>
      </c>
      <c r="D195" s="310" t="s">
        <v>738</v>
      </c>
      <c r="E195" s="310" t="s">
        <v>12</v>
      </c>
      <c r="F195" s="310" t="s">
        <v>1345</v>
      </c>
      <c r="G195" s="248" t="s">
        <v>48</v>
      </c>
      <c r="H195" s="285" t="s">
        <v>2612</v>
      </c>
      <c r="I195" s="306" t="s">
        <v>2585</v>
      </c>
    </row>
    <row r="196" spans="3:9" x14ac:dyDescent="0.25">
      <c r="C196" s="310" t="s">
        <v>545</v>
      </c>
      <c r="D196" s="310" t="s">
        <v>546</v>
      </c>
      <c r="E196" s="310" t="s">
        <v>12</v>
      </c>
      <c r="F196" s="310" t="s">
        <v>547</v>
      </c>
      <c r="G196" s="248" t="s">
        <v>49</v>
      </c>
      <c r="H196" s="286" t="s">
        <v>2609</v>
      </c>
      <c r="I196" s="306" t="s">
        <v>2585</v>
      </c>
    </row>
    <row r="197" spans="3:9" x14ac:dyDescent="0.25">
      <c r="C197" s="310" t="s">
        <v>2448</v>
      </c>
      <c r="D197" s="310" t="s">
        <v>2449</v>
      </c>
      <c r="E197" s="310" t="s">
        <v>0</v>
      </c>
      <c r="F197" s="310" t="s">
        <v>2441</v>
      </c>
      <c r="G197" s="248" t="s">
        <v>2453</v>
      </c>
      <c r="H197" s="284" t="s">
        <v>2610</v>
      </c>
      <c r="I197" s="306" t="s">
        <v>2585</v>
      </c>
    </row>
    <row r="198" spans="3:9" x14ac:dyDescent="0.25">
      <c r="C198" s="316" t="s">
        <v>1603</v>
      </c>
      <c r="D198" s="316" t="s">
        <v>1604</v>
      </c>
      <c r="E198" s="316" t="s">
        <v>12</v>
      </c>
      <c r="F198" s="316" t="s">
        <v>1605</v>
      </c>
      <c r="G198" s="248" t="s">
        <v>315</v>
      </c>
      <c r="H198" s="311" t="s">
        <v>2627</v>
      </c>
      <c r="I198" s="315"/>
    </row>
    <row r="199" spans="3:9" x14ac:dyDescent="0.25">
      <c r="C199" s="316" t="s">
        <v>1651</v>
      </c>
      <c r="D199" s="316" t="s">
        <v>1652</v>
      </c>
      <c r="E199" s="316" t="s">
        <v>12</v>
      </c>
      <c r="F199" s="316" t="s">
        <v>1653</v>
      </c>
      <c r="G199" s="248" t="s">
        <v>319</v>
      </c>
      <c r="H199" s="284" t="s">
        <v>2610</v>
      </c>
      <c r="I199" s="315"/>
    </row>
    <row r="200" spans="3:9" x14ac:dyDescent="0.25">
      <c r="C200" s="316" t="s">
        <v>1686</v>
      </c>
      <c r="D200" s="316" t="s">
        <v>1687</v>
      </c>
      <c r="E200" s="316" t="s">
        <v>12</v>
      </c>
      <c r="F200" s="316" t="s">
        <v>1688</v>
      </c>
      <c r="G200" s="248" t="s">
        <v>43</v>
      </c>
      <c r="H200" s="284" t="s">
        <v>2610</v>
      </c>
      <c r="I200" s="315"/>
    </row>
    <row r="201" spans="3:9" x14ac:dyDescent="0.25">
      <c r="C201" s="301" t="s">
        <v>1261</v>
      </c>
      <c r="D201" s="301" t="s">
        <v>1262</v>
      </c>
      <c r="E201" s="301" t="s">
        <v>0</v>
      </c>
      <c r="F201" s="302" t="s">
        <v>1263</v>
      </c>
      <c r="G201" s="213" t="s">
        <v>33</v>
      </c>
      <c r="H201" s="284" t="s">
        <v>2397</v>
      </c>
    </row>
    <row r="202" spans="3:9" x14ac:dyDescent="0.25">
      <c r="C202" s="279"/>
      <c r="D202" s="279"/>
      <c r="E202" s="279"/>
      <c r="F202" s="280"/>
      <c r="G202" s="279"/>
      <c r="H202" s="281"/>
    </row>
  </sheetData>
  <autoFilter ref="C3:H97" xr:uid="{53A5E5F6-0DE8-453C-A8CE-9CCBE8A371B7}"/>
  <mergeCells count="1">
    <mergeCell ref="C1:H1"/>
  </mergeCells>
  <phoneticPr fontId="24" type="noConversion"/>
  <pageMargins left="0.70866141732283472" right="0.70866141732283472" top="0.74803149606299213" bottom="0.74803149606299213" header="0.31496062992125984" footer="0.31496062992125984"/>
  <pageSetup paperSize="9" scale="8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CAJA</vt:lpstr>
      <vt:lpstr>RECIBOS</vt:lpstr>
      <vt:lpstr>INGRESOS</vt:lpstr>
      <vt:lpstr>EGRESOS</vt:lpstr>
      <vt:lpstr>RESUMEN CAJA</vt:lpstr>
      <vt:lpstr>CAJA MAYOR RESUMEN</vt:lpstr>
      <vt:lpstr>MEDI OBS</vt:lpstr>
      <vt:lpstr>DEUDA</vt:lpstr>
      <vt:lpstr>IMPRE</vt:lpstr>
      <vt:lpstr>enero</vt:lpstr>
      <vt:lpstr>corte enero</vt:lpstr>
      <vt:lpstr>'corte enero'!Área_de_impresión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2026-03-06T19:30:26Z</cp:lastPrinted>
  <dcterms:created xsi:type="dcterms:W3CDTF">2024-06-04T19:24:28Z</dcterms:created>
  <dcterms:modified xsi:type="dcterms:W3CDTF">2026-04-28T22:13:39Z</dcterms:modified>
</cp:coreProperties>
</file>