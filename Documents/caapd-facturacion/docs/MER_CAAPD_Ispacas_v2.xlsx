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Entidades" sheetId="2" state="visible" r:id="rId4"/>
    <sheet name="Atributos" sheetId="3" state="visible" r:id="rId5"/>
    <sheet name="Relaciones" sheetId="4" state="visible" r:id="rId6"/>
    <sheet name="Parametros" sheetId="5" state="visible" r:id="rId7"/>
    <sheet name="Calculo_ejemplo" sheetId="6" state="visible" r:id="rId8"/>
    <sheet name="Firestore" sheetId="7" state="visible" r:id="rId9"/>
    <sheet name="Mes_ejemplo" sheetId="8" state="visible" r:id="rId10"/>
    <sheet name="Uso_gratuito" sheetId="9" state="visible" r:id="rId11"/>
    <sheet name="Reglas_negocio" sheetId="10" state="visible" r:id="rId12"/>
    <sheet name="Migracion_datos" sheetId="11" state="visible" r:id="rId13"/>
  </sheets>
  <definedNames>
    <definedName function="false" hidden="true" localSheetId="2" name="_xlnm._FilterDatabase" vbProcedure="false">Atributos!$A$4:$G$51</definedName>
    <definedName function="false" hidden="true" localSheetId="9" name="_xlnm._FilterDatabase" vbProcedure="false">Reglas_negocio!$A$4:$E$30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<sst xmlns="http://schemas.openxmlformats.org/spreadsheetml/2006/main" count="954" uniqueCount="574">
  <si>
    <t xml:space="preserve">MER v2 · Facturación de agua CAAPD Ispacas</t>
  </si>
  <si>
    <t xml:space="preserve">Versión simplificada para Firebase gratuito: 8 entidades, una tabla nueva por mes y respaldo en Excel.</t>
  </si>
  <si>
    <t xml:space="preserve">Cifras del modelo</t>
  </si>
  <si>
    <t xml:space="preserve">Entidades</t>
  </si>
  <si>
    <t xml:space="preserve">Atributos</t>
  </si>
  <si>
    <t xml:space="preserve">Llaves primarias (incluye compuestas)</t>
  </si>
  <si>
    <t xml:space="preserve">Llaves foráneas</t>
  </si>
  <si>
    <t xml:space="preserve">Relaciones</t>
  </si>
  <si>
    <t xml:space="preserve">Hojas</t>
  </si>
  <si>
    <t xml:space="preserve">Las 8 entidades y dónde vive cada una en Firestore.</t>
  </si>
  <si>
    <t xml:space="preserve">Diccionario de datos con formatos de ID, DNI y medidor.</t>
  </si>
  <si>
    <t xml:space="preserve">Cardinalidades y llaves foráneas.</t>
  </si>
  <si>
    <t xml:space="preserve">Parametros</t>
  </si>
  <si>
    <t xml:space="preserve">Tarifas, colores de mora y constantes iniciales.</t>
  </si>
  <si>
    <t xml:space="preserve">Calculo_ejemplo</t>
  </si>
  <si>
    <t xml:space="preserve">Recibo calculado con fórmulas, comprobado contra 17.50, y ejemplos de ceros y guion.</t>
  </si>
  <si>
    <t xml:space="preserve">Firestore</t>
  </si>
  <si>
    <t xml:space="preserve">Estructura de la base en Firebase y consultas de cada parte.</t>
  </si>
  <si>
    <t xml:space="preserve">Mes_ejemplo</t>
  </si>
  <si>
    <t xml:space="preserve">Tabla del mes y formato del Excel de respaldo.</t>
  </si>
  <si>
    <t xml:space="preserve">Uso_gratuito</t>
  </si>
  <si>
    <t xml:space="preserve">Cuánto consume del plan gratuito, con fórmulas.</t>
  </si>
  <si>
    <t xml:space="preserve">Reglas_negocio</t>
  </si>
  <si>
    <t xml:space="preserve">Reglas, supuestos y pendientes.</t>
  </si>
  <si>
    <t xml:space="preserve">Migracion_datos</t>
  </si>
  <si>
    <t xml:space="preserve">Qué ordenar al importar tus dos Excel.</t>
  </si>
  <si>
    <t xml:space="preserve">Qué cambió respecto a la versión anterior</t>
  </si>
  <si>
    <t xml:space="preserve">16 → 8 entidades</t>
  </si>
  <si>
    <t xml:space="preserve">Se quitaron sector, operador, concepto, detalle_recibo, nivel_mora, pago y pago_recibo: el recibo tiene 4 líneas fijas, el pago es una marca en el recibo y los colores de mora son parámetros.</t>
  </si>
  <si>
    <t xml:space="preserve">Usuario y conexión unidos</t>
  </si>
  <si>
    <t xml:space="preserve">Una persona = un código de conexión, aunque tenga varios medidores.</t>
  </si>
  <si>
    <t xml:space="preserve">Medidor</t>
  </si>
  <si>
    <t xml:space="preserve">Sin fechas de instalación ni retiro. Su número es su ID, con mínimo 6 dígitos.</t>
  </si>
  <si>
    <t xml:space="preserve">id_usuario = DNI</t>
  </si>
  <si>
    <t xml:space="preserve">8 dígitos con ceros; -1 y -2 si lo comparten personas distintas; SD-001 si no hay. Con guion = pendiente.</t>
  </si>
  <si>
    <t xml:space="preserve">Tabla nueva cada mes</t>
  </si>
  <si>
    <t xml:space="preserve">Colección mes_aaaa-mm con lectura anterior y actual, recibo y pago, más Excel de respaldo.</t>
  </si>
  <si>
    <t xml:space="preserve">Leyenda de colores</t>
  </si>
  <si>
    <t xml:space="preserve">Texto azul</t>
  </si>
  <si>
    <t xml:space="preserve">Dato editable o de entrada.</t>
  </si>
  <si>
    <t xml:space="preserve">Texto verde</t>
  </si>
  <si>
    <t xml:space="preserve">Enlace a otra hoja.</t>
  </si>
  <si>
    <t xml:space="preserve">Texto negro</t>
  </si>
  <si>
    <t xml:space="preserve">Fórmula o texto fijo.</t>
  </si>
  <si>
    <t xml:space="preserve">Fondo amarillo</t>
  </si>
  <si>
    <t xml:space="preserve">Por definir o confirmar.</t>
  </si>
  <si>
    <t xml:space="preserve">Entidades del MER (versión simplificada)</t>
  </si>
  <si>
    <t xml:space="preserve">8 entidades. Cada mes se crea una tabla nueva con lecturas, recibos y pagos, igual al Excel.</t>
  </si>
  <si>
    <t xml:space="preserve">Entidad</t>
  </si>
  <si>
    <t xml:space="preserve">Tipo</t>
  </si>
  <si>
    <t xml:space="preserve">Propósito</t>
  </si>
  <si>
    <t xml:space="preserve">Dónde vive en Firestore</t>
  </si>
  <si>
    <t xml:space="preserve">Nº atributos</t>
  </si>
  <si>
    <t xml:space="preserve">usuario</t>
  </si>
  <si>
    <t xml:space="preserve">Maestra</t>
  </si>
  <si>
    <t xml:space="preserve">Persona (o institución) con servicio de agua. Una persona = un código de conexión, aunque tenga varios medidores.</t>
  </si>
  <si>
    <t xml:space="preserve">usuarios/{id_usuario}</t>
  </si>
  <si>
    <t xml:space="preserve">medidor</t>
  </si>
  <si>
    <t xml:space="preserve">Medidor de un usuario. Su número es también su ID (mínimo 6 dígitos).</t>
  </si>
  <si>
    <t xml:space="preserve">usuarios/{id}.medidores (lista)</t>
  </si>
  <si>
    <t xml:space="preserve">categoria</t>
  </si>
  <si>
    <t xml:space="preserve">Catálogo</t>
  </si>
  <si>
    <t xml:space="preserve">Categoría de tarifa A, B o C con desagüe y cargo fijo.</t>
  </si>
  <si>
    <t xml:space="preserve">config/general.categorias</t>
  </si>
  <si>
    <t xml:space="preserve">rango_tarifa</t>
  </si>
  <si>
    <t xml:space="preserve">Rangos de m³ con su precio por m³, por categoría.</t>
  </si>
  <si>
    <t xml:space="preserve">config/general.categorias.*.rangos</t>
  </si>
  <si>
    <t xml:space="preserve">periodo</t>
  </si>
  <si>
    <t xml:space="preserve">Transaccional</t>
  </si>
  <si>
    <t xml:space="preserve">Mes de facturación. Cada mes crea una tabla nueva (colección).</t>
  </si>
  <si>
    <t xml:space="preserve">config/general.mes_actual + colección mes_aaaa-mm</t>
  </si>
  <si>
    <t xml:space="preserve">lectura</t>
  </si>
  <si>
    <t xml:space="preserve">Lectura anterior y actual de un medidor en el mes. Es la parte del Excel de lecturas.</t>
  </si>
  <si>
    <t xml:space="preserve">mes_aaaa-mm/{id}.medidores (lista)</t>
  </si>
  <si>
    <t xml:space="preserve">recibo</t>
  </si>
  <si>
    <t xml:space="preserve">Recibo del usuario en el mes: montos, deuda acumulada, meses adeudados y pago.</t>
  </si>
  <si>
    <t xml:space="preserve">mes_aaaa-mm/{id} (campos de recibo y pago)</t>
  </si>
  <si>
    <t xml:space="preserve">parametro</t>
  </si>
  <si>
    <t xml:space="preserve">Configuración</t>
  </si>
  <si>
    <t xml:space="preserve">Constantes editables: resolución, WhatsApp del QR, IGV, días de vencimiento, colores de mora.</t>
  </si>
  <si>
    <t xml:space="preserve">config/general</t>
  </si>
  <si>
    <t xml:space="preserve">Diccionario de datos</t>
  </si>
  <si>
    <t xml:space="preserve">Clave: PK llave primaria, FK llave foránea, UK único. Obligatorio = No significa que acepta NULL.</t>
  </si>
  <si>
    <t xml:space="preserve">Atributo</t>
  </si>
  <si>
    <t xml:space="preserve">Tipo de dato</t>
  </si>
  <si>
    <t xml:space="preserve">Clave</t>
  </si>
  <si>
    <t xml:space="preserve">Referencia (FK →)</t>
  </si>
  <si>
    <t xml:space="preserve">Obligatorio</t>
  </si>
  <si>
    <t xml:space="preserve">Formato / descripción</t>
  </si>
  <si>
    <t xml:space="preserve">id_usuario</t>
  </si>
  <si>
    <t xml:space="preserve">string</t>
  </si>
  <si>
    <t xml:space="preserve">PK</t>
  </si>
  <si>
    <t xml:space="preserve">Sí</t>
  </si>
  <si>
    <t xml:space="preserve">DNI de 8 dígitos con ceros adelante (7654321 → 07654321). Si el DNI lo comparten personas distintas: 07654321-1 y 07654321-2. Sin DNI: SD-001. Con guion = pendiente de corregir.</t>
  </si>
  <si>
    <t xml:space="preserve">nro_conexion</t>
  </si>
  <si>
    <t xml:space="preserve">UK</t>
  </si>
  <si>
    <t xml:space="preserve">6 dígitos (000796). Un solo código por persona.</t>
  </si>
  <si>
    <t xml:space="preserve">nombre</t>
  </si>
  <si>
    <t xml:space="preserve">APELLIDO1 APELLIDO2, NOMBRES.</t>
  </si>
  <si>
    <t xml:space="preserve">sector</t>
  </si>
  <si>
    <t xml:space="preserve">BARRIO DE LUCMANI, BARRIO DE CHAUPI, BARRIO DE PACHAYZA, HUAQUILLO, CHAUPICERCA o AYACUCHO.</t>
  </si>
  <si>
    <t xml:space="preserve">direccion</t>
  </si>
  <si>
    <t xml:space="preserve">Texto libre.</t>
  </si>
  <si>
    <t xml:space="preserve">codigo_categoria</t>
  </si>
  <si>
    <t xml:space="preserve">FK</t>
  </si>
  <si>
    <t xml:space="preserve">categoria.codigo</t>
  </si>
  <si>
    <t xml:space="preserve">A, B o C.</t>
  </si>
  <si>
    <t xml:space="preserve">activo</t>
  </si>
  <si>
    <t xml:space="preserve">bool</t>
  </si>
  <si>
    <t xml:space="preserve">Los inactivos no se importan.</t>
  </si>
  <si>
    <t xml:space="preserve">nro_medidor</t>
  </si>
  <si>
    <t xml:space="preserve">Mínimo 6 dígitos con ceros adelante (100 → 000100). Si ya tiene 6 o más, no se cambia. Es también su ID.</t>
  </si>
  <si>
    <t xml:space="preserve">usuario.id_usuario</t>
  </si>
  <si>
    <t xml:space="preserve">Dueño del medidor. Un usuario puede tener varios.</t>
  </si>
  <si>
    <t xml:space="preserve">Un medidor reemplazado pasa a falso.</t>
  </si>
  <si>
    <t xml:space="preserve">codigo</t>
  </si>
  <si>
    <t xml:space="preserve">Doméstico, Negocio pequeño, Hotel o Restaurante.</t>
  </si>
  <si>
    <t xml:space="preserve">tarifa_desague</t>
  </si>
  <si>
    <t xml:space="preserve">decimal</t>
  </si>
  <si>
    <t xml:space="preserve">Valor constante por categoría.</t>
  </si>
  <si>
    <t xml:space="preserve">cargo_fijo</t>
  </si>
  <si>
    <t xml:space="preserve">Editable por el dueño.</t>
  </si>
  <si>
    <t xml:space="preserve">PK, FK</t>
  </si>
  <si>
    <t xml:space="preserve">Categoría a la que aplica.</t>
  </si>
  <si>
    <t xml:space="preserve">m3_desde</t>
  </si>
  <si>
    <t xml:space="preserve">Inicio del rango en m³.</t>
  </si>
  <si>
    <t xml:space="preserve">m3_hasta</t>
  </si>
  <si>
    <t xml:space="preserve">No</t>
  </si>
  <si>
    <t xml:space="preserve">NULL = sin tope.</t>
  </si>
  <si>
    <t xml:space="preserve">precio_m3</t>
  </si>
  <si>
    <t xml:space="preserve">Precio por m³ en el rango.</t>
  </si>
  <si>
    <t xml:space="preserve">aaaa-mm, ej. 2026-09. La temporada (AGOSTO 2026) se deriva de este dato.</t>
  </si>
  <si>
    <t xml:space="preserve">fecha_emision</t>
  </si>
  <si>
    <t xml:space="preserve">date</t>
  </si>
  <si>
    <t xml:space="preserve">Fecha de emisión de los recibos del mes.</t>
  </si>
  <si>
    <t xml:space="preserve">fecha_vencimiento</t>
  </si>
  <si>
    <t xml:space="preserve">Último día de pago.</t>
  </si>
  <si>
    <t xml:space="preserve">estado</t>
  </si>
  <si>
    <t xml:space="preserve">ABIERTO o FACTURADO.</t>
  </si>
  <si>
    <t xml:space="preserve">periodo.periodo</t>
  </si>
  <si>
    <t xml:space="preserve">Mes de la lectura.</t>
  </si>
  <si>
    <t xml:space="preserve">medidor.nro_medidor</t>
  </si>
  <si>
    <t xml:space="preserve">Medidor leído.</t>
  </si>
  <si>
    <t xml:space="preserve">lectura_anterior</t>
  </si>
  <si>
    <t xml:space="preserve">Copia de la lectura actual del mes previo. En un medidor nuevo, su lectura inicial.</t>
  </si>
  <si>
    <t xml:space="preserve">fecha_anterior</t>
  </si>
  <si>
    <t xml:space="preserve">Copia de fecha_lectura del mes previo. Se imprime en el recibo como inicio del ciclo.</t>
  </si>
  <si>
    <t xml:space="preserve">lectura_actual</t>
  </si>
  <si>
    <t xml:space="preserve">NULL hasta que el lector la ingrese.</t>
  </si>
  <si>
    <t xml:space="preserve">fecha_lectura</t>
  </si>
  <si>
    <t xml:space="preserve">Se registra al guardar la lectura.</t>
  </si>
  <si>
    <t xml:space="preserve">consumo_m3</t>
  </si>
  <si>
    <t xml:space="preserve">lectura_actual − lectura_anterior. Editable si hay novedad.</t>
  </si>
  <si>
    <t xml:space="preserve">novedad</t>
  </si>
  <si>
    <t xml:space="preserve">Ej. CAMBIO DE MEDIDOR. Obligatoria si la actual es menor que la anterior.</t>
  </si>
  <si>
    <t xml:space="preserve">Mes del recibo.</t>
  </si>
  <si>
    <t xml:space="preserve">Usuario facturado.</t>
  </si>
  <si>
    <t xml:space="preserve">nro_recibo</t>
  </si>
  <si>
    <t xml:space="preserve">9 dígitos (000058391), correlativo.</t>
  </si>
  <si>
    <t xml:space="preserve">consumo_total_m3</t>
  </si>
  <si>
    <t xml:space="preserve">Suma de los consumos de sus medidores.</t>
  </si>
  <si>
    <t xml:space="preserve">monto_agua</t>
  </si>
  <si>
    <t xml:space="preserve">consumo × precio del rango (concepto 001).</t>
  </si>
  <si>
    <t xml:space="preserve">monto_desague</t>
  </si>
  <si>
    <t xml:space="preserve">Constante por categoría (concepto 008).</t>
  </si>
  <si>
    <t xml:space="preserve">Editable por el dueño (concepto 407).</t>
  </si>
  <si>
    <t xml:space="preserve">deuda_anterior</t>
  </si>
  <si>
    <t xml:space="preserve">MAX(0, total_a_pagar anterior − monto_pagado anterior). Se acumula sola porque el total anterior ya incluye su propia deuda.</t>
  </si>
  <si>
    <t xml:space="preserve">igv</t>
  </si>
  <si>
    <t xml:space="preserve">0.00 si IGV_ACTIVO es falso.</t>
  </si>
  <si>
    <t xml:space="preserve">redondeo</t>
  </si>
  <si>
    <t xml:space="preserve">Centésimas restadas para dejar el total en múltiplo de 0.10.</t>
  </si>
  <si>
    <t xml:space="preserve">total_a_pagar</t>
  </si>
  <si>
    <t xml:space="preserve">agua + desagüe + cargo fijo + deuda + IGV − redondeo.</t>
  </si>
  <si>
    <t xml:space="preserve">meses_adeudados</t>
  </si>
  <si>
    <t xml:space="preserve">int</t>
  </si>
  <si>
    <t xml:space="preserve">1 si el recibo anterior está pagado o no existe; si no, los del anterior + 1.</t>
  </si>
  <si>
    <t xml:space="preserve">monto_pagado</t>
  </si>
  <si>
    <t xml:space="preserve">0 hasta que la secretaria marque el pago.</t>
  </si>
  <si>
    <t xml:space="preserve">fecha_pago</t>
  </si>
  <si>
    <t xml:space="preserve">Fecha en que se marcó el pago.</t>
  </si>
  <si>
    <t xml:space="preserve">clave</t>
  </si>
  <si>
    <t xml:space="preserve">Ej. IGV_ACTIVO, WHATSAPP, RESOLUCION.</t>
  </si>
  <si>
    <t xml:space="preserve">valor</t>
  </si>
  <si>
    <t xml:space="preserve">Valor de la constante.</t>
  </si>
  <si>
    <t xml:space="preserve">descripcion</t>
  </si>
  <si>
    <t xml:space="preserve">Explicación.</t>
  </si>
  <si>
    <t xml:space="preserve">Relaciones y cardinalidades</t>
  </si>
  <si>
    <t xml:space="preserve">Lado izquierdo : lado derecho. La llave foránea está en la entidad del lado N.</t>
  </si>
  <si>
    <t xml:space="preserve">Entidad A</t>
  </si>
  <si>
    <t xml:space="preserve">Entidad B</t>
  </si>
  <si>
    <t xml:space="preserve">Cardinalidad</t>
  </si>
  <si>
    <t xml:space="preserve">Verbo</t>
  </si>
  <si>
    <t xml:space="preserve">Llave foránea</t>
  </si>
  <si>
    <t xml:space="preserve">Nota</t>
  </si>
  <si>
    <t xml:space="preserve">1 : N</t>
  </si>
  <si>
    <t xml:space="preserve">clasifica</t>
  </si>
  <si>
    <t xml:space="preserve">usuario.codigo_categoria</t>
  </si>
  <si>
    <t xml:space="preserve">Define la tarifa.</t>
  </si>
  <si>
    <t xml:space="preserve">define</t>
  </si>
  <si>
    <t xml:space="preserve">rango_tarifa.codigo_categoria</t>
  </si>
  <si>
    <t xml:space="preserve">Rangos de precio por m³.</t>
  </si>
  <si>
    <t xml:space="preserve">1 : 0..N</t>
  </si>
  <si>
    <t xml:space="preserve">posee</t>
  </si>
  <si>
    <t xml:space="preserve">medidor.id_usuario</t>
  </si>
  <si>
    <t xml:space="preserve">Una persona puede tener varios medidores y un solo código de conexión.</t>
  </si>
  <si>
    <t xml:space="preserve">contiene</t>
  </si>
  <si>
    <t xml:space="preserve">lectura.periodo</t>
  </si>
  <si>
    <t xml:space="preserve">La tabla de lecturas del mes.</t>
  </si>
  <si>
    <t xml:space="preserve">registra</t>
  </si>
  <si>
    <t xml:space="preserve">lectura.nro_medidor</t>
  </si>
  <si>
    <t xml:space="preserve">Una lectura por medidor y mes.</t>
  </si>
  <si>
    <t xml:space="preserve">emite</t>
  </si>
  <si>
    <t xml:space="preserve">recibo.periodo</t>
  </si>
  <si>
    <t xml:space="preserve">Un recibo por usuario y mes.</t>
  </si>
  <si>
    <t xml:space="preserve">recibe</t>
  </si>
  <si>
    <t xml:space="preserve">recibo.id_usuario</t>
  </si>
  <si>
    <t xml:space="preserve">El consumo del recibo es la suma de las lecturas de sus medidores.</t>
  </si>
  <si>
    <t xml:space="preserve">Parámetros y catálogos iniciales</t>
  </si>
  <si>
    <t xml:space="preserve">Azul = editable · Amarillo = por definir o confirmar con el dueño. Todo esto vive en un solo documento: config/general.</t>
  </si>
  <si>
    <t xml:space="preserve">A</t>
  </si>
  <si>
    <t xml:space="preserve">Doméstico</t>
  </si>
  <si>
    <t xml:space="preserve">Desagüe 0.00 y cargo fijo 1.50 tomados del recibo de agosto 2026.</t>
  </si>
  <si>
    <t xml:space="preserve">B</t>
  </si>
  <si>
    <t xml:space="preserve">Negocio pequeño</t>
  </si>
  <si>
    <t xml:space="preserve">Por definir.</t>
  </si>
  <si>
    <t xml:space="preserve">C</t>
  </si>
  <si>
    <t xml:space="preserve">Hotel o Restaurante</t>
  </si>
  <si>
    <t xml:space="preserve">Inferido: 16 m³ = S/ 16.00 en el recibo de ejemplo. Confirmar rangos y si el precio aplica a todo el consumo o por tramos.</t>
  </si>
  <si>
    <t xml:space="preserve">colores de mora (dentro de parametro)</t>
  </si>
  <si>
    <t xml:space="preserve">meses_min</t>
  </si>
  <si>
    <t xml:space="preserve">color_hex</t>
  </si>
  <si>
    <t xml:space="preserve">incluir_en_corte</t>
  </si>
  <si>
    <t xml:space="preserve">AZUL</t>
  </si>
  <si>
    <t xml:space="preserve">1E88E5</t>
  </si>
  <si>
    <t xml:space="preserve">Debe el mes.</t>
  </si>
  <si>
    <t xml:space="preserve">NARANJA</t>
  </si>
  <si>
    <t xml:space="preserve">FB8C00</t>
  </si>
  <si>
    <t xml:space="preserve">Debe 2 meses.</t>
  </si>
  <si>
    <t xml:space="preserve">ROJO</t>
  </si>
  <si>
    <t xml:space="preserve">E53935</t>
  </si>
  <si>
    <t xml:space="preserve">Debe 3 meses o más: entra al reporte de corte. Si el recibo está pagado no lleva color. Los hex son sugeridos.</t>
  </si>
  <si>
    <t xml:space="preserve">Descripción</t>
  </si>
  <si>
    <t xml:space="preserve">RESOLUCION</t>
  </si>
  <si>
    <t xml:space="preserve">192-2017</t>
  </si>
  <si>
    <t xml:space="preserve">Resolución impresa en el recibo.</t>
  </si>
  <si>
    <t xml:space="preserve">IGV_ACTIVO</t>
  </si>
  <si>
    <t xml:space="preserve">Interruptor del IGV. En el recibo de ejemplo el IGV es 0.00.</t>
  </si>
  <si>
    <t xml:space="preserve">IGV_PORCENTAJE</t>
  </si>
  <si>
    <t xml:space="preserve">Tasa del IGV (documento de variables: 18%). Se aplica solo a lo afecto.</t>
  </si>
  <si>
    <t xml:space="preserve">DIAS_VENCIMIENTO</t>
  </si>
  <si>
    <t xml:space="preserve">Inferido: emisión 08-08-2026, vence 23-08-2026. Confirmar.</t>
  </si>
  <si>
    <t xml:space="preserve">WHATSAPP</t>
  </si>
  <si>
    <t xml:space="preserve">Número al que apunta el QR de consultas. Por definir.</t>
  </si>
  <si>
    <t xml:space="preserve">TELEFONO_COMITE</t>
  </si>
  <si>
    <t xml:space="preserve">986054179</t>
  </si>
  <si>
    <t xml:space="preserve">Celular del encabezado del recibo.</t>
  </si>
  <si>
    <t xml:space="preserve">ULTIMO_RECIBO</t>
  </si>
  <si>
    <t xml:space="preserve">Último número de recibo emitido; la PC suma 1 por cada recibo. Por definir.</t>
  </si>
  <si>
    <t xml:space="preserve">NOMBRE_COMITE</t>
  </si>
  <si>
    <t xml:space="preserve">COMITÉ DE ADMINISTRACIÓN DE AGUA POTABLE Y DESAGÜE DE LA COMUNIDAD CAMPESINA DE ISPACAS</t>
  </si>
  <si>
    <t xml:space="preserve">Encabezado del recibo.</t>
  </si>
  <si>
    <t xml:space="preserve">DIRECCION_COMITE</t>
  </si>
  <si>
    <t xml:space="preserve">Calle 5 de Agosto s/n - Distrito de Yanaquihua - Provincia de Condesuyos - Región Arequipa</t>
  </si>
  <si>
    <t xml:space="preserve">sectores (lista dentro de parametro)</t>
  </si>
  <si>
    <t xml:space="preserve">BARRIO DE CHAUPI</t>
  </si>
  <si>
    <t xml:space="preserve">Un sector = una hoja en el Excel de respaldo.</t>
  </si>
  <si>
    <t xml:space="preserve">BARRIO DE PACHAYZA</t>
  </si>
  <si>
    <t xml:space="preserve">BARRIO DE LUCMANI</t>
  </si>
  <si>
    <t xml:space="preserve">HUAQUILLO</t>
  </si>
  <si>
    <t xml:space="preserve">CHAUPICERCA</t>
  </si>
  <si>
    <t xml:space="preserve">AYACUCHO</t>
  </si>
  <si>
    <t xml:space="preserve">Cálculo de un recibo (ejemplo)</t>
  </si>
  <si>
    <t xml:space="preserve">Reproduce el recibo de agosto 2026. Azul = editable · Verde = enlace a Parametros · Negro = fórmula.</t>
  </si>
  <si>
    <t xml:space="preserve">Entradas</t>
  </si>
  <si>
    <t xml:space="preserve">medidor 1: lectura_anterior</t>
  </si>
  <si>
    <t xml:space="preserve">Recibo: L. Anterior 42.00</t>
  </si>
  <si>
    <t xml:space="preserve">medidor 1: lectura_actual</t>
  </si>
  <si>
    <t xml:space="preserve">Recibo: L. Actual 58.00</t>
  </si>
  <si>
    <t xml:space="preserve">medidor 2: lectura_anterior</t>
  </si>
  <si>
    <t xml:space="preserve">Opcional: una persona puede tener más medidores.</t>
  </si>
  <si>
    <t xml:space="preserve">medidor 2: lectura_actual</t>
  </si>
  <si>
    <t xml:space="preserve">recibo anterior: total_a_pagar</t>
  </si>
  <si>
    <t xml:space="preserve">0 = no hay recibo anterior.</t>
  </si>
  <si>
    <t xml:space="preserve">recibo anterior: monto_pagado</t>
  </si>
  <si>
    <t xml:space="preserve">recibo anterior: meses_adeudados</t>
  </si>
  <si>
    <t xml:space="preserve">este recibo: monto_pagado</t>
  </si>
  <si>
    <t xml:space="preserve">Poner el total para ver el estado AL DIA.</t>
  </si>
  <si>
    <t xml:space="preserve">Parámetros (desde Parametros)</t>
  </si>
  <si>
    <t xml:space="preserve">Categoría A.</t>
  </si>
  <si>
    <t xml:space="preserve">Cambia a VERDADERO en Parametros para probar el IGV.</t>
  </si>
  <si>
    <t xml:space="preserve">Cálculo del recibo</t>
  </si>
  <si>
    <t xml:space="preserve">Suma de los medidores.</t>
  </si>
  <si>
    <t xml:space="preserve">consumo × precio_m3 (un solo rango supuesto).</t>
  </si>
  <si>
    <t xml:space="preserve">Lo que quedó sin pagar del recibo anterior (ya incluye sus deudas previas).</t>
  </si>
  <si>
    <t xml:space="preserve">subtotal_afecto</t>
  </si>
  <si>
    <t xml:space="preserve">Agua, desagüe y cargo fijo.</t>
  </si>
  <si>
    <t xml:space="preserve">Solo sobre lo afecto (supuesto).</t>
  </si>
  <si>
    <t xml:space="preserve">total_antes_de_redondeo</t>
  </si>
  <si>
    <t xml:space="preserve">Se restan las centésimas.</t>
  </si>
  <si>
    <t xml:space="preserve">Total antes de redondeo − redondeo.</t>
  </si>
  <si>
    <t xml:space="preserve">total_mes (sin deuda)</t>
  </si>
  <si>
    <t xml:space="preserve">Se imprime como TOTAL MES.</t>
  </si>
  <si>
    <t xml:space="preserve">Mora</t>
  </si>
  <si>
    <t xml:space="preserve">1 si el anterior está pagado o no existe; si no, el anterior + 1.</t>
  </si>
  <si>
    <t xml:space="preserve">estado del recibo</t>
  </si>
  <si>
    <t xml:space="preserve">Color del recibo según Parametros.</t>
  </si>
  <si>
    <t xml:space="preserve">Verificación con el recibo de ejemplo</t>
  </si>
  <si>
    <t xml:space="preserve">TOTAL A PAGAR impreso</t>
  </si>
  <si>
    <t xml:space="preserve">Dato de la foto del recibo.</t>
  </si>
  <si>
    <t xml:space="preserve">Resultado</t>
  </si>
  <si>
    <t xml:space="preserve">Solo válido con las entradas originales.</t>
  </si>
  <si>
    <t xml:space="preserve">Formato de códigos (ceros a la izquierda y guion)</t>
  </si>
  <si>
    <t xml:space="preserve">Medidor (mínimo 6 dígitos)</t>
  </si>
  <si>
    <t xml:space="preserve">Medidor de 8 dígitos (no cambia)</t>
  </si>
  <si>
    <t xml:space="preserve">DNI de 7 dígitos (8 con cero adelante)</t>
  </si>
  <si>
    <t xml:space="preserve">DNI de 8 dígitos</t>
  </si>
  <si>
    <t xml:space="preserve">DNI compartido: 1.ª persona</t>
  </si>
  <si>
    <t xml:space="preserve">DNI compartido: 2.ª persona</t>
  </si>
  <si>
    <t xml:space="preserve">Código de conexión</t>
  </si>
  <si>
    <t xml:space="preserve">Número de recibo</t>
  </si>
  <si>
    <t xml:space="preserve">Base de datos en Firebase (Firestore) lo más simple</t>
  </si>
  <si>
    <t xml:space="preserve">3 lugares: config/general, usuarios y una colección nueva por mes. Los nombres de campo son los mismos del MER.</t>
  </si>
  <si>
    <t xml:space="preserve">Colección / documento</t>
  </si>
  <si>
    <t xml:space="preserve">Campo</t>
  </si>
  <si>
    <t xml:space="preserve">Lo escribe</t>
  </si>
  <si>
    <t xml:space="preserve">Ejemplo</t>
  </si>
  <si>
    <t xml:space="preserve">empresa</t>
  </si>
  <si>
    <t xml:space="preserve">map</t>
  </si>
  <si>
    <t xml:space="preserve">PC</t>
  </si>
  <si>
    <t xml:space="preserve">{nombre, resolucion:"192-2017", telefono, whatsapp, direccion}</t>
  </si>
  <si>
    <t xml:space="preserve">Constantes del recibo.</t>
  </si>
  <si>
    <t xml:space="preserve">{activo:false, porcentaje:0.18}</t>
  </si>
  <si>
    <t xml:space="preserve">dias_vencimiento</t>
  </si>
  <si>
    <t xml:space="preserve">number</t>
  </si>
  <si>
    <t xml:space="preserve">15</t>
  </si>
  <si>
    <t xml:space="preserve">ultimo_recibo</t>
  </si>
  <si>
    <t xml:space="preserve">58391</t>
  </si>
  <si>
    <t xml:space="preserve">Correlativo.</t>
  </si>
  <si>
    <t xml:space="preserve">sectores</t>
  </si>
  <si>
    <t xml:space="preserve">array&lt;string&gt;</t>
  </si>
  <si>
    <t xml:space="preserve">["BARRIO DE CHAUPI", ...]</t>
  </si>
  <si>
    <t xml:space="preserve">categorias</t>
  </si>
  <si>
    <t xml:space="preserve">{A:{nombre:"Doméstico", tarifa_desague:0, cargo_fijo:1.5, rangos:[{m3_desde:0, m3_hasta:null, precio_m3:1}]}}</t>
  </si>
  <si>
    <t xml:space="preserve">Categorías y rangos juntos.</t>
  </si>
  <si>
    <t xml:space="preserve">mora</t>
  </si>
  <si>
    <t xml:space="preserve">array&lt;map&gt;</t>
  </si>
  <si>
    <t xml:space="preserve">[{meses_min:1, nombre:"AZUL", color:"#1E88E5"}, {2,NARANJA}, {3,ROJO,corte:true}]</t>
  </si>
  <si>
    <t xml:space="preserve">mes_actual</t>
  </si>
  <si>
    <t xml:space="preserve">{periodo:"2026-09", fecha_emision:"2026-09-08", fecha_vencimiento:"2026-09-23", estado:"ABIERTO"}</t>
  </si>
  <si>
    <t xml:space="preserve">La app lee este documento para saber qué colección usar.</t>
  </si>
  <si>
    <t xml:space="preserve">(ID del documento)</t>
  </si>
  <si>
    <t xml:space="preserve">07654321 · 07654321-1 · SD-001</t>
  </si>
  <si>
    <t xml:space="preserve">Con guion = pendiente de corregir el DNI.</t>
  </si>
  <si>
    <t xml:space="preserve">000796</t>
  </si>
  <si>
    <t xml:space="preserve">ALVAREZ CHUQUIYANQUI, MARIBEL NAYELI</t>
  </si>
  <si>
    <t xml:space="preserve">AUCAYPATA S/N</t>
  </si>
  <si>
    <t xml:space="preserve">true</t>
  </si>
  <si>
    <t xml:space="preserve">medidores</t>
  </si>
  <si>
    <t xml:space="preserve">["000100", "003200"]</t>
  </si>
  <si>
    <t xml:space="preserve">Solo los medidores activos.</t>
  </si>
  <si>
    <t xml:space="preserve">mes_aaaa-mm/{id_usuario}</t>
  </si>
  <si>
    <t xml:space="preserve">Igual al id_usuario</t>
  </si>
  <si>
    <t xml:space="preserve">Una colección nueva cada mes (mes_2026-09). Es la tabla del mes.</t>
  </si>
  <si>
    <t xml:space="preserve">nro_conexion, nombre, sector, direccion, codigo_categoria</t>
  </si>
  <si>
    <t xml:space="preserve">copia del padrón</t>
  </si>
  <si>
    <t xml:space="preserve">La crea la PC al abrir el mes; así la app de lectura no consulta usuarios.</t>
  </si>
  <si>
    <t xml:space="preserve">PC crea · Lector completa</t>
  </si>
  <si>
    <t xml:space="preserve">[{nro_medidor:"000100", lectura_anterior:120, fecha_anterior:"2026-08-07", lectura_actual:131, fecha_lectura:"2026-09-07", novedad:""}]</t>
  </si>
  <si>
    <t xml:space="preserve">Una entrada por medidor.</t>
  </si>
  <si>
    <t xml:space="preserve">App del lector</t>
  </si>
  <si>
    <t xml:space="preserve">Suma de los consumos.</t>
  </si>
  <si>
    <t xml:space="preserve">historial_m3</t>
  </si>
  <si>
    <t xml:space="preserve">array&lt;number&gt;</t>
  </si>
  <si>
    <t xml:space="preserve">[4, 5, 9, 12, 16]</t>
  </si>
  <si>
    <t xml:space="preserve">5 consumos de meses anteriores. El histograma usa estos 5 más el consumo actual: no hace falta leer meses viejos.</t>
  </si>
  <si>
    <t xml:space="preserve">nro_recibo, monto_agua, monto_desague, cargo_fijo, deuda_anterior, igv, redondeo, total_a_pagar, meses_adeudados</t>
  </si>
  <si>
    <t xml:space="preserve">string / number</t>
  </si>
  <si>
    <t xml:space="preserve">PC al generar recibos</t>
  </si>
  <si>
    <t xml:space="preserve">000058392 · 22.00 · 0.00 · 1.50 · 0.00 · 0.00 · 0.00 · 23.50 · 1</t>
  </si>
  <si>
    <t xml:space="preserve">Quedan vacíos hasta generar los recibos.</t>
  </si>
  <si>
    <t xml:space="preserve">monto_pagado, fecha_pago</t>
  </si>
  <si>
    <t xml:space="preserve">number / string</t>
  </si>
  <si>
    <t xml:space="preserve">Secretaria (PC)</t>
  </si>
  <si>
    <t xml:space="preserve">0 · null</t>
  </si>
  <si>
    <t xml:space="preserve">Al marcar pagado: monto_pagado = total_a_pagar.</t>
  </si>
  <si>
    <t xml:space="preserve">Consultas que hace cada parte</t>
  </si>
  <si>
    <t xml:space="preserve">Quién</t>
  </si>
  <si>
    <t xml:space="preserve">Qué hace</t>
  </si>
  <si>
    <t xml:space="preserve">Lecturas de documentos</t>
  </si>
  <si>
    <t xml:space="preserve">Cargar su sector: mes_aaaa-mm donde sector == S (una vez; luego queda en caché sin conexión)</t>
  </si>
  <si>
    <t xml:space="preserve">Los usuarios del sector (máx. 338)</t>
  </si>
  <si>
    <t xml:space="preserve">Guardar una lectura: update de un documento</t>
  </si>
  <si>
    <t xml:space="preserve">0 lecturas, 1 escritura</t>
  </si>
  <si>
    <t xml:space="preserve">Abrir el mes: leer usuarios y el mes anterior; crear los documentos del mes</t>
  </si>
  <si>
    <t xml:space="preserve">2 × usuarios lecturas, 1 × usuarios escrituras</t>
  </si>
  <si>
    <t xml:space="preserve">Generar recibos: calcular y escribir los campos del recibo</t>
  </si>
  <si>
    <t xml:space="preserve">Usa lo ya cargado, 1 × usuarios escrituras</t>
  </si>
  <si>
    <t xml:space="preserve">Cobros: cargar el mes una vez al abrir el programa y trabajar en memoria; marcar pagado = update de un documento</t>
  </si>
  <si>
    <t xml:space="preserve">1 × usuarios lecturas por sesión</t>
  </si>
  <si>
    <t xml:space="preserve">Respaldo Excel del mes: se arma con los datos ya cargados</t>
  </si>
  <si>
    <t xml:space="preserve">0 lecturas extra</t>
  </si>
  <si>
    <t xml:space="preserve">Corregir un DNI: crear el documento con el ID correcto, copiar, borrar el anterior (en usuarios y en cada mes)</t>
  </si>
  <si>
    <t xml:space="preserve">Pocas operaciones; ocurre rara vez</t>
  </si>
  <si>
    <t xml:space="preserve">Tabla del mes y Excel de respaldo (formato)</t>
  </si>
  <si>
    <t xml:space="preserve">Una hoja por sector, igual que tu Excel actual, con las columnas de recibo y pago a la derecha. Una persona con 2 medidores ocupa 2 filas; los datos de recibo y pago van en la primera. Filas 2 y 3: ejemplos ficticios.</t>
  </si>
  <si>
    <t xml:space="preserve">Fecha de lectura</t>
  </si>
  <si>
    <t xml:space="preserve">Número de conexión</t>
  </si>
  <si>
    <t xml:space="preserve">Número de medidor</t>
  </si>
  <si>
    <t xml:space="preserve">Beneficiario</t>
  </si>
  <si>
    <t xml:space="preserve">Dirección</t>
  </si>
  <si>
    <t xml:space="preserve">Lectura anterior</t>
  </si>
  <si>
    <t xml:space="preserve">Lectura actual</t>
  </si>
  <si>
    <t xml:space="preserve">Consumo (m³)</t>
  </si>
  <si>
    <t xml:space="preserve">Recibo N°</t>
  </si>
  <si>
    <t xml:space="preserve">Deuda anterior</t>
  </si>
  <si>
    <t xml:space="preserve">Total a pagar</t>
  </si>
  <si>
    <t xml:space="preserve">Meses adeudados</t>
  </si>
  <si>
    <t xml:space="preserve">Pagado</t>
  </si>
  <si>
    <t xml:space="preserve">Fecha de pago</t>
  </si>
  <si>
    <t xml:space="preserve">2026-09-07</t>
  </si>
  <si>
    <t xml:space="preserve">22392996</t>
  </si>
  <si>
    <t xml:space="preserve">000058392</t>
  </si>
  <si>
    <t xml:space="preserve">2026-09-12</t>
  </si>
  <si>
    <t xml:space="preserve">000123</t>
  </si>
  <si>
    <t xml:space="preserve">000100</t>
  </si>
  <si>
    <t xml:space="preserve">EJEMPLO QUISPE, JUAN (ficticio)</t>
  </si>
  <si>
    <t xml:space="preserve">CHAUPI S/N</t>
  </si>
  <si>
    <t xml:space="preserve">000058393</t>
  </si>
  <si>
    <t xml:space="preserve">003200</t>
  </si>
  <si>
    <t xml:space="preserve">Totales del ejemplo</t>
  </si>
  <si>
    <t xml:space="preserve">Consumo total (m³)</t>
  </si>
  <si>
    <t xml:space="preserve">¿Cabe en el plan gratuito de Firebase (Spark)?</t>
  </si>
  <si>
    <t xml:space="preserve">Azul = dato editable. Límites diarios de Firestore del plan gratuito según la página de precios de Google Cloud.</t>
  </si>
  <si>
    <t xml:space="preserve">Datos de partida</t>
  </si>
  <si>
    <t xml:space="preserve">Usuarios (documentos por mes)</t>
  </si>
  <si>
    <t xml:space="preserve">Tu cifra. Hoy hay 766 activos.</t>
  </si>
  <si>
    <t xml:space="preserve">Sesiones de la secretaria al mes (cargan el mes completo)</t>
  </si>
  <si>
    <t xml:space="preserve">Una por día de trabajo aproximadamente.</t>
  </si>
  <si>
    <t xml:space="preserve">Tamaño promedio de un documento mensual (bytes)</t>
  </si>
  <si>
    <t xml:space="preserve">Estimado con 1 a 3 medidores y el histograma.</t>
  </si>
  <si>
    <t xml:space="preserve">Límites diarios gratuitos</t>
  </si>
  <si>
    <t xml:space="preserve">Lecturas de documentos por día</t>
  </si>
  <si>
    <t xml:space="preserve">Cuota gratuita de Firestore.</t>
  </si>
  <si>
    <t xml:space="preserve">Escrituras por día</t>
  </si>
  <si>
    <t xml:space="preserve">Almacenamiento total (MB)</t>
  </si>
  <si>
    <t xml:space="preserve">1 GiB.</t>
  </si>
  <si>
    <t xml:space="preserve">Operaciones por mes</t>
  </si>
  <si>
    <t xml:space="preserve">Actividad</t>
  </si>
  <si>
    <t xml:space="preserve">Lecturas</t>
  </si>
  <si>
    <t xml:space="preserve">Escrituras</t>
  </si>
  <si>
    <t xml:space="preserve">Abrir el mes (leer padrón y mes anterior, crear documentos)</t>
  </si>
  <si>
    <t xml:space="preserve">Una vez al mes.</t>
  </si>
  <si>
    <t xml:space="preserve">Lecturas en campo (cada lector carga su sector y guarda)</t>
  </si>
  <si>
    <t xml:space="preserve">La app guarda en caché; guardar una lectura es 1 escritura.</t>
  </si>
  <si>
    <t xml:space="preserve">Generar recibos</t>
  </si>
  <si>
    <t xml:space="preserve">Peor caso: sin usar lo ya cargado.</t>
  </si>
  <si>
    <t xml:space="preserve">Cobros y consultas de la secretaria</t>
  </si>
  <si>
    <t xml:space="preserve">Peor caso: todos pagan.</t>
  </si>
  <si>
    <t xml:space="preserve">Total del mes</t>
  </si>
  <si>
    <t xml:space="preserve">Promedio por día (30 días)</t>
  </si>
  <si>
    <t xml:space="preserve">Día más pesado (abrir mes + generar recibos + una sesión de cobros)</t>
  </si>
  <si>
    <t xml:space="preserve">Lecturas ese día</t>
  </si>
  <si>
    <t xml:space="preserve">Escrituras ese día</t>
  </si>
  <si>
    <t xml:space="preserve">Porcentaje del límite diario de lecturas</t>
  </si>
  <si>
    <t xml:space="preserve">Porcentaje del límite diario de escrituras</t>
  </si>
  <si>
    <t xml:space="preserve">Almacenamiento</t>
  </si>
  <si>
    <t xml:space="preserve">MB por mes</t>
  </si>
  <si>
    <t xml:space="preserve">MB por año</t>
  </si>
  <si>
    <t xml:space="preserve">Años hasta llenar 1 GiB</t>
  </si>
  <si>
    <t xml:space="preserve">Sin contar el padrón, que es muy pequeño.</t>
  </si>
  <si>
    <t xml:space="preserve">Reglas, supuestos y pendientes</t>
  </si>
  <si>
    <t xml:space="preserve">Tipo: Regla (decidida), Supuesto (asumido, corregible), Pendiente (necesita confirmación).</t>
  </si>
  <si>
    <t xml:space="preserve">N°</t>
  </si>
  <si>
    <t xml:space="preserve">Área</t>
  </si>
  <si>
    <t xml:space="preserve">Campos</t>
  </si>
  <si>
    <t xml:space="preserve">Regla</t>
  </si>
  <si>
    <t xml:space="preserve">Códigos</t>
  </si>
  <si>
    <t xml:space="preserve">El número de medidor es también su ID. Mínimo 6 dígitos con ceros adelante: 100 → 000100, 3200 → 003200, 990991 → 990991. Si ya tiene 6 o más dígitos no se cambia.</t>
  </si>
  <si>
    <t xml:space="preserve">Una persona tiene un solo código de conexión (6 dígitos) aunque tenga varios medidores. El recibo es uno por persona y suma el consumo de todos sus medidores.</t>
  </si>
  <si>
    <t xml:space="preserve">usuario.nro_conexion, recibo</t>
  </si>
  <si>
    <t xml:space="preserve">id_usuario es el DNI con 8 dígitos y ceros adelante (7654321 → 07654321).</t>
  </si>
  <si>
    <t xml:space="preserve">Si el mismo DNI aparece en personas distintas, ambas llevan sufijo: 07654321-1 y 07654321-2. Una misma persona con varios medidores no cuenta como repetida.</t>
  </si>
  <si>
    <t xml:space="preserve">Si una persona o institución no tiene DNI ni RUC, recibe un ID provisional SD-001, SD-002, etc.</t>
  </si>
  <si>
    <t xml:space="preserve">Un ID con guion hace que el programa avise: pedir el DNI a las personas y corregirlo. Al corregir, el programa crea el documento con el ID correcto, copia los datos, borra el anterior y lo renombra también en los meses.</t>
  </si>
  <si>
    <t xml:space="preserve">usuarios, mes_aaaa-mm</t>
  </si>
  <si>
    <t xml:space="preserve">Mes</t>
  </si>
  <si>
    <t xml:space="preserve">Cada mes se crea una colección nueva (mes_aaaa-mm) con un documento por usuario. Es la tabla del mes, igual al Excel de lecturas.</t>
  </si>
  <si>
    <t xml:space="preserve">periodo, lectura, recibo</t>
  </si>
  <si>
    <t xml:space="preserve">Al abrir el mes, el programa copia el padrón, pone lectura_anterior = lectura_actual y fecha_anterior = fecha_lectura del mes pasado, y deja la actual vacía.</t>
  </si>
  <si>
    <t xml:space="preserve">Si lectura_actual es menor que lectura_anterior, la app pide una novedad (por ejemplo CAMBIO DE MEDIDOR) y permite corregir el consumo.</t>
  </si>
  <si>
    <t xml:space="preserve">lectura.novedad, lectura.consumo_m3</t>
  </si>
  <si>
    <t xml:space="preserve">Facturación</t>
  </si>
  <si>
    <t xml:space="preserve">monto_agua = consumo × precio del rango. El desagüe es constante por categoría y el cargo fijo es editable por el dueño.</t>
  </si>
  <si>
    <t xml:space="preserve">recibo, categoria, rango_tarifa</t>
  </si>
  <si>
    <t xml:space="preserve">total_a_pagar = agua + desagüe + cargo fijo + deuda_anterior + IGV − redondeo. El redondeo resta las centésimas (17.56 queda en 17.50). El IGV es 0.00 si IGV_ACTIVO es falso.</t>
  </si>
  <si>
    <t xml:space="preserve">Deuda</t>
  </si>
  <si>
    <t xml:space="preserve">deuda_anterior = MAX(0, total_a_pagar anterior − monto_pagado anterior). Como el total anterior ya incluye su propia deuda, se acumula mes a mes sin sumar recibos viejos.</t>
  </si>
  <si>
    <t xml:space="preserve">recibo.deuda_anterior</t>
  </si>
  <si>
    <t xml:space="preserve">meses_adeudados = 1 si el recibo anterior está pagado o no existe; si no, los del anterior + 1. 1 = azul, 2 = naranja, 3 o más = rojo y entra al reporte de corte. Un recibo pagado no lleva color.</t>
  </si>
  <si>
    <t xml:space="preserve">recibo.meses_adeudados, parametro</t>
  </si>
  <si>
    <t xml:space="preserve">Pagos</t>
  </si>
  <si>
    <t xml:space="preserve">La secretaria marca quién pagó: monto_pagado = total_a_pagar y fecha_pago. El pago siempre se aplica al recibo más reciente, que ya incluye lo adeudado.</t>
  </si>
  <si>
    <t xml:space="preserve">recibo.monto_pagado, recibo.fecha_pago</t>
  </si>
  <si>
    <t xml:space="preserve">Respaldo</t>
  </si>
  <si>
    <t xml:space="preserve">Cada mes el programa genera un Excel de respaldo en la PC: una hoja por sector, filas por medidor, con lectura anterior y actual, consumo, recibo y pago. Se guarda en la PC y no en Firebase Storage, que ya no está en el plan gratuito.</t>
  </si>
  <si>
    <t xml:space="preserve">Histograma</t>
  </si>
  <si>
    <t xml:space="preserve">Se usan historial_m3 (5 meses previos, copiados al abrir el mes) más el consumo actual. Eje Y fijo hasta 100 m³ y dinámico por encima.</t>
  </si>
  <si>
    <t xml:space="preserve">Firebase</t>
  </si>
  <si>
    <t xml:space="preserve">Usar lecturas puntuales (get) y no escuchas en tiempo real sobre toda la colección, porque cada cambio cuenta como lectura. Las reglas de seguridad no deben usar get() de otros documentos.</t>
  </si>
  <si>
    <t xml:space="preserve">Seguridad y consultas</t>
  </si>
  <si>
    <t xml:space="preserve">Supuesto</t>
  </si>
  <si>
    <t xml:space="preserve">El IGV se aplica solo a lo afecto, no a la deuda anterior.</t>
  </si>
  <si>
    <t xml:space="preserve">recibo.igv</t>
  </si>
  <si>
    <t xml:space="preserve">Se permiten pagos parciales: lo que quede sin pagar pasa como deuda al mes siguiente.</t>
  </si>
  <si>
    <t xml:space="preserve">recibo.monto_pagado</t>
  </si>
  <si>
    <t xml:space="preserve">Migración</t>
  </si>
  <si>
    <t xml:space="preserve">Solo se importan los usuarios ACTIVOS. Los inactivos quedan en el Excel antiguo.</t>
  </si>
  <si>
    <t xml:space="preserve">Si una persona tiene varios códigos de conexión, se conserva uno (propongo el menor) y se retiran los demás.</t>
  </si>
  <si>
    <t xml:space="preserve">usuario.nro_conexion</t>
  </si>
  <si>
    <t xml:space="preserve">Medidores</t>
  </si>
  <si>
    <t xml:space="preserve">Un medidor reemplazado pasa a activo = falso y el nuevo entra con su lectura inicial como lectura_anterior. Ya no se guardan fechas de instalación ni de retiro.</t>
  </si>
  <si>
    <t xml:space="preserve">medidor, lectura</t>
  </si>
  <si>
    <t xml:space="preserve">Pendiente</t>
  </si>
  <si>
    <t xml:space="preserve">Tarifas</t>
  </si>
  <si>
    <t xml:space="preserve">¿El precio por m³ se aplica a todo el consumo según el rango en que cae, o por tramos acumulados?</t>
  </si>
  <si>
    <t xml:space="preserve">rango_tarifa, recibo.monto_agua</t>
  </si>
  <si>
    <t xml:space="preserve">Desagüe, cargo fijo y rangos de las categorías B y C.</t>
  </si>
  <si>
    <t xml:space="preserve">categoria, rango_tarifa</t>
  </si>
  <si>
    <t xml:space="preserve">Parámetros</t>
  </si>
  <si>
    <t xml:space="preserve">Número de WhatsApp del QR, días de vencimiento (inferido 15) y último número de recibo emitido.</t>
  </si>
  <si>
    <t xml:space="preserve">DNI</t>
  </si>
  <si>
    <t xml:space="preserve">Tres DNI tienen 9 dígitos: revisar si son errores de digitación o documentos distintos.</t>
  </si>
  <si>
    <t xml:space="preserve">Qué hay que ordenar al importar tus Excel</t>
  </si>
  <si>
    <t xml:space="preserve">Conteos de LISTA_DE_USUARIOS_2026.xlsx y RELACION_DE_USUARIOS_DEL_CAAPD.xlsx, aplicando las reglas nuevas.</t>
  </si>
  <si>
    <t xml:space="preserve">Indicador</t>
  </si>
  <si>
    <t xml:space="preserve">Valor</t>
  </si>
  <si>
    <t xml:space="preserve">Qué se hace</t>
  </si>
  <si>
    <t xml:space="preserve">Filas en la lista de usuarios</t>
  </si>
  <si>
    <t xml:space="preserve">766 activos, 41 inactivos y 1 con el estado mal escrito (NACTIVO).</t>
  </si>
  <si>
    <t xml:space="preserve">Usuarios ACTIVOS (medidores que se importan)</t>
  </si>
  <si>
    <t xml:space="preserve">Solo se importan los activos.</t>
  </si>
  <si>
    <t xml:space="preserve">Personas distintas entre los activos (DNI + nombre)</t>
  </si>
  <si>
    <t xml:space="preserve">Cada persona queda como un usuario con una lista de medidores.</t>
  </si>
  <si>
    <t xml:space="preserve">  Personas con un solo medidor</t>
  </si>
  <si>
    <t xml:space="preserve">  Personas con 2 o 3 medidores</t>
  </si>
  <si>
    <t xml:space="preserve">Un solo código de conexión y un solo recibo.</t>
  </si>
  <si>
    <t xml:space="preserve">Personas que hoy tienen más de un código de conexión</t>
  </si>
  <si>
    <t xml:space="preserve">Unificar: se conserva un código (propongo el menor).</t>
  </si>
  <si>
    <t xml:space="preserve">DNI compartidos por personas distintas</t>
  </si>
  <si>
    <t xml:space="preserve">Afecta a 48 personas: reciben -1, -2 y quedan pendientes de corregir.</t>
  </si>
  <si>
    <t xml:space="preserve">Personas sin DNI</t>
  </si>
  <si>
    <t xml:space="preserve">Reciben ID provisional SD-001, SD-002... y quedan pendientes.</t>
  </si>
  <si>
    <t xml:space="preserve">DNI de 7 dígitos (activos)</t>
  </si>
  <si>
    <t xml:space="preserve">Se les agrega un cero adelante hasta llegar a 8.</t>
  </si>
  <si>
    <t xml:space="preserve">DNI de 9 dígitos (activos)</t>
  </si>
  <si>
    <t xml:space="preserve">Revisar a mano.</t>
  </si>
  <si>
    <t xml:space="preserve">Medidores activos con menos de 6 dígitos</t>
  </si>
  <si>
    <t xml:space="preserve">9174 → 009174, 10085 → 010085, 3386 → 003386. El resto ya tiene 6 o más dígitos y no cambia.</t>
  </si>
  <si>
    <t xml:space="preserve">Números de medidor repetidos entre activos</t>
  </si>
  <si>
    <t xml:space="preserve">24261109 está en dos personas distintas y 25097679 en dos filas de la misma persona (duplicado a eliminar).</t>
  </si>
  <si>
    <t xml:space="preserve">Activos sin código de conexión en el Excel de lecturas</t>
  </si>
  <si>
    <t xml:space="preserve">Medidores 24345520 y 24345518: asignarles un código nuevo.</t>
  </si>
  <si>
    <t xml:space="preserve">Conexión sin medidor (000771)</t>
  </si>
  <si>
    <t xml:space="preserve">Queda como usuario sin medidores (solo cargo fijo).</t>
  </si>
  <si>
    <t xml:space="preserve">Consumos negativos en el Excel de lecturas</t>
  </si>
  <si>
    <t xml:space="preserve">Revisar si fueron cambios de medidor; la app pedirá novedad.</t>
  </si>
  <si>
    <t xml:space="preserve">Consumos en cero</t>
  </si>
  <si>
    <t xml:space="preserve">Se factura solo el cargo fijo.</t>
  </si>
  <si>
    <t xml:space="preserve">Consumos mayores a 100 m³</t>
  </si>
  <si>
    <t xml:space="preserve">El histograma tiene eje dinámico.</t>
  </si>
  <si>
    <t xml:space="preserve">Usuarios activos por sector</t>
  </si>
  <si>
    <t xml:space="preserve">Documentos que carga el lector de ese sector.</t>
  </si>
  <si>
    <t xml:space="preserve">Total medidores activos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</si>
</sst>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General"/>
    <numFmt numFmtId="166" formatCode="0%"/>
    <numFmt numFmtId="167" formatCode="#,##0.00"/>
    <numFmt numFmtId="168" formatCode="0"/>
    <numFmt numFmtId="169" formatCode="@"/>
    <numFmt numFmtId="170" formatCode="#,##0"/>
    <numFmt numFmtId="171" formatCode="0.0%"/>
    <numFmt numFmtId="172" formatCode="0.00"/>
    <numFmt numFmtId="173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D9E2F3"/>
        <bgColor rgb="FFEAF1FB"/>
      </patternFill>
    </fill>
    <fill>
      <patternFill patternType="solid">
        <fgColor rgb="FF1E88E5"/>
        <bgColor rgb="FF0563C1"/>
      </patternFill>
    </fill>
    <fill>
      <patternFill patternType="solid">
        <fgColor rgb="FFFB8C00"/>
        <bgColor rgb="FFFF8080"/>
      </patternFill>
    </fill>
    <fill>
      <patternFill patternType="solid">
        <fgColor rgb="FFE53935"/>
        <bgColor rgb="FF993366"/>
      </patternFill>
    </fill>
    <fill>
      <patternFill patternType="solid">
        <fgColor rgb="FFEAF1FB"/>
        <bgColor rgb="FFEEF7EE"/>
      </patternFill>
    </fill>
    <fill>
      <patternFill patternType="solid">
        <fgColor rgb="FFEEF7EE"/>
        <bgColor rgb="FFEAF1FB"/>
      </patternFill>
    </fill>
    <fill>
      <patternFill patternType="solid">
        <fgColor rgb="FFFFF6E5"/>
        <bgColor rgb="FFEEF7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6E5"/>
      <rgbColor rgb="FFEAF1FB"/>
      <rgbColor rgb="FF660066"/>
      <rgbColor rgb="FFFF8080"/>
      <rgbColor rgb="FF0563C1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7EE"/>
      <rgbColor rgb="FFCCFFCC"/>
      <rgbColor rgb="FFFFFF99"/>
      <rgbColor rgb="FF99CCFF"/>
      <rgbColor rgb="FFFF99CC"/>
      <rgbColor rgb="FFCC99FF"/>
      <rgbColor rgb="FFFFCC99"/>
      <rgbColor rgb="FF1E88E5"/>
      <rgbColor rgb="FF33CCCC"/>
      <rgbColor rgb="FF99CC00"/>
      <rgbColor rgb="FFFFCC00"/>
      <rgbColor rgb="FFFB8C00"/>
      <rgbColor rgb="FFE53935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ER_CAAPD_Ispacas_v2.xlsx" TargetMode="External"/><Relationship Id="rId2" Type="http://schemas.openxmlformats.org/officeDocument/2006/relationships/hyperlink" Target="MER_CAAPD_Ispacas_v2.xlsx" TargetMode="External"/><Relationship Id="rId3" Type="http://schemas.openxmlformats.org/officeDocument/2006/relationships/hyperlink" Target="MER_CAAPD_Ispacas_v2.xlsx" TargetMode="External"/><Relationship Id="rId4" Type="http://schemas.openxmlformats.org/officeDocument/2006/relationships/hyperlink" Target="MER_CAAPD_Ispacas_v2.xlsx" TargetMode="External"/><Relationship Id="rId5" Type="http://schemas.openxmlformats.org/officeDocument/2006/relationships/hyperlink" Target="MER_CAAPD_Ispacas_v2.xlsx" TargetMode="External"/><Relationship Id="rId6" Type="http://schemas.openxmlformats.org/officeDocument/2006/relationships/hyperlink" Target="MER_CAAPD_Ispacas_v2.xlsx" TargetMode="External"/><Relationship Id="rId7" Type="http://schemas.openxmlformats.org/officeDocument/2006/relationships/hyperlink" Target="MER_CAAPD_Ispacas_v2.xlsx" TargetMode="External"/><Relationship Id="rId8" Type="http://schemas.openxmlformats.org/officeDocument/2006/relationships/hyperlink" Target="MER_CAAPD_Ispacas_v2.xlsx" TargetMode="External"/><Relationship Id="rId9" Type="http://schemas.openxmlformats.org/officeDocument/2006/relationships/hyperlink" Target="MER_CAAPD_Ispacas_v2.xlsx" TargetMode="External"/><Relationship Id="rId10" Type="http://schemas.openxmlformats.org/officeDocument/2006/relationships/hyperlink" Target="MER_CAAPD_Ispacas_v2.xlsx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f aca="false">COUNTA(Entidades!A5:A12)</f>
        <v>8</v>
      </c>
    </row>
    <row r="6" customFormat="false" ht="15" hidden="false" customHeight="false" outlineLevel="0" collapsed="false">
      <c r="A6" s="4" t="s">
        <v>4</v>
      </c>
      <c r="B6" s="5" t="n">
        <f aca="false">COUNTA(Atributos!B5:B51)</f>
        <v>47</v>
      </c>
    </row>
    <row r="7" customFormat="false" ht="15" hidden="false" customHeight="false" outlineLevel="0" collapsed="false">
      <c r="A7" s="4" t="s">
        <v>5</v>
      </c>
      <c r="B7" s="5" t="n">
        <f aca="false">COUNTIF(Atributos!D5:D51,"*PK*")</f>
        <v>11</v>
      </c>
    </row>
    <row r="8" customFormat="false" ht="15" hidden="false" customHeight="false" outlineLevel="0" collapsed="false">
      <c r="A8" s="4" t="s">
        <v>6</v>
      </c>
      <c r="B8" s="5" t="n">
        <f aca="false">COUNTIF(Atributos!D5:D51,"*FK*")</f>
        <v>7</v>
      </c>
    </row>
    <row r="9" customFormat="false" ht="15" hidden="false" customHeight="false" outlineLevel="0" collapsed="false">
      <c r="A9" s="4" t="s">
        <v>7</v>
      </c>
      <c r="B9" s="5" t="n">
        <f aca="false">COUNTA(Relaciones!A5:A11)</f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6" t="s">
        <v>3</v>
      </c>
      <c r="B12" s="7"/>
      <c r="C12" s="4" t="s">
        <v>9</v>
      </c>
    </row>
    <row r="13" customFormat="false" ht="15" hidden="false" customHeight="false" outlineLevel="0" collapsed="false">
      <c r="A13" s="6" t="s">
        <v>4</v>
      </c>
      <c r="B13" s="7"/>
      <c r="C13" s="4" t="s">
        <v>10</v>
      </c>
    </row>
    <row r="14" customFormat="false" ht="15" hidden="false" customHeight="false" outlineLevel="0" collapsed="false">
      <c r="A14" s="6" t="s">
        <v>7</v>
      </c>
      <c r="B14" s="7"/>
      <c r="C14" s="4" t="s">
        <v>11</v>
      </c>
    </row>
    <row r="15" customFormat="false" ht="15" hidden="false" customHeight="false" outlineLevel="0" collapsed="false">
      <c r="A15" s="6" t="s">
        <v>12</v>
      </c>
      <c r="B15" s="7"/>
      <c r="C15" s="4" t="s">
        <v>13</v>
      </c>
    </row>
    <row r="16" customFormat="false" ht="15" hidden="false" customHeight="false" outlineLevel="0" collapsed="false">
      <c r="A16" s="6" t="s">
        <v>14</v>
      </c>
      <c r="B16" s="7"/>
      <c r="C16" s="4" t="s">
        <v>15</v>
      </c>
    </row>
    <row r="17" customFormat="false" ht="15" hidden="false" customHeight="false" outlineLevel="0" collapsed="false">
      <c r="A17" s="6" t="s">
        <v>16</v>
      </c>
      <c r="B17" s="7"/>
      <c r="C17" s="4" t="s">
        <v>17</v>
      </c>
    </row>
    <row r="18" customFormat="false" ht="15" hidden="false" customHeight="false" outlineLevel="0" collapsed="false">
      <c r="A18" s="6" t="s">
        <v>18</v>
      </c>
      <c r="B18" s="7"/>
      <c r="C18" s="4" t="s">
        <v>19</v>
      </c>
    </row>
    <row r="19" customFormat="false" ht="15" hidden="false" customHeight="false" outlineLevel="0" collapsed="false">
      <c r="A19" s="6" t="s">
        <v>20</v>
      </c>
      <c r="B19" s="7"/>
      <c r="C19" s="4" t="s">
        <v>21</v>
      </c>
    </row>
    <row r="20" customFormat="false" ht="15" hidden="false" customHeight="false" outlineLevel="0" collapsed="false">
      <c r="A20" s="6" t="s">
        <v>22</v>
      </c>
      <c r="B20" s="7"/>
      <c r="C20" s="4" t="s">
        <v>23</v>
      </c>
    </row>
    <row r="21" customFormat="false" ht="15" hidden="false" customHeight="false" outlineLevel="0" collapsed="false">
      <c r="A21" s="6" t="s">
        <v>24</v>
      </c>
      <c r="B21" s="7"/>
      <c r="C21" s="4" t="s">
        <v>25</v>
      </c>
    </row>
    <row r="23" customFormat="false" ht="15" hidden="false" customHeight="false" outlineLevel="0" collapsed="false">
      <c r="A23" s="3" t="s">
        <v>26</v>
      </c>
    </row>
    <row r="24" customFormat="false" ht="23.85" hidden="false" customHeight="false" outlineLevel="0" collapsed="false">
      <c r="A24" s="8" t="s">
        <v>27</v>
      </c>
      <c r="B24" s="7"/>
      <c r="C24" s="9" t="s">
        <v>28</v>
      </c>
    </row>
    <row r="25" customFormat="false" ht="15" hidden="false" customHeight="false" outlineLevel="0" collapsed="false">
      <c r="A25" s="8" t="s">
        <v>29</v>
      </c>
      <c r="B25" s="7"/>
      <c r="C25" s="9" t="s">
        <v>30</v>
      </c>
    </row>
    <row r="26" customFormat="false" ht="15" hidden="false" customHeight="false" outlineLevel="0" collapsed="false">
      <c r="A26" s="8" t="s">
        <v>31</v>
      </c>
      <c r="B26" s="7"/>
      <c r="C26" s="9" t="s">
        <v>32</v>
      </c>
    </row>
    <row r="27" customFormat="false" ht="15" hidden="false" customHeight="false" outlineLevel="0" collapsed="false">
      <c r="A27" s="8" t="s">
        <v>33</v>
      </c>
      <c r="B27" s="7"/>
      <c r="C27" s="9" t="s">
        <v>34</v>
      </c>
    </row>
    <row r="28" customFormat="false" ht="15" hidden="false" customHeight="false" outlineLevel="0" collapsed="false">
      <c r="A28" s="8" t="s">
        <v>35</v>
      </c>
      <c r="B28" s="7"/>
      <c r="C28" s="9" t="s">
        <v>36</v>
      </c>
    </row>
    <row r="30" customFormat="false" ht="15" hidden="false" customHeight="false" outlineLevel="0" collapsed="false">
      <c r="A30" s="3" t="s">
        <v>37</v>
      </c>
    </row>
    <row r="31" customFormat="false" ht="15" hidden="false" customHeight="false" outlineLevel="0" collapsed="false">
      <c r="A31" s="10" t="s">
        <v>38</v>
      </c>
      <c r="B31" s="7"/>
      <c r="C31" s="4" t="s">
        <v>39</v>
      </c>
    </row>
    <row r="32" customFormat="false" ht="15" hidden="false" customHeight="false" outlineLevel="0" collapsed="false">
      <c r="A32" s="11" t="s">
        <v>40</v>
      </c>
      <c r="B32" s="7"/>
      <c r="C32" s="4" t="s">
        <v>41</v>
      </c>
    </row>
    <row r="33" customFormat="false" ht="15" hidden="false" customHeight="false" outlineLevel="0" collapsed="false">
      <c r="A33" s="4" t="s">
        <v>42</v>
      </c>
      <c r="B33" s="7"/>
      <c r="C33" s="4" t="s">
        <v>43</v>
      </c>
    </row>
    <row r="34" customFormat="false" ht="15" hidden="false" customHeight="false" outlineLevel="0" collapsed="false">
      <c r="A34" s="12" t="s">
        <v>44</v>
      </c>
      <c r="B34" s="7"/>
      <c r="C34" s="4" t="s">
        <v>45</v>
      </c>
    </row>
  </sheetData>
  <hyperlinks>
    <hyperlink ref="A12" r:id="rId1" location="'Entidades'!A1" display="Entidades"/>
    <hyperlink ref="A13" r:id="rId2" location="'Atributos'!A1" display="Atributos"/>
    <hyperlink ref="A14" r:id="rId3" location="'Relaciones'!A1" display="Relaciones"/>
    <hyperlink ref="A15" r:id="rId4" location="'Parametros'!A1" display="Parametros"/>
    <hyperlink ref="A16" r:id="rId5" location="'Calculo_ejemplo'!A1" display="Calculo_ejemplo"/>
    <hyperlink ref="A17" r:id="rId6" location="'Firestore'!A1" display="Firestore"/>
    <hyperlink ref="A18" r:id="rId7" location="'Mes_ejemplo'!A1" display="Mes_ejemplo"/>
    <hyperlink ref="A19" r:id="rId8" location="'Uso_gratuito'!A1" display="Uso_gratuito"/>
    <hyperlink ref="A20" r:id="rId9" location="'Reglas_negocio'!A1" display="Reglas_negocio"/>
    <hyperlink ref="A21" r:id="rId10" location="'Migracion_datos'!A1" display="Migracion_dato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80"/>
    <col collapsed="false" customWidth="true" hidden="false" outlineLevel="0" max="4" min="4" style="0" width="44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46</v>
      </c>
    </row>
    <row r="2" customFormat="false" ht="15" hidden="false" customHeight="false" outlineLevel="0" collapsed="false">
      <c r="A2" s="2" t="s">
        <v>47</v>
      </c>
    </row>
    <row r="4" customFormat="false" ht="30" hidden="false" customHeight="true" outlineLevel="0" collapsed="false">
      <c r="A4" s="13" t="s">
        <v>48</v>
      </c>
      <c r="B4" s="13" t="s">
        <v>49</v>
      </c>
      <c r="C4" s="13" t="s">
        <v>50</v>
      </c>
      <c r="D4" s="13" t="s">
        <v>51</v>
      </c>
      <c r="E4" s="13" t="s">
        <v>52</v>
      </c>
    </row>
    <row r="5" customFormat="false" ht="23.85" hidden="false" customHeight="false" outlineLevel="0" collapsed="false">
      <c r="A5" s="14" t="s">
        <v>53</v>
      </c>
      <c r="B5" s="9" t="s">
        <v>54</v>
      </c>
      <c r="C5" s="9" t="s">
        <v>55</v>
      </c>
      <c r="D5" s="9" t="s">
        <v>56</v>
      </c>
      <c r="E5" s="15" t="n">
        <f aca="false">COUNTIF(Atributos!$A$5:$A$200,A5)</f>
        <v>7</v>
      </c>
    </row>
    <row r="6" customFormat="false" ht="15" hidden="false" customHeight="false" outlineLevel="0" collapsed="false">
      <c r="A6" s="14" t="s">
        <v>57</v>
      </c>
      <c r="B6" s="9" t="s">
        <v>54</v>
      </c>
      <c r="C6" s="9" t="s">
        <v>58</v>
      </c>
      <c r="D6" s="9" t="s">
        <v>59</v>
      </c>
      <c r="E6" s="15" t="n">
        <f aca="false">COUNTIF(Atributos!$A$5:$A$200,A6)</f>
        <v>3</v>
      </c>
    </row>
    <row r="7" customFormat="false" ht="15" hidden="false" customHeight="false" outlineLevel="0" collapsed="false">
      <c r="A7" s="14" t="s">
        <v>60</v>
      </c>
      <c r="B7" s="9" t="s">
        <v>61</v>
      </c>
      <c r="C7" s="9" t="s">
        <v>62</v>
      </c>
      <c r="D7" s="9" t="s">
        <v>63</v>
      </c>
      <c r="E7" s="15" t="n">
        <f aca="false">COUNTIF(Atributos!$A$5:$A$200,A7)</f>
        <v>4</v>
      </c>
    </row>
    <row r="8" customFormat="false" ht="15" hidden="false" customHeight="false" outlineLevel="0" collapsed="false">
      <c r="A8" s="14" t="s">
        <v>64</v>
      </c>
      <c r="B8" s="9" t="s">
        <v>61</v>
      </c>
      <c r="C8" s="9" t="s">
        <v>65</v>
      </c>
      <c r="D8" s="9" t="s">
        <v>66</v>
      </c>
      <c r="E8" s="15" t="n">
        <f aca="false">COUNTIF(Atributos!$A$5:$A$200,A8)</f>
        <v>4</v>
      </c>
    </row>
    <row r="9" customFormat="false" ht="15" hidden="false" customHeight="false" outlineLevel="0" collapsed="false">
      <c r="A9" s="14" t="s">
        <v>67</v>
      </c>
      <c r="B9" s="9" t="s">
        <v>68</v>
      </c>
      <c r="C9" s="9" t="s">
        <v>69</v>
      </c>
      <c r="D9" s="9" t="s">
        <v>70</v>
      </c>
      <c r="E9" s="15" t="n">
        <f aca="false">COUNTIF(Atributos!$A$5:$A$200,A9)</f>
        <v>4</v>
      </c>
    </row>
    <row r="10" customFormat="false" ht="15" hidden="false" customHeight="false" outlineLevel="0" collapsed="false">
      <c r="A10" s="14" t="s">
        <v>71</v>
      </c>
      <c r="B10" s="9" t="s">
        <v>68</v>
      </c>
      <c r="C10" s="9" t="s">
        <v>72</v>
      </c>
      <c r="D10" s="9" t="s">
        <v>73</v>
      </c>
      <c r="E10" s="15" t="n">
        <f aca="false">COUNTIF(Atributos!$A$5:$A$200,A10)</f>
        <v>8</v>
      </c>
    </row>
    <row r="11" customFormat="false" ht="15" hidden="false" customHeight="false" outlineLevel="0" collapsed="false">
      <c r="A11" s="14" t="s">
        <v>74</v>
      </c>
      <c r="B11" s="9" t="s">
        <v>68</v>
      </c>
      <c r="C11" s="9" t="s">
        <v>75</v>
      </c>
      <c r="D11" s="9" t="s">
        <v>76</v>
      </c>
      <c r="E11" s="15" t="n">
        <f aca="false">COUNTIF(Atributos!$A$5:$A$200,A11)</f>
        <v>14</v>
      </c>
    </row>
    <row r="12" customFormat="false" ht="15" hidden="false" customHeight="false" outlineLevel="0" collapsed="false">
      <c r="A12" s="14" t="s">
        <v>77</v>
      </c>
      <c r="B12" s="9" t="s">
        <v>78</v>
      </c>
      <c r="C12" s="9" t="s">
        <v>79</v>
      </c>
      <c r="D12" s="9" t="s">
        <v>80</v>
      </c>
      <c r="E12" s="15" t="n">
        <f aca="false">COUNTIF(Atributos!$A$5:$A$200,A12)</f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5" min="5" style="0" width="26"/>
    <col collapsed="false" customWidth="true" hidden="false" outlineLevel="0" max="6" min="6" style="0" width="12"/>
    <col collapsed="false" customWidth="true" hidden="false" outlineLevel="0" max="7" min="7" style="0" width="95"/>
  </cols>
  <sheetData>
    <row r="1" customFormat="false" ht="17.35" hidden="false" customHeight="false" outlineLevel="0" collapsed="false">
      <c r="A1" s="1" t="s">
        <v>81</v>
      </c>
    </row>
    <row r="2" customFormat="false" ht="15" hidden="false" customHeight="false" outlineLevel="0" collapsed="false">
      <c r="A2" s="2" t="s">
        <v>82</v>
      </c>
    </row>
    <row r="4" customFormat="false" ht="30" hidden="false" customHeight="true" outlineLevel="0" collapsed="false">
      <c r="A4" s="13" t="s">
        <v>48</v>
      </c>
      <c r="B4" s="13" t="s">
        <v>83</v>
      </c>
      <c r="C4" s="13" t="s">
        <v>84</v>
      </c>
      <c r="D4" s="13" t="s">
        <v>85</v>
      </c>
      <c r="E4" s="13" t="s">
        <v>86</v>
      </c>
      <c r="F4" s="13" t="s">
        <v>87</v>
      </c>
      <c r="G4" s="13" t="s">
        <v>88</v>
      </c>
    </row>
    <row r="5" customFormat="false" ht="23.85" hidden="false" customHeight="false" outlineLevel="0" collapsed="false">
      <c r="A5" s="9" t="s">
        <v>53</v>
      </c>
      <c r="B5" s="9" t="s">
        <v>89</v>
      </c>
      <c r="C5" s="15" t="s">
        <v>90</v>
      </c>
      <c r="D5" s="15" t="s">
        <v>91</v>
      </c>
      <c r="E5" s="9"/>
      <c r="F5" s="15" t="s">
        <v>92</v>
      </c>
      <c r="G5" s="9" t="s">
        <v>93</v>
      </c>
    </row>
    <row r="6" customFormat="false" ht="15" hidden="false" customHeight="false" outlineLevel="0" collapsed="false">
      <c r="A6" s="9" t="s">
        <v>53</v>
      </c>
      <c r="B6" s="9" t="s">
        <v>94</v>
      </c>
      <c r="C6" s="15" t="s">
        <v>90</v>
      </c>
      <c r="D6" s="15" t="s">
        <v>95</v>
      </c>
      <c r="E6" s="9"/>
      <c r="F6" s="15" t="s">
        <v>92</v>
      </c>
      <c r="G6" s="9" t="s">
        <v>96</v>
      </c>
    </row>
    <row r="7" customFormat="false" ht="15" hidden="false" customHeight="false" outlineLevel="0" collapsed="false">
      <c r="A7" s="9" t="s">
        <v>53</v>
      </c>
      <c r="B7" s="9" t="s">
        <v>97</v>
      </c>
      <c r="C7" s="15" t="s">
        <v>90</v>
      </c>
      <c r="D7" s="15"/>
      <c r="E7" s="9"/>
      <c r="F7" s="15" t="s">
        <v>92</v>
      </c>
      <c r="G7" s="9" t="s">
        <v>98</v>
      </c>
    </row>
    <row r="8" customFormat="false" ht="23.85" hidden="false" customHeight="false" outlineLevel="0" collapsed="false">
      <c r="A8" s="9" t="s">
        <v>53</v>
      </c>
      <c r="B8" s="9" t="s">
        <v>99</v>
      </c>
      <c r="C8" s="15" t="s">
        <v>90</v>
      </c>
      <c r="D8" s="15"/>
      <c r="E8" s="9"/>
      <c r="F8" s="15" t="s">
        <v>92</v>
      </c>
      <c r="G8" s="9" t="s">
        <v>100</v>
      </c>
    </row>
    <row r="9" customFormat="false" ht="15" hidden="false" customHeight="false" outlineLevel="0" collapsed="false">
      <c r="A9" s="9" t="s">
        <v>53</v>
      </c>
      <c r="B9" s="9" t="s">
        <v>101</v>
      </c>
      <c r="C9" s="15" t="s">
        <v>90</v>
      </c>
      <c r="D9" s="15"/>
      <c r="E9" s="9"/>
      <c r="F9" s="15" t="s">
        <v>92</v>
      </c>
      <c r="G9" s="9" t="s">
        <v>102</v>
      </c>
    </row>
    <row r="10" customFormat="false" ht="15" hidden="false" customHeight="false" outlineLevel="0" collapsed="false">
      <c r="A10" s="9" t="s">
        <v>53</v>
      </c>
      <c r="B10" s="9" t="s">
        <v>103</v>
      </c>
      <c r="C10" s="15" t="s">
        <v>90</v>
      </c>
      <c r="D10" s="15" t="s">
        <v>104</v>
      </c>
      <c r="E10" s="9" t="s">
        <v>105</v>
      </c>
      <c r="F10" s="15" t="s">
        <v>92</v>
      </c>
      <c r="G10" s="9" t="s">
        <v>106</v>
      </c>
    </row>
    <row r="11" customFormat="false" ht="15" hidden="false" customHeight="false" outlineLevel="0" collapsed="false">
      <c r="A11" s="9" t="s">
        <v>53</v>
      </c>
      <c r="B11" s="9" t="s">
        <v>107</v>
      </c>
      <c r="C11" s="15" t="s">
        <v>108</v>
      </c>
      <c r="D11" s="15"/>
      <c r="E11" s="9"/>
      <c r="F11" s="15" t="s">
        <v>92</v>
      </c>
      <c r="G11" s="9" t="s">
        <v>109</v>
      </c>
    </row>
    <row r="12" customFormat="false" ht="15" hidden="false" customHeight="false" outlineLevel="0" collapsed="false">
      <c r="A12" s="9" t="s">
        <v>57</v>
      </c>
      <c r="B12" s="9" t="s">
        <v>110</v>
      </c>
      <c r="C12" s="15" t="s">
        <v>90</v>
      </c>
      <c r="D12" s="15" t="s">
        <v>91</v>
      </c>
      <c r="E12" s="9"/>
      <c r="F12" s="15" t="s">
        <v>92</v>
      </c>
      <c r="G12" s="9" t="s">
        <v>111</v>
      </c>
    </row>
    <row r="13" customFormat="false" ht="15" hidden="false" customHeight="false" outlineLevel="0" collapsed="false">
      <c r="A13" s="9" t="s">
        <v>57</v>
      </c>
      <c r="B13" s="9" t="s">
        <v>89</v>
      </c>
      <c r="C13" s="15" t="s">
        <v>90</v>
      </c>
      <c r="D13" s="15" t="s">
        <v>104</v>
      </c>
      <c r="E13" s="9" t="s">
        <v>112</v>
      </c>
      <c r="F13" s="15" t="s">
        <v>92</v>
      </c>
      <c r="G13" s="9" t="s">
        <v>113</v>
      </c>
    </row>
    <row r="14" customFormat="false" ht="15" hidden="false" customHeight="false" outlineLevel="0" collapsed="false">
      <c r="A14" s="9" t="s">
        <v>57</v>
      </c>
      <c r="B14" s="9" t="s">
        <v>107</v>
      </c>
      <c r="C14" s="15" t="s">
        <v>108</v>
      </c>
      <c r="D14" s="15"/>
      <c r="E14" s="9"/>
      <c r="F14" s="15" t="s">
        <v>92</v>
      </c>
      <c r="G14" s="9" t="s">
        <v>114</v>
      </c>
    </row>
    <row r="15" customFormat="false" ht="15" hidden="false" customHeight="false" outlineLevel="0" collapsed="false">
      <c r="A15" s="9" t="s">
        <v>60</v>
      </c>
      <c r="B15" s="9" t="s">
        <v>115</v>
      </c>
      <c r="C15" s="15" t="s">
        <v>90</v>
      </c>
      <c r="D15" s="15" t="s">
        <v>91</v>
      </c>
      <c r="E15" s="9"/>
      <c r="F15" s="15" t="s">
        <v>92</v>
      </c>
      <c r="G15" s="9" t="s">
        <v>106</v>
      </c>
    </row>
    <row r="16" customFormat="false" ht="15" hidden="false" customHeight="false" outlineLevel="0" collapsed="false">
      <c r="A16" s="9" t="s">
        <v>60</v>
      </c>
      <c r="B16" s="9" t="s">
        <v>97</v>
      </c>
      <c r="C16" s="15" t="s">
        <v>90</v>
      </c>
      <c r="D16" s="15"/>
      <c r="E16" s="9"/>
      <c r="F16" s="15" t="s">
        <v>92</v>
      </c>
      <c r="G16" s="9" t="s">
        <v>116</v>
      </c>
    </row>
    <row r="17" customFormat="false" ht="15" hidden="false" customHeight="false" outlineLevel="0" collapsed="false">
      <c r="A17" s="9" t="s">
        <v>60</v>
      </c>
      <c r="B17" s="9" t="s">
        <v>117</v>
      </c>
      <c r="C17" s="15" t="s">
        <v>118</v>
      </c>
      <c r="D17" s="15"/>
      <c r="E17" s="9"/>
      <c r="F17" s="15" t="s">
        <v>92</v>
      </c>
      <c r="G17" s="9" t="s">
        <v>119</v>
      </c>
    </row>
    <row r="18" customFormat="false" ht="15" hidden="false" customHeight="false" outlineLevel="0" collapsed="false">
      <c r="A18" s="9" t="s">
        <v>60</v>
      </c>
      <c r="B18" s="9" t="s">
        <v>120</v>
      </c>
      <c r="C18" s="15" t="s">
        <v>118</v>
      </c>
      <c r="D18" s="15"/>
      <c r="E18" s="9"/>
      <c r="F18" s="15" t="s">
        <v>92</v>
      </c>
      <c r="G18" s="9" t="s">
        <v>121</v>
      </c>
    </row>
    <row r="19" customFormat="false" ht="15" hidden="false" customHeight="false" outlineLevel="0" collapsed="false">
      <c r="A19" s="9" t="s">
        <v>64</v>
      </c>
      <c r="B19" s="9" t="s">
        <v>103</v>
      </c>
      <c r="C19" s="15" t="s">
        <v>90</v>
      </c>
      <c r="D19" s="15" t="s">
        <v>122</v>
      </c>
      <c r="E19" s="9" t="s">
        <v>105</v>
      </c>
      <c r="F19" s="15" t="s">
        <v>92</v>
      </c>
      <c r="G19" s="9" t="s">
        <v>123</v>
      </c>
    </row>
    <row r="20" customFormat="false" ht="15" hidden="false" customHeight="false" outlineLevel="0" collapsed="false">
      <c r="A20" s="9" t="s">
        <v>64</v>
      </c>
      <c r="B20" s="9" t="s">
        <v>124</v>
      </c>
      <c r="C20" s="15" t="s">
        <v>118</v>
      </c>
      <c r="D20" s="15" t="s">
        <v>91</v>
      </c>
      <c r="E20" s="9"/>
      <c r="F20" s="15" t="s">
        <v>92</v>
      </c>
      <c r="G20" s="9" t="s">
        <v>125</v>
      </c>
    </row>
    <row r="21" customFormat="false" ht="15" hidden="false" customHeight="false" outlineLevel="0" collapsed="false">
      <c r="A21" s="9" t="s">
        <v>64</v>
      </c>
      <c r="B21" s="9" t="s">
        <v>126</v>
      </c>
      <c r="C21" s="15" t="s">
        <v>118</v>
      </c>
      <c r="D21" s="15"/>
      <c r="E21" s="9"/>
      <c r="F21" s="15" t="s">
        <v>127</v>
      </c>
      <c r="G21" s="9" t="s">
        <v>128</v>
      </c>
    </row>
    <row r="22" customFormat="false" ht="15" hidden="false" customHeight="false" outlineLevel="0" collapsed="false">
      <c r="A22" s="9" t="s">
        <v>64</v>
      </c>
      <c r="B22" s="9" t="s">
        <v>129</v>
      </c>
      <c r="C22" s="15" t="s">
        <v>118</v>
      </c>
      <c r="D22" s="15"/>
      <c r="E22" s="9"/>
      <c r="F22" s="15" t="s">
        <v>92</v>
      </c>
      <c r="G22" s="9" t="s">
        <v>130</v>
      </c>
    </row>
    <row r="23" customFormat="false" ht="15" hidden="false" customHeight="false" outlineLevel="0" collapsed="false">
      <c r="A23" s="9" t="s">
        <v>67</v>
      </c>
      <c r="B23" s="9" t="s">
        <v>67</v>
      </c>
      <c r="C23" s="15" t="s">
        <v>90</v>
      </c>
      <c r="D23" s="15" t="s">
        <v>91</v>
      </c>
      <c r="E23" s="9"/>
      <c r="F23" s="15" t="s">
        <v>92</v>
      </c>
      <c r="G23" s="9" t="s">
        <v>131</v>
      </c>
    </row>
    <row r="24" customFormat="false" ht="15" hidden="false" customHeight="false" outlineLevel="0" collapsed="false">
      <c r="A24" s="9" t="s">
        <v>67</v>
      </c>
      <c r="B24" s="9" t="s">
        <v>132</v>
      </c>
      <c r="C24" s="15" t="s">
        <v>133</v>
      </c>
      <c r="D24" s="15"/>
      <c r="E24" s="9"/>
      <c r="F24" s="15" t="s">
        <v>92</v>
      </c>
      <c r="G24" s="9" t="s">
        <v>134</v>
      </c>
    </row>
    <row r="25" customFormat="false" ht="15" hidden="false" customHeight="false" outlineLevel="0" collapsed="false">
      <c r="A25" s="9" t="s">
        <v>67</v>
      </c>
      <c r="B25" s="9" t="s">
        <v>135</v>
      </c>
      <c r="C25" s="15" t="s">
        <v>133</v>
      </c>
      <c r="D25" s="15"/>
      <c r="E25" s="9"/>
      <c r="F25" s="15" t="s">
        <v>92</v>
      </c>
      <c r="G25" s="9" t="s">
        <v>136</v>
      </c>
    </row>
    <row r="26" customFormat="false" ht="15" hidden="false" customHeight="false" outlineLevel="0" collapsed="false">
      <c r="A26" s="9" t="s">
        <v>67</v>
      </c>
      <c r="B26" s="9" t="s">
        <v>137</v>
      </c>
      <c r="C26" s="15" t="s">
        <v>90</v>
      </c>
      <c r="D26" s="15"/>
      <c r="E26" s="9"/>
      <c r="F26" s="15" t="s">
        <v>92</v>
      </c>
      <c r="G26" s="9" t="s">
        <v>138</v>
      </c>
    </row>
    <row r="27" customFormat="false" ht="15" hidden="false" customHeight="false" outlineLevel="0" collapsed="false">
      <c r="A27" s="9" t="s">
        <v>71</v>
      </c>
      <c r="B27" s="9" t="s">
        <v>67</v>
      </c>
      <c r="C27" s="15" t="s">
        <v>90</v>
      </c>
      <c r="D27" s="15" t="s">
        <v>122</v>
      </c>
      <c r="E27" s="9" t="s">
        <v>139</v>
      </c>
      <c r="F27" s="15" t="s">
        <v>92</v>
      </c>
      <c r="G27" s="9" t="s">
        <v>140</v>
      </c>
    </row>
    <row r="28" customFormat="false" ht="15" hidden="false" customHeight="false" outlineLevel="0" collapsed="false">
      <c r="A28" s="9" t="s">
        <v>71</v>
      </c>
      <c r="B28" s="9" t="s">
        <v>110</v>
      </c>
      <c r="C28" s="15" t="s">
        <v>90</v>
      </c>
      <c r="D28" s="15" t="s">
        <v>122</v>
      </c>
      <c r="E28" s="9" t="s">
        <v>141</v>
      </c>
      <c r="F28" s="15" t="s">
        <v>92</v>
      </c>
      <c r="G28" s="9" t="s">
        <v>142</v>
      </c>
    </row>
    <row r="29" customFormat="false" ht="15" hidden="false" customHeight="false" outlineLevel="0" collapsed="false">
      <c r="A29" s="9" t="s">
        <v>71</v>
      </c>
      <c r="B29" s="9" t="s">
        <v>143</v>
      </c>
      <c r="C29" s="15" t="s">
        <v>118</v>
      </c>
      <c r="D29" s="15"/>
      <c r="E29" s="9"/>
      <c r="F29" s="15" t="s">
        <v>92</v>
      </c>
      <c r="G29" s="9" t="s">
        <v>144</v>
      </c>
    </row>
    <row r="30" customFormat="false" ht="15" hidden="false" customHeight="false" outlineLevel="0" collapsed="false">
      <c r="A30" s="9" t="s">
        <v>71</v>
      </c>
      <c r="B30" s="9" t="s">
        <v>145</v>
      </c>
      <c r="C30" s="15" t="s">
        <v>133</v>
      </c>
      <c r="D30" s="15"/>
      <c r="E30" s="9"/>
      <c r="F30" s="15" t="s">
        <v>127</v>
      </c>
      <c r="G30" s="9" t="s">
        <v>146</v>
      </c>
    </row>
    <row r="31" customFormat="false" ht="15" hidden="false" customHeight="false" outlineLevel="0" collapsed="false">
      <c r="A31" s="9" t="s">
        <v>71</v>
      </c>
      <c r="B31" s="9" t="s">
        <v>147</v>
      </c>
      <c r="C31" s="15" t="s">
        <v>118</v>
      </c>
      <c r="D31" s="15"/>
      <c r="E31" s="9"/>
      <c r="F31" s="15" t="s">
        <v>127</v>
      </c>
      <c r="G31" s="9" t="s">
        <v>148</v>
      </c>
    </row>
    <row r="32" customFormat="false" ht="15" hidden="false" customHeight="false" outlineLevel="0" collapsed="false">
      <c r="A32" s="9" t="s">
        <v>71</v>
      </c>
      <c r="B32" s="9" t="s">
        <v>149</v>
      </c>
      <c r="C32" s="15" t="s">
        <v>133</v>
      </c>
      <c r="D32" s="15"/>
      <c r="E32" s="9"/>
      <c r="F32" s="15" t="s">
        <v>127</v>
      </c>
      <c r="G32" s="9" t="s">
        <v>150</v>
      </c>
    </row>
    <row r="33" customFormat="false" ht="15" hidden="false" customHeight="false" outlineLevel="0" collapsed="false">
      <c r="A33" s="9" t="s">
        <v>71</v>
      </c>
      <c r="B33" s="9" t="s">
        <v>151</v>
      </c>
      <c r="C33" s="15" t="s">
        <v>118</v>
      </c>
      <c r="D33" s="15"/>
      <c r="E33" s="9"/>
      <c r="F33" s="15" t="s">
        <v>127</v>
      </c>
      <c r="G33" s="9" t="s">
        <v>152</v>
      </c>
    </row>
    <row r="34" customFormat="false" ht="15" hidden="false" customHeight="false" outlineLevel="0" collapsed="false">
      <c r="A34" s="9" t="s">
        <v>71</v>
      </c>
      <c r="B34" s="9" t="s">
        <v>153</v>
      </c>
      <c r="C34" s="15" t="s">
        <v>90</v>
      </c>
      <c r="D34" s="15"/>
      <c r="E34" s="9"/>
      <c r="F34" s="15" t="s">
        <v>127</v>
      </c>
      <c r="G34" s="9" t="s">
        <v>154</v>
      </c>
    </row>
    <row r="35" customFormat="false" ht="15" hidden="false" customHeight="false" outlineLevel="0" collapsed="false">
      <c r="A35" s="9" t="s">
        <v>74</v>
      </c>
      <c r="B35" s="9" t="s">
        <v>67</v>
      </c>
      <c r="C35" s="15" t="s">
        <v>90</v>
      </c>
      <c r="D35" s="15" t="s">
        <v>122</v>
      </c>
      <c r="E35" s="9" t="s">
        <v>139</v>
      </c>
      <c r="F35" s="15" t="s">
        <v>92</v>
      </c>
      <c r="G35" s="9" t="s">
        <v>155</v>
      </c>
    </row>
    <row r="36" customFormat="false" ht="15" hidden="false" customHeight="false" outlineLevel="0" collapsed="false">
      <c r="A36" s="9" t="s">
        <v>74</v>
      </c>
      <c r="B36" s="9" t="s">
        <v>89</v>
      </c>
      <c r="C36" s="15" t="s">
        <v>90</v>
      </c>
      <c r="D36" s="15" t="s">
        <v>122</v>
      </c>
      <c r="E36" s="9" t="s">
        <v>112</v>
      </c>
      <c r="F36" s="15" t="s">
        <v>92</v>
      </c>
      <c r="G36" s="9" t="s">
        <v>156</v>
      </c>
    </row>
    <row r="37" customFormat="false" ht="15" hidden="false" customHeight="false" outlineLevel="0" collapsed="false">
      <c r="A37" s="9" t="s">
        <v>74</v>
      </c>
      <c r="B37" s="9" t="s">
        <v>157</v>
      </c>
      <c r="C37" s="15" t="s">
        <v>90</v>
      </c>
      <c r="D37" s="15" t="s">
        <v>95</v>
      </c>
      <c r="E37" s="9"/>
      <c r="F37" s="15" t="s">
        <v>92</v>
      </c>
      <c r="G37" s="9" t="s">
        <v>158</v>
      </c>
    </row>
    <row r="38" customFormat="false" ht="15" hidden="false" customHeight="false" outlineLevel="0" collapsed="false">
      <c r="A38" s="9" t="s">
        <v>74</v>
      </c>
      <c r="B38" s="9" t="s">
        <v>159</v>
      </c>
      <c r="C38" s="15" t="s">
        <v>118</v>
      </c>
      <c r="D38" s="15"/>
      <c r="E38" s="9"/>
      <c r="F38" s="15" t="s">
        <v>92</v>
      </c>
      <c r="G38" s="9" t="s">
        <v>160</v>
      </c>
    </row>
    <row r="39" customFormat="false" ht="15" hidden="false" customHeight="false" outlineLevel="0" collapsed="false">
      <c r="A39" s="9" t="s">
        <v>74</v>
      </c>
      <c r="B39" s="9" t="s">
        <v>161</v>
      </c>
      <c r="C39" s="15" t="s">
        <v>118</v>
      </c>
      <c r="D39" s="15"/>
      <c r="E39" s="9"/>
      <c r="F39" s="15" t="s">
        <v>92</v>
      </c>
      <c r="G39" s="9" t="s">
        <v>162</v>
      </c>
    </row>
    <row r="40" customFormat="false" ht="15" hidden="false" customHeight="false" outlineLevel="0" collapsed="false">
      <c r="A40" s="9" t="s">
        <v>74</v>
      </c>
      <c r="B40" s="9" t="s">
        <v>163</v>
      </c>
      <c r="C40" s="15" t="s">
        <v>118</v>
      </c>
      <c r="D40" s="15"/>
      <c r="E40" s="9"/>
      <c r="F40" s="15" t="s">
        <v>92</v>
      </c>
      <c r="G40" s="9" t="s">
        <v>164</v>
      </c>
    </row>
    <row r="41" customFormat="false" ht="15" hidden="false" customHeight="false" outlineLevel="0" collapsed="false">
      <c r="A41" s="9" t="s">
        <v>74</v>
      </c>
      <c r="B41" s="9" t="s">
        <v>120</v>
      </c>
      <c r="C41" s="15" t="s">
        <v>118</v>
      </c>
      <c r="D41" s="15"/>
      <c r="E41" s="9"/>
      <c r="F41" s="15" t="s">
        <v>92</v>
      </c>
      <c r="G41" s="9" t="s">
        <v>165</v>
      </c>
    </row>
    <row r="42" customFormat="false" ht="23.85" hidden="false" customHeight="false" outlineLevel="0" collapsed="false">
      <c r="A42" s="9" t="s">
        <v>74</v>
      </c>
      <c r="B42" s="9" t="s">
        <v>166</v>
      </c>
      <c r="C42" s="15" t="s">
        <v>118</v>
      </c>
      <c r="D42" s="15"/>
      <c r="E42" s="9"/>
      <c r="F42" s="15" t="s">
        <v>92</v>
      </c>
      <c r="G42" s="9" t="s">
        <v>167</v>
      </c>
    </row>
    <row r="43" customFormat="false" ht="15" hidden="false" customHeight="false" outlineLevel="0" collapsed="false">
      <c r="A43" s="9" t="s">
        <v>74</v>
      </c>
      <c r="B43" s="9" t="s">
        <v>168</v>
      </c>
      <c r="C43" s="15" t="s">
        <v>118</v>
      </c>
      <c r="D43" s="15"/>
      <c r="E43" s="9"/>
      <c r="F43" s="15" t="s">
        <v>92</v>
      </c>
      <c r="G43" s="9" t="s">
        <v>169</v>
      </c>
    </row>
    <row r="44" customFormat="false" ht="15" hidden="false" customHeight="false" outlineLevel="0" collapsed="false">
      <c r="A44" s="9" t="s">
        <v>74</v>
      </c>
      <c r="B44" s="9" t="s">
        <v>170</v>
      </c>
      <c r="C44" s="15" t="s">
        <v>118</v>
      </c>
      <c r="D44" s="15"/>
      <c r="E44" s="9"/>
      <c r="F44" s="15" t="s">
        <v>92</v>
      </c>
      <c r="G44" s="9" t="s">
        <v>171</v>
      </c>
    </row>
    <row r="45" customFormat="false" ht="15" hidden="false" customHeight="false" outlineLevel="0" collapsed="false">
      <c r="A45" s="9" t="s">
        <v>74</v>
      </c>
      <c r="B45" s="9" t="s">
        <v>172</v>
      </c>
      <c r="C45" s="15" t="s">
        <v>118</v>
      </c>
      <c r="D45" s="15"/>
      <c r="E45" s="9"/>
      <c r="F45" s="15" t="s">
        <v>92</v>
      </c>
      <c r="G45" s="9" t="s">
        <v>173</v>
      </c>
    </row>
    <row r="46" customFormat="false" ht="15" hidden="false" customHeight="false" outlineLevel="0" collapsed="false">
      <c r="A46" s="9" t="s">
        <v>74</v>
      </c>
      <c r="B46" s="9" t="s">
        <v>174</v>
      </c>
      <c r="C46" s="15" t="s">
        <v>175</v>
      </c>
      <c r="D46" s="15"/>
      <c r="E46" s="9"/>
      <c r="F46" s="15" t="s">
        <v>92</v>
      </c>
      <c r="G46" s="9" t="s">
        <v>176</v>
      </c>
    </row>
    <row r="47" customFormat="false" ht="15" hidden="false" customHeight="false" outlineLevel="0" collapsed="false">
      <c r="A47" s="9" t="s">
        <v>74</v>
      </c>
      <c r="B47" s="9" t="s">
        <v>177</v>
      </c>
      <c r="C47" s="15" t="s">
        <v>118</v>
      </c>
      <c r="D47" s="15"/>
      <c r="E47" s="9"/>
      <c r="F47" s="15" t="s">
        <v>92</v>
      </c>
      <c r="G47" s="9" t="s">
        <v>178</v>
      </c>
    </row>
    <row r="48" customFormat="false" ht="15" hidden="false" customHeight="false" outlineLevel="0" collapsed="false">
      <c r="A48" s="9" t="s">
        <v>74</v>
      </c>
      <c r="B48" s="9" t="s">
        <v>179</v>
      </c>
      <c r="C48" s="15" t="s">
        <v>133</v>
      </c>
      <c r="D48" s="15"/>
      <c r="E48" s="9"/>
      <c r="F48" s="15" t="s">
        <v>127</v>
      </c>
      <c r="G48" s="9" t="s">
        <v>180</v>
      </c>
    </row>
    <row r="49" customFormat="false" ht="15" hidden="false" customHeight="false" outlineLevel="0" collapsed="false">
      <c r="A49" s="9" t="s">
        <v>77</v>
      </c>
      <c r="B49" s="9" t="s">
        <v>181</v>
      </c>
      <c r="C49" s="15" t="s">
        <v>90</v>
      </c>
      <c r="D49" s="15" t="s">
        <v>91</v>
      </c>
      <c r="E49" s="9"/>
      <c r="F49" s="15" t="s">
        <v>92</v>
      </c>
      <c r="G49" s="9" t="s">
        <v>182</v>
      </c>
    </row>
    <row r="50" customFormat="false" ht="15" hidden="false" customHeight="false" outlineLevel="0" collapsed="false">
      <c r="A50" s="9" t="s">
        <v>77</v>
      </c>
      <c r="B50" s="9" t="s">
        <v>183</v>
      </c>
      <c r="C50" s="15" t="s">
        <v>90</v>
      </c>
      <c r="D50" s="15"/>
      <c r="E50" s="9"/>
      <c r="F50" s="15" t="s">
        <v>92</v>
      </c>
      <c r="G50" s="9" t="s">
        <v>184</v>
      </c>
    </row>
    <row r="51" customFormat="false" ht="15" hidden="false" customHeight="false" outlineLevel="0" collapsed="false">
      <c r="A51" s="9" t="s">
        <v>77</v>
      </c>
      <c r="B51" s="9" t="s">
        <v>185</v>
      </c>
      <c r="C51" s="15" t="s">
        <v>90</v>
      </c>
      <c r="D51" s="15"/>
      <c r="E51" s="9"/>
      <c r="F51" s="15" t="s">
        <v>127</v>
      </c>
      <c r="G51" s="9" t="s">
        <v>186</v>
      </c>
    </row>
  </sheetData>
  <autoFilter ref="A4:G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4" min="3" style="0" width="14"/>
    <col collapsed="false" customWidth="true" hidden="false" outlineLevel="0" max="5" min="5" style="0" width="30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187</v>
      </c>
    </row>
    <row r="2" customFormat="false" ht="15" hidden="false" customHeight="false" outlineLevel="0" collapsed="false">
      <c r="A2" s="2" t="s">
        <v>188</v>
      </c>
    </row>
    <row r="4" customFormat="false" ht="30" hidden="false" customHeight="true" outlineLevel="0" collapsed="false">
      <c r="A4" s="13" t="s">
        <v>189</v>
      </c>
      <c r="B4" s="13" t="s">
        <v>190</v>
      </c>
      <c r="C4" s="13" t="s">
        <v>191</v>
      </c>
      <c r="D4" s="13" t="s">
        <v>192</v>
      </c>
      <c r="E4" s="13" t="s">
        <v>193</v>
      </c>
      <c r="F4" s="13" t="s">
        <v>194</v>
      </c>
    </row>
    <row r="5" customFormat="false" ht="15" hidden="false" customHeight="false" outlineLevel="0" collapsed="false">
      <c r="A5" s="9" t="s">
        <v>60</v>
      </c>
      <c r="B5" s="9" t="s">
        <v>53</v>
      </c>
      <c r="C5" s="15" t="s">
        <v>195</v>
      </c>
      <c r="D5" s="9" t="s">
        <v>196</v>
      </c>
      <c r="E5" s="9" t="s">
        <v>197</v>
      </c>
      <c r="F5" s="9" t="s">
        <v>198</v>
      </c>
    </row>
    <row r="6" customFormat="false" ht="15" hidden="false" customHeight="false" outlineLevel="0" collapsed="false">
      <c r="A6" s="9" t="s">
        <v>60</v>
      </c>
      <c r="B6" s="9" t="s">
        <v>64</v>
      </c>
      <c r="C6" s="15" t="s">
        <v>195</v>
      </c>
      <c r="D6" s="9" t="s">
        <v>199</v>
      </c>
      <c r="E6" s="9" t="s">
        <v>200</v>
      </c>
      <c r="F6" s="9" t="s">
        <v>201</v>
      </c>
    </row>
    <row r="7" customFormat="false" ht="15" hidden="false" customHeight="false" outlineLevel="0" collapsed="false">
      <c r="A7" s="9" t="s">
        <v>53</v>
      </c>
      <c r="B7" s="9" t="s">
        <v>57</v>
      </c>
      <c r="C7" s="15" t="s">
        <v>202</v>
      </c>
      <c r="D7" s="9" t="s">
        <v>203</v>
      </c>
      <c r="E7" s="9" t="s">
        <v>204</v>
      </c>
      <c r="F7" s="9" t="s">
        <v>205</v>
      </c>
    </row>
    <row r="8" customFormat="false" ht="15" hidden="false" customHeight="false" outlineLevel="0" collapsed="false">
      <c r="A8" s="9" t="s">
        <v>67</v>
      </c>
      <c r="B8" s="9" t="s">
        <v>71</v>
      </c>
      <c r="C8" s="15" t="s">
        <v>195</v>
      </c>
      <c r="D8" s="9" t="s">
        <v>206</v>
      </c>
      <c r="E8" s="9" t="s">
        <v>207</v>
      </c>
      <c r="F8" s="9" t="s">
        <v>208</v>
      </c>
    </row>
    <row r="9" customFormat="false" ht="15" hidden="false" customHeight="false" outlineLevel="0" collapsed="false">
      <c r="A9" s="9" t="s">
        <v>57</v>
      </c>
      <c r="B9" s="9" t="s">
        <v>71</v>
      </c>
      <c r="C9" s="15" t="s">
        <v>195</v>
      </c>
      <c r="D9" s="9" t="s">
        <v>209</v>
      </c>
      <c r="E9" s="9" t="s">
        <v>210</v>
      </c>
      <c r="F9" s="9" t="s">
        <v>211</v>
      </c>
    </row>
    <row r="10" customFormat="false" ht="15" hidden="false" customHeight="false" outlineLevel="0" collapsed="false">
      <c r="A10" s="9" t="s">
        <v>67</v>
      </c>
      <c r="B10" s="9" t="s">
        <v>74</v>
      </c>
      <c r="C10" s="15" t="s">
        <v>195</v>
      </c>
      <c r="D10" s="9" t="s">
        <v>212</v>
      </c>
      <c r="E10" s="9" t="s">
        <v>213</v>
      </c>
      <c r="F10" s="9" t="s">
        <v>214</v>
      </c>
    </row>
    <row r="11" customFormat="false" ht="15" hidden="false" customHeight="false" outlineLevel="0" collapsed="false">
      <c r="A11" s="9" t="s">
        <v>53</v>
      </c>
      <c r="B11" s="9" t="s">
        <v>74</v>
      </c>
      <c r="C11" s="15" t="s">
        <v>195</v>
      </c>
      <c r="D11" s="9" t="s">
        <v>215</v>
      </c>
      <c r="E11" s="9" t="s">
        <v>216</v>
      </c>
      <c r="F11" s="9" t="s">
        <v>217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2"/>
    <col collapsed="false" customWidth="true" hidden="false" outlineLevel="0" max="4" min="3" style="0" width="14"/>
    <col collapsed="false" customWidth="true" hidden="false" outlineLevel="0" max="5" min="5" style="0" width="16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218</v>
      </c>
    </row>
    <row r="2" customFormat="false" ht="15" hidden="false" customHeight="false" outlineLevel="0" collapsed="false">
      <c r="A2" s="2" t="s">
        <v>219</v>
      </c>
    </row>
    <row r="4" customFormat="false" ht="15" hidden="false" customHeight="false" outlineLevel="0" collapsed="false">
      <c r="A4" s="16" t="s">
        <v>60</v>
      </c>
      <c r="B4" s="17"/>
      <c r="C4" s="17"/>
      <c r="D4" s="17"/>
      <c r="E4" s="17"/>
      <c r="F4" s="17"/>
    </row>
    <row r="5" customFormat="false" ht="15" hidden="false" customHeight="false" outlineLevel="0" collapsed="false">
      <c r="A5" s="13" t="s">
        <v>115</v>
      </c>
      <c r="B5" s="13" t="s">
        <v>97</v>
      </c>
      <c r="C5" s="13" t="s">
        <v>117</v>
      </c>
      <c r="D5" s="13" t="s">
        <v>120</v>
      </c>
      <c r="E5" s="13"/>
      <c r="F5" s="13" t="s">
        <v>194</v>
      </c>
    </row>
    <row r="6" customFormat="false" ht="15" hidden="false" customHeight="false" outlineLevel="0" collapsed="false">
      <c r="A6" s="9" t="s">
        <v>220</v>
      </c>
      <c r="B6" s="9" t="s">
        <v>221</v>
      </c>
      <c r="C6" s="18" t="n">
        <v>0</v>
      </c>
      <c r="D6" s="18" t="n">
        <v>1.5</v>
      </c>
      <c r="E6" s="9"/>
      <c r="F6" s="9" t="s">
        <v>222</v>
      </c>
    </row>
    <row r="7" customFormat="false" ht="15" hidden="false" customHeight="false" outlineLevel="0" collapsed="false">
      <c r="A7" s="9" t="s">
        <v>223</v>
      </c>
      <c r="B7" s="9" t="s">
        <v>224</v>
      </c>
      <c r="C7" s="19"/>
      <c r="D7" s="19"/>
      <c r="E7" s="9"/>
      <c r="F7" s="9" t="s">
        <v>225</v>
      </c>
    </row>
    <row r="8" customFormat="false" ht="15" hidden="false" customHeight="false" outlineLevel="0" collapsed="false">
      <c r="A8" s="9" t="s">
        <v>226</v>
      </c>
      <c r="B8" s="9" t="s">
        <v>227</v>
      </c>
      <c r="C8" s="19"/>
      <c r="D8" s="19"/>
      <c r="E8" s="9"/>
      <c r="F8" s="9" t="s">
        <v>225</v>
      </c>
    </row>
    <row r="10" customFormat="false" ht="15" hidden="false" customHeight="false" outlineLevel="0" collapsed="false">
      <c r="A10" s="16" t="s">
        <v>64</v>
      </c>
      <c r="B10" s="17"/>
      <c r="C10" s="17"/>
      <c r="D10" s="17"/>
      <c r="E10" s="17"/>
      <c r="F10" s="17"/>
    </row>
    <row r="11" customFormat="false" ht="15" hidden="false" customHeight="false" outlineLevel="0" collapsed="false">
      <c r="A11" s="13" t="s">
        <v>103</v>
      </c>
      <c r="B11" s="13" t="s">
        <v>124</v>
      </c>
      <c r="C11" s="13" t="s">
        <v>126</v>
      </c>
      <c r="D11" s="13" t="s">
        <v>129</v>
      </c>
      <c r="E11" s="13"/>
      <c r="F11" s="13" t="s">
        <v>194</v>
      </c>
    </row>
    <row r="12" customFormat="false" ht="23.85" hidden="false" customHeight="false" outlineLevel="0" collapsed="false">
      <c r="A12" s="9" t="s">
        <v>220</v>
      </c>
      <c r="B12" s="18" t="n">
        <v>0</v>
      </c>
      <c r="C12" s="18"/>
      <c r="D12" s="19" t="n">
        <v>1</v>
      </c>
      <c r="E12" s="9"/>
      <c r="F12" s="9" t="s">
        <v>228</v>
      </c>
    </row>
    <row r="13" customFormat="false" ht="15" hidden="false" customHeight="false" outlineLevel="0" collapsed="false">
      <c r="A13" s="9" t="s">
        <v>223</v>
      </c>
      <c r="B13" s="18" t="n">
        <v>0</v>
      </c>
      <c r="C13" s="18"/>
      <c r="D13" s="19"/>
      <c r="E13" s="9"/>
      <c r="F13" s="9" t="s">
        <v>225</v>
      </c>
    </row>
    <row r="14" customFormat="false" ht="15" hidden="false" customHeight="false" outlineLevel="0" collapsed="false">
      <c r="A14" s="9" t="s">
        <v>226</v>
      </c>
      <c r="B14" s="18" t="n">
        <v>0</v>
      </c>
      <c r="C14" s="18"/>
      <c r="D14" s="19"/>
      <c r="E14" s="9"/>
      <c r="F14" s="9" t="s">
        <v>225</v>
      </c>
    </row>
    <row r="16" customFormat="false" ht="15" hidden="false" customHeight="false" outlineLevel="0" collapsed="false">
      <c r="A16" s="16" t="s">
        <v>229</v>
      </c>
      <c r="B16" s="17"/>
      <c r="C16" s="17"/>
      <c r="D16" s="17"/>
      <c r="E16" s="17"/>
      <c r="F16" s="17"/>
    </row>
    <row r="17" customFormat="false" ht="23.85" hidden="false" customHeight="false" outlineLevel="0" collapsed="false">
      <c r="A17" s="13" t="s">
        <v>230</v>
      </c>
      <c r="B17" s="13" t="s">
        <v>97</v>
      </c>
      <c r="C17" s="13" t="s">
        <v>231</v>
      </c>
      <c r="D17" s="13" t="s">
        <v>232</v>
      </c>
      <c r="E17" s="13"/>
      <c r="F17" s="13" t="s">
        <v>194</v>
      </c>
    </row>
    <row r="18" customFormat="false" ht="15" hidden="false" customHeight="false" outlineLevel="0" collapsed="false">
      <c r="A18" s="18" t="n">
        <v>1</v>
      </c>
      <c r="B18" s="18" t="s">
        <v>233</v>
      </c>
      <c r="C18" s="20" t="s">
        <v>234</v>
      </c>
      <c r="D18" s="21" t="b">
        <f aca="false">FALSE()</f>
        <v>0</v>
      </c>
      <c r="E18" s="9"/>
      <c r="F18" s="9" t="s">
        <v>235</v>
      </c>
    </row>
    <row r="19" customFormat="false" ht="15" hidden="false" customHeight="false" outlineLevel="0" collapsed="false">
      <c r="A19" s="18" t="n">
        <v>2</v>
      </c>
      <c r="B19" s="18" t="s">
        <v>236</v>
      </c>
      <c r="C19" s="22" t="s">
        <v>237</v>
      </c>
      <c r="D19" s="21" t="b">
        <f aca="false">FALSE()</f>
        <v>0</v>
      </c>
      <c r="E19" s="9"/>
      <c r="F19" s="9" t="s">
        <v>238</v>
      </c>
    </row>
    <row r="20" customFormat="false" ht="23.85" hidden="false" customHeight="false" outlineLevel="0" collapsed="false">
      <c r="A20" s="18" t="n">
        <v>3</v>
      </c>
      <c r="B20" s="18" t="s">
        <v>239</v>
      </c>
      <c r="C20" s="23" t="s">
        <v>240</v>
      </c>
      <c r="D20" s="21" t="b">
        <f aca="false">TRUE()</f>
        <v>1</v>
      </c>
      <c r="E20" s="9"/>
      <c r="F20" s="9" t="s">
        <v>241</v>
      </c>
    </row>
    <row r="22" customFormat="false" ht="15" hidden="false" customHeight="false" outlineLevel="0" collapsed="false">
      <c r="A22" s="16" t="s">
        <v>77</v>
      </c>
      <c r="B22" s="17"/>
      <c r="C22" s="17"/>
      <c r="D22" s="17"/>
      <c r="E22" s="17"/>
      <c r="F22" s="17"/>
    </row>
    <row r="23" customFormat="false" ht="15" hidden="false" customHeight="false" outlineLevel="0" collapsed="false">
      <c r="A23" s="13" t="s">
        <v>181</v>
      </c>
      <c r="B23" s="13" t="s">
        <v>183</v>
      </c>
      <c r="C23" s="13"/>
      <c r="D23" s="13"/>
      <c r="E23" s="13"/>
      <c r="F23" s="13" t="s">
        <v>242</v>
      </c>
    </row>
    <row r="24" customFormat="false" ht="15" hidden="false" customHeight="true" outlineLevel="0" collapsed="false">
      <c r="A24" s="9" t="s">
        <v>243</v>
      </c>
      <c r="B24" s="18" t="s">
        <v>244</v>
      </c>
      <c r="C24" s="18"/>
      <c r="D24" s="18"/>
      <c r="E24" s="18"/>
      <c r="F24" s="9" t="s">
        <v>245</v>
      </c>
    </row>
    <row r="25" customFormat="false" ht="15" hidden="false" customHeight="false" outlineLevel="0" collapsed="false">
      <c r="A25" s="9" t="s">
        <v>246</v>
      </c>
      <c r="B25" s="21" t="b">
        <f aca="false">FALSE()</f>
        <v>0</v>
      </c>
      <c r="C25" s="21"/>
      <c r="D25" s="21"/>
      <c r="E25" s="21"/>
      <c r="F25" s="9" t="s">
        <v>247</v>
      </c>
    </row>
    <row r="26" customFormat="false" ht="15" hidden="false" customHeight="false" outlineLevel="0" collapsed="false">
      <c r="A26" s="9" t="s">
        <v>248</v>
      </c>
      <c r="B26" s="24" t="n">
        <v>0.18</v>
      </c>
      <c r="C26" s="24"/>
      <c r="D26" s="24"/>
      <c r="E26" s="24"/>
      <c r="F26" s="9" t="s">
        <v>249</v>
      </c>
    </row>
    <row r="27" customFormat="false" ht="15" hidden="false" customHeight="false" outlineLevel="0" collapsed="false">
      <c r="A27" s="9" t="s">
        <v>250</v>
      </c>
      <c r="B27" s="18" t="n">
        <v>15</v>
      </c>
      <c r="C27" s="18"/>
      <c r="D27" s="18"/>
      <c r="E27" s="18"/>
      <c r="F27" s="9" t="s">
        <v>251</v>
      </c>
    </row>
    <row r="28" customFormat="false" ht="15" hidden="false" customHeight="false" outlineLevel="0" collapsed="false">
      <c r="A28" s="9" t="s">
        <v>252</v>
      </c>
      <c r="B28" s="19"/>
      <c r="C28" s="19"/>
      <c r="D28" s="19"/>
      <c r="E28" s="19"/>
      <c r="F28" s="9" t="s">
        <v>253</v>
      </c>
    </row>
    <row r="29" customFormat="false" ht="15" hidden="false" customHeight="true" outlineLevel="0" collapsed="false">
      <c r="A29" s="9" t="s">
        <v>254</v>
      </c>
      <c r="B29" s="18" t="s">
        <v>255</v>
      </c>
      <c r="C29" s="18"/>
      <c r="D29" s="18"/>
      <c r="E29" s="18"/>
      <c r="F29" s="9" t="s">
        <v>256</v>
      </c>
    </row>
    <row r="30" customFormat="false" ht="15" hidden="false" customHeight="false" outlineLevel="0" collapsed="false">
      <c r="A30" s="9" t="s">
        <v>257</v>
      </c>
      <c r="B30" s="19"/>
      <c r="C30" s="19"/>
      <c r="D30" s="19"/>
      <c r="E30" s="19"/>
      <c r="F30" s="9" t="s">
        <v>258</v>
      </c>
    </row>
    <row r="31" customFormat="false" ht="23.85" hidden="false" customHeight="true" outlineLevel="0" collapsed="false">
      <c r="A31" s="9" t="s">
        <v>259</v>
      </c>
      <c r="B31" s="18" t="s">
        <v>260</v>
      </c>
      <c r="C31" s="18"/>
      <c r="D31" s="18"/>
      <c r="E31" s="18"/>
      <c r="F31" s="9" t="s">
        <v>261</v>
      </c>
    </row>
    <row r="32" customFormat="false" ht="15" hidden="false" customHeight="true" outlineLevel="0" collapsed="false">
      <c r="A32" s="9" t="s">
        <v>262</v>
      </c>
      <c r="B32" s="18" t="s">
        <v>263</v>
      </c>
      <c r="C32" s="18"/>
      <c r="D32" s="18"/>
      <c r="E32" s="18"/>
      <c r="F32" s="9" t="s">
        <v>261</v>
      </c>
    </row>
    <row r="34" customFormat="false" ht="15" hidden="false" customHeight="false" outlineLevel="0" collapsed="false">
      <c r="A34" s="16" t="s">
        <v>264</v>
      </c>
      <c r="B34" s="17"/>
      <c r="C34" s="17"/>
      <c r="D34" s="17"/>
      <c r="E34" s="17"/>
      <c r="F34" s="17"/>
    </row>
    <row r="35" customFormat="false" ht="15" hidden="false" customHeight="false" outlineLevel="0" collapsed="false">
      <c r="A35" s="18" t="s">
        <v>265</v>
      </c>
      <c r="B35" s="9"/>
      <c r="C35" s="9"/>
      <c r="D35" s="9"/>
      <c r="E35" s="9"/>
      <c r="F35" s="9" t="s">
        <v>266</v>
      </c>
    </row>
    <row r="36" customFormat="false" ht="15" hidden="false" customHeight="false" outlineLevel="0" collapsed="false">
      <c r="A36" s="18" t="s">
        <v>267</v>
      </c>
      <c r="B36" s="9"/>
      <c r="C36" s="9"/>
      <c r="D36" s="9"/>
      <c r="E36" s="9"/>
      <c r="F36" s="9" t="s">
        <v>266</v>
      </c>
    </row>
    <row r="37" customFormat="false" ht="15" hidden="false" customHeight="false" outlineLevel="0" collapsed="false">
      <c r="A37" s="18" t="s">
        <v>268</v>
      </c>
      <c r="B37" s="9"/>
      <c r="C37" s="9"/>
      <c r="D37" s="9"/>
      <c r="E37" s="9"/>
      <c r="F37" s="9" t="s">
        <v>266</v>
      </c>
    </row>
    <row r="38" customFormat="false" ht="15" hidden="false" customHeight="false" outlineLevel="0" collapsed="false">
      <c r="A38" s="18" t="s">
        <v>269</v>
      </c>
      <c r="B38" s="9"/>
      <c r="C38" s="9"/>
      <c r="D38" s="9"/>
      <c r="E38" s="9"/>
      <c r="F38" s="9" t="s">
        <v>266</v>
      </c>
    </row>
    <row r="39" customFormat="false" ht="15" hidden="false" customHeight="false" outlineLevel="0" collapsed="false">
      <c r="A39" s="18" t="s">
        <v>270</v>
      </c>
      <c r="B39" s="9"/>
      <c r="C39" s="9"/>
      <c r="D39" s="9"/>
      <c r="E39" s="9"/>
      <c r="F39" s="9" t="s">
        <v>266</v>
      </c>
    </row>
    <row r="40" customFormat="false" ht="15" hidden="false" customHeight="false" outlineLevel="0" collapsed="false">
      <c r="A40" s="18" t="s">
        <v>271</v>
      </c>
      <c r="B40" s="9"/>
      <c r="C40" s="9"/>
      <c r="D40" s="9"/>
      <c r="E40" s="9"/>
      <c r="F40" s="9" t="s">
        <v>266</v>
      </c>
    </row>
  </sheetData>
  <mergeCells count="9"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72"/>
  </cols>
  <sheetData>
    <row r="1" customFormat="false" ht="17.35" hidden="false" customHeight="false" outlineLevel="0" collapsed="false">
      <c r="A1" s="1" t="s">
        <v>272</v>
      </c>
    </row>
    <row r="2" customFormat="false" ht="15" hidden="false" customHeight="false" outlineLevel="0" collapsed="false">
      <c r="A2" s="2" t="s">
        <v>273</v>
      </c>
    </row>
    <row r="4" customFormat="false" ht="15" hidden="false" customHeight="false" outlineLevel="0" collapsed="false">
      <c r="A4" s="25" t="s">
        <v>274</v>
      </c>
      <c r="B4" s="17"/>
      <c r="C4" s="17"/>
    </row>
    <row r="5" customFormat="false" ht="15" hidden="false" customHeight="false" outlineLevel="0" collapsed="false">
      <c r="A5" s="4" t="s">
        <v>275</v>
      </c>
      <c r="B5" s="26" t="n">
        <v>42</v>
      </c>
      <c r="C5" s="27" t="s">
        <v>276</v>
      </c>
    </row>
    <row r="6" customFormat="false" ht="15" hidden="false" customHeight="false" outlineLevel="0" collapsed="false">
      <c r="A6" s="4" t="s">
        <v>277</v>
      </c>
      <c r="B6" s="26" t="n">
        <v>58</v>
      </c>
      <c r="C6" s="27" t="s">
        <v>278</v>
      </c>
    </row>
    <row r="7" customFormat="false" ht="15" hidden="false" customHeight="false" outlineLevel="0" collapsed="false">
      <c r="A7" s="4" t="s">
        <v>279</v>
      </c>
      <c r="B7" s="26" t="n">
        <v>0</v>
      </c>
      <c r="C7" s="27" t="s">
        <v>280</v>
      </c>
    </row>
    <row r="8" customFormat="false" ht="15" hidden="false" customHeight="false" outlineLevel="0" collapsed="false">
      <c r="A8" s="4" t="s">
        <v>281</v>
      </c>
      <c r="B8" s="26" t="n">
        <v>0</v>
      </c>
      <c r="C8" s="27"/>
    </row>
    <row r="9" customFormat="false" ht="15" hidden="false" customHeight="false" outlineLevel="0" collapsed="false">
      <c r="A9" s="4" t="s">
        <v>282</v>
      </c>
      <c r="B9" s="26" t="n">
        <v>0</v>
      </c>
      <c r="C9" s="27" t="s">
        <v>283</v>
      </c>
    </row>
    <row r="10" customFormat="false" ht="15" hidden="false" customHeight="false" outlineLevel="0" collapsed="false">
      <c r="A10" s="4" t="s">
        <v>284</v>
      </c>
      <c r="B10" s="26" t="n">
        <v>0</v>
      </c>
      <c r="C10" s="27"/>
    </row>
    <row r="11" customFormat="false" ht="15" hidden="false" customHeight="false" outlineLevel="0" collapsed="false">
      <c r="A11" s="4" t="s">
        <v>285</v>
      </c>
      <c r="B11" s="28" t="n">
        <v>0</v>
      </c>
      <c r="C11" s="27"/>
    </row>
    <row r="12" customFormat="false" ht="15" hidden="false" customHeight="false" outlineLevel="0" collapsed="false">
      <c r="A12" s="4" t="s">
        <v>286</v>
      </c>
      <c r="B12" s="26" t="n">
        <v>0</v>
      </c>
      <c r="C12" s="27" t="s">
        <v>287</v>
      </c>
    </row>
    <row r="14" customFormat="false" ht="15" hidden="false" customHeight="false" outlineLevel="0" collapsed="false">
      <c r="A14" s="25" t="s">
        <v>288</v>
      </c>
      <c r="B14" s="17"/>
      <c r="C14" s="17"/>
    </row>
    <row r="15" customFormat="false" ht="15" hidden="false" customHeight="false" outlineLevel="0" collapsed="false">
      <c r="A15" s="4" t="s">
        <v>129</v>
      </c>
      <c r="B15" s="29" t="n">
        <f aca="false">Parametros!D12</f>
        <v>1</v>
      </c>
      <c r="C15" s="27" t="s">
        <v>289</v>
      </c>
    </row>
    <row r="16" customFormat="false" ht="15" hidden="false" customHeight="false" outlineLevel="0" collapsed="false">
      <c r="A16" s="4" t="s">
        <v>117</v>
      </c>
      <c r="B16" s="29" t="n">
        <f aca="false">Parametros!C6</f>
        <v>0</v>
      </c>
      <c r="C16" s="27"/>
    </row>
    <row r="17" customFormat="false" ht="15" hidden="false" customHeight="false" outlineLevel="0" collapsed="false">
      <c r="A17" s="4" t="s">
        <v>120</v>
      </c>
      <c r="B17" s="29" t="n">
        <f aca="false">Parametros!D6</f>
        <v>1.5</v>
      </c>
      <c r="C17" s="27"/>
    </row>
    <row r="18" customFormat="false" ht="15" hidden="false" customHeight="false" outlineLevel="0" collapsed="false">
      <c r="A18" s="4" t="s">
        <v>246</v>
      </c>
      <c r="B18" s="30" t="b">
        <f aca="false">Parametros!B25</f>
        <v>0</v>
      </c>
      <c r="C18" s="27" t="s">
        <v>290</v>
      </c>
    </row>
    <row r="19" customFormat="false" ht="15" hidden="false" customHeight="false" outlineLevel="0" collapsed="false">
      <c r="A19" s="4" t="s">
        <v>248</v>
      </c>
      <c r="B19" s="31" t="n">
        <f aca="false">Parametros!B26</f>
        <v>0.18</v>
      </c>
      <c r="C19" s="27"/>
    </row>
    <row r="21" customFormat="false" ht="15" hidden="false" customHeight="false" outlineLevel="0" collapsed="false">
      <c r="A21" s="25" t="s">
        <v>291</v>
      </c>
      <c r="B21" s="17"/>
      <c r="C21" s="17"/>
    </row>
    <row r="22" customFormat="false" ht="15" hidden="false" customHeight="false" outlineLevel="0" collapsed="false">
      <c r="A22" s="4" t="s">
        <v>159</v>
      </c>
      <c r="B22" s="32" t="n">
        <f aca="false">(B6-B5)+(B8-B7)</f>
        <v>16</v>
      </c>
      <c r="C22" s="27" t="s">
        <v>292</v>
      </c>
    </row>
    <row r="23" customFormat="false" ht="15" hidden="false" customHeight="false" outlineLevel="0" collapsed="false">
      <c r="A23" s="4" t="s">
        <v>161</v>
      </c>
      <c r="B23" s="32" t="n">
        <f aca="false">ROUND(B22*B15,2)</f>
        <v>16</v>
      </c>
      <c r="C23" s="27" t="s">
        <v>293</v>
      </c>
    </row>
    <row r="24" customFormat="false" ht="15" hidden="false" customHeight="false" outlineLevel="0" collapsed="false">
      <c r="A24" s="4" t="s">
        <v>163</v>
      </c>
      <c r="B24" s="32" t="n">
        <f aca="false">B16</f>
        <v>0</v>
      </c>
      <c r="C24" s="27"/>
    </row>
    <row r="25" customFormat="false" ht="15" hidden="false" customHeight="false" outlineLevel="0" collapsed="false">
      <c r="A25" s="4" t="s">
        <v>120</v>
      </c>
      <c r="B25" s="32" t="n">
        <f aca="false">B17</f>
        <v>1.5</v>
      </c>
      <c r="C25" s="27"/>
    </row>
    <row r="26" customFormat="false" ht="15" hidden="false" customHeight="false" outlineLevel="0" collapsed="false">
      <c r="A26" s="4" t="s">
        <v>166</v>
      </c>
      <c r="B26" s="32" t="n">
        <f aca="false">MAX(0,B9-B10)</f>
        <v>0</v>
      </c>
      <c r="C26" s="27" t="s">
        <v>294</v>
      </c>
    </row>
    <row r="27" customFormat="false" ht="15" hidden="false" customHeight="false" outlineLevel="0" collapsed="false">
      <c r="A27" s="4" t="s">
        <v>295</v>
      </c>
      <c r="B27" s="32" t="n">
        <f aca="false">B23+B24+B25</f>
        <v>17.5</v>
      </c>
      <c r="C27" s="27" t="s">
        <v>296</v>
      </c>
    </row>
    <row r="28" customFormat="false" ht="15" hidden="false" customHeight="false" outlineLevel="0" collapsed="false">
      <c r="A28" s="4" t="s">
        <v>168</v>
      </c>
      <c r="B28" s="32" t="n">
        <f aca="false">IF(B18,ROUND(B19*B27,2),0)</f>
        <v>0</v>
      </c>
      <c r="C28" s="27" t="s">
        <v>297</v>
      </c>
    </row>
    <row r="29" customFormat="false" ht="15" hidden="false" customHeight="false" outlineLevel="0" collapsed="false">
      <c r="A29" s="4" t="s">
        <v>298</v>
      </c>
      <c r="B29" s="32" t="n">
        <f aca="false">B27+B26+B28</f>
        <v>17.5</v>
      </c>
      <c r="C29" s="27"/>
    </row>
    <row r="30" customFormat="false" ht="15" hidden="false" customHeight="false" outlineLevel="0" collapsed="false">
      <c r="A30" s="4" t="s">
        <v>170</v>
      </c>
      <c r="B30" s="32" t="n">
        <f aca="false">ROUND(ROUND(B29,2)-TRUNC(ROUND(B29,2),1),2)</f>
        <v>0</v>
      </c>
      <c r="C30" s="27" t="s">
        <v>299</v>
      </c>
    </row>
    <row r="31" customFormat="false" ht="15" hidden="false" customHeight="false" outlineLevel="0" collapsed="false">
      <c r="A31" s="4" t="s">
        <v>172</v>
      </c>
      <c r="B31" s="33" t="n">
        <f aca="false">ROUND(B29,2)-B30</f>
        <v>17.5</v>
      </c>
      <c r="C31" s="27" t="s">
        <v>300</v>
      </c>
    </row>
    <row r="32" customFormat="false" ht="15" hidden="false" customHeight="false" outlineLevel="0" collapsed="false">
      <c r="A32" s="4" t="s">
        <v>301</v>
      </c>
      <c r="B32" s="32" t="n">
        <f aca="false">B31-B26</f>
        <v>17.5</v>
      </c>
      <c r="C32" s="27" t="s">
        <v>302</v>
      </c>
    </row>
    <row r="34" customFormat="false" ht="15" hidden="false" customHeight="false" outlineLevel="0" collapsed="false">
      <c r="A34" s="25" t="s">
        <v>303</v>
      </c>
      <c r="B34" s="17"/>
      <c r="C34" s="17"/>
    </row>
    <row r="35" customFormat="false" ht="15" hidden="false" customHeight="false" outlineLevel="0" collapsed="false">
      <c r="A35" s="4" t="s">
        <v>174</v>
      </c>
      <c r="B35" s="34" t="n">
        <f aca="false">IF(B10&gt;=B9,1,B11+1)</f>
        <v>1</v>
      </c>
      <c r="C35" s="27" t="s">
        <v>304</v>
      </c>
    </row>
    <row r="36" customFormat="false" ht="15" hidden="false" customHeight="false" outlineLevel="0" collapsed="false">
      <c r="A36" s="4" t="s">
        <v>305</v>
      </c>
      <c r="B36" s="35" t="str">
        <f aca="false">IF(B12&gt;=B31,"AL DIA",INDEX(Parametros!B18:B20,MATCH(B35,Parametros!A18:A20,1)))</f>
        <v>AZUL</v>
      </c>
      <c r="C36" s="27" t="s">
        <v>306</v>
      </c>
    </row>
    <row r="37" customFormat="false" ht="15" hidden="false" customHeight="false" outlineLevel="0" collapsed="false">
      <c r="A37" s="4" t="s">
        <v>232</v>
      </c>
      <c r="B37" s="36" t="b">
        <f aca="false">IF(B12&gt;=B31,FALSE(),INDEX(Parametros!D18:D20,MATCH(B35,Parametros!A18:A20,1)))</f>
        <v>0</v>
      </c>
      <c r="C37" s="27"/>
    </row>
    <row r="39" customFormat="false" ht="15" hidden="false" customHeight="false" outlineLevel="0" collapsed="false">
      <c r="A39" s="25" t="s">
        <v>307</v>
      </c>
      <c r="B39" s="17"/>
      <c r="C39" s="17"/>
    </row>
    <row r="40" customFormat="false" ht="15" hidden="false" customHeight="false" outlineLevel="0" collapsed="false">
      <c r="A40" s="4" t="s">
        <v>308</v>
      </c>
      <c r="B40" s="26" t="n">
        <v>17.5</v>
      </c>
      <c r="C40" s="27" t="s">
        <v>309</v>
      </c>
    </row>
    <row r="41" customFormat="false" ht="15" hidden="false" customHeight="false" outlineLevel="0" collapsed="false">
      <c r="A41" s="4" t="s">
        <v>310</v>
      </c>
      <c r="B41" s="35" t="str">
        <f aca="false">IF(ROUND(B31,2)=B40,"OK","REVISAR")</f>
        <v>OK</v>
      </c>
      <c r="C41" s="27" t="s">
        <v>311</v>
      </c>
    </row>
    <row r="43" customFormat="false" ht="15" hidden="false" customHeight="false" outlineLevel="0" collapsed="false">
      <c r="A43" s="25" t="s">
        <v>312</v>
      </c>
      <c r="B43" s="17"/>
      <c r="C43" s="17"/>
    </row>
    <row r="44" customFormat="false" ht="15" hidden="false" customHeight="false" outlineLevel="0" collapsed="false">
      <c r="A44" s="4" t="s">
        <v>313</v>
      </c>
      <c r="B44" s="37" t="n">
        <v>100</v>
      </c>
      <c r="C44" s="38" t="str">
        <f aca="false">IF(LEN(B44)&lt;6,TEXT(B44,"000000"),TEXT(B44,"0"))</f>
        <v>000100</v>
      </c>
    </row>
    <row r="45" customFormat="false" ht="15" hidden="false" customHeight="false" outlineLevel="0" collapsed="false">
      <c r="A45" s="4" t="s">
        <v>313</v>
      </c>
      <c r="B45" s="37" t="n">
        <v>3200</v>
      </c>
      <c r="C45" s="38" t="str">
        <f aca="false">IF(LEN(B45)&lt;6,TEXT(B45,"000000"),TEXT(B45,"0"))</f>
        <v>003200</v>
      </c>
    </row>
    <row r="46" customFormat="false" ht="15" hidden="false" customHeight="false" outlineLevel="0" collapsed="false">
      <c r="A46" s="4" t="s">
        <v>313</v>
      </c>
      <c r="B46" s="37" t="n">
        <v>990991</v>
      </c>
      <c r="C46" s="38" t="str">
        <f aca="false">IF(LEN(B46)&lt;6,TEXT(B46,"000000"),TEXT(B46,"0"))</f>
        <v>990991</v>
      </c>
    </row>
    <row r="47" customFormat="false" ht="15" hidden="false" customHeight="false" outlineLevel="0" collapsed="false">
      <c r="A47" s="4" t="s">
        <v>314</v>
      </c>
      <c r="B47" s="37" t="n">
        <v>22392996</v>
      </c>
      <c r="C47" s="38" t="str">
        <f aca="false">IF(LEN(B47)&lt;6,TEXT(B47,"000000"),TEXT(B47,"0"))</f>
        <v>22392996</v>
      </c>
    </row>
    <row r="48" customFormat="false" ht="15" hidden="false" customHeight="false" outlineLevel="0" collapsed="false">
      <c r="A48" s="4" t="s">
        <v>315</v>
      </c>
      <c r="B48" s="37" t="n">
        <v>7654321</v>
      </c>
      <c r="C48" s="38" t="str">
        <f aca="false">TEXT(B48,"00000000")</f>
        <v>07654321</v>
      </c>
    </row>
    <row r="49" customFormat="false" ht="15" hidden="false" customHeight="false" outlineLevel="0" collapsed="false">
      <c r="A49" s="4" t="s">
        <v>316</v>
      </c>
      <c r="B49" s="37" t="n">
        <v>76807817</v>
      </c>
      <c r="C49" s="38" t="str">
        <f aca="false">TEXT(B49,"00000000")</f>
        <v>76807817</v>
      </c>
    </row>
    <row r="50" customFormat="false" ht="15" hidden="false" customHeight="false" outlineLevel="0" collapsed="false">
      <c r="A50" s="4" t="s">
        <v>317</v>
      </c>
      <c r="B50" s="37" t="n">
        <v>12345678</v>
      </c>
      <c r="C50" s="38" t="str">
        <f aca="false">TEXT(B50,"00000000")&amp;"-1"</f>
        <v>12345678-1</v>
      </c>
    </row>
    <row r="51" customFormat="false" ht="15" hidden="false" customHeight="false" outlineLevel="0" collapsed="false">
      <c r="A51" s="4" t="s">
        <v>318</v>
      </c>
      <c r="B51" s="37" t="n">
        <v>12345678</v>
      </c>
      <c r="C51" s="38" t="str">
        <f aca="false">TEXT(B51,"00000000")&amp;"-2"</f>
        <v>12345678-2</v>
      </c>
    </row>
    <row r="52" customFormat="false" ht="15" hidden="false" customHeight="false" outlineLevel="0" collapsed="false">
      <c r="A52" s="4" t="s">
        <v>319</v>
      </c>
      <c r="B52" s="37" t="n">
        <v>796</v>
      </c>
      <c r="C52" s="38" t="str">
        <f aca="false">TEXT(B52,"000000")</f>
        <v>000796</v>
      </c>
    </row>
    <row r="53" customFormat="false" ht="15" hidden="false" customHeight="false" outlineLevel="0" collapsed="false">
      <c r="A53" s="4" t="s">
        <v>320</v>
      </c>
      <c r="B53" s="37" t="n">
        <v>58391</v>
      </c>
      <c r="C53" s="38" t="str">
        <f aca="false">TEXT(B53,"000000000")</f>
        <v>000058391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44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321</v>
      </c>
    </row>
    <row r="2" customFormat="false" ht="15" hidden="false" customHeight="false" outlineLevel="0" collapsed="false">
      <c r="A2" s="2" t="s">
        <v>322</v>
      </c>
    </row>
    <row r="4" customFormat="false" ht="30" hidden="false" customHeight="true" outlineLevel="0" collapsed="false">
      <c r="A4" s="13" t="s">
        <v>323</v>
      </c>
      <c r="B4" s="13" t="s">
        <v>324</v>
      </c>
      <c r="C4" s="13" t="s">
        <v>49</v>
      </c>
      <c r="D4" s="13" t="s">
        <v>325</v>
      </c>
      <c r="E4" s="13" t="s">
        <v>326</v>
      </c>
      <c r="F4" s="13" t="s">
        <v>194</v>
      </c>
    </row>
    <row r="5" customFormat="false" ht="23.85" hidden="false" customHeight="false" outlineLevel="0" collapsed="false">
      <c r="A5" s="39" t="s">
        <v>80</v>
      </c>
      <c r="B5" s="9" t="s">
        <v>327</v>
      </c>
      <c r="C5" s="9" t="s">
        <v>328</v>
      </c>
      <c r="D5" s="9" t="s">
        <v>329</v>
      </c>
      <c r="E5" s="9" t="s">
        <v>330</v>
      </c>
      <c r="F5" s="9" t="s">
        <v>331</v>
      </c>
    </row>
    <row r="6" customFormat="false" ht="15" hidden="false" customHeight="false" outlineLevel="0" collapsed="false">
      <c r="A6" s="39" t="s">
        <v>80</v>
      </c>
      <c r="B6" s="9" t="s">
        <v>168</v>
      </c>
      <c r="C6" s="9" t="s">
        <v>328</v>
      </c>
      <c r="D6" s="9" t="s">
        <v>329</v>
      </c>
      <c r="E6" s="9" t="s">
        <v>332</v>
      </c>
      <c r="F6" s="9"/>
    </row>
    <row r="7" customFormat="false" ht="15" hidden="false" customHeight="false" outlineLevel="0" collapsed="false">
      <c r="A7" s="39" t="s">
        <v>80</v>
      </c>
      <c r="B7" s="9" t="s">
        <v>333</v>
      </c>
      <c r="C7" s="9" t="s">
        <v>334</v>
      </c>
      <c r="D7" s="9" t="s">
        <v>329</v>
      </c>
      <c r="E7" s="9" t="s">
        <v>335</v>
      </c>
      <c r="F7" s="9"/>
    </row>
    <row r="8" customFormat="false" ht="15" hidden="false" customHeight="false" outlineLevel="0" collapsed="false">
      <c r="A8" s="39" t="s">
        <v>80</v>
      </c>
      <c r="B8" s="9" t="s">
        <v>336</v>
      </c>
      <c r="C8" s="9" t="s">
        <v>334</v>
      </c>
      <c r="D8" s="9" t="s">
        <v>329</v>
      </c>
      <c r="E8" s="9" t="s">
        <v>337</v>
      </c>
      <c r="F8" s="9" t="s">
        <v>338</v>
      </c>
    </row>
    <row r="9" customFormat="false" ht="15" hidden="false" customHeight="false" outlineLevel="0" collapsed="false">
      <c r="A9" s="39" t="s">
        <v>80</v>
      </c>
      <c r="B9" s="9" t="s">
        <v>339</v>
      </c>
      <c r="C9" s="9" t="s">
        <v>340</v>
      </c>
      <c r="D9" s="9" t="s">
        <v>329</v>
      </c>
      <c r="E9" s="9" t="s">
        <v>341</v>
      </c>
      <c r="F9" s="9"/>
    </row>
    <row r="10" customFormat="false" ht="35.05" hidden="false" customHeight="false" outlineLevel="0" collapsed="false">
      <c r="A10" s="39" t="s">
        <v>80</v>
      </c>
      <c r="B10" s="9" t="s">
        <v>342</v>
      </c>
      <c r="C10" s="9" t="s">
        <v>328</v>
      </c>
      <c r="D10" s="9" t="s">
        <v>329</v>
      </c>
      <c r="E10" s="9" t="s">
        <v>343</v>
      </c>
      <c r="F10" s="9" t="s">
        <v>344</v>
      </c>
    </row>
    <row r="11" customFormat="false" ht="23.85" hidden="false" customHeight="false" outlineLevel="0" collapsed="false">
      <c r="A11" s="39" t="s">
        <v>80</v>
      </c>
      <c r="B11" s="9" t="s">
        <v>345</v>
      </c>
      <c r="C11" s="9" t="s">
        <v>346</v>
      </c>
      <c r="D11" s="9" t="s">
        <v>329</v>
      </c>
      <c r="E11" s="9" t="s">
        <v>347</v>
      </c>
      <c r="F11" s="9"/>
    </row>
    <row r="12" customFormat="false" ht="23.85" hidden="false" customHeight="false" outlineLevel="0" collapsed="false">
      <c r="A12" s="39" t="s">
        <v>80</v>
      </c>
      <c r="B12" s="9" t="s">
        <v>348</v>
      </c>
      <c r="C12" s="9" t="s">
        <v>328</v>
      </c>
      <c r="D12" s="9" t="s">
        <v>329</v>
      </c>
      <c r="E12" s="9" t="s">
        <v>349</v>
      </c>
      <c r="F12" s="9" t="s">
        <v>350</v>
      </c>
    </row>
    <row r="13" customFormat="false" ht="15" hidden="false" customHeight="false" outlineLevel="0" collapsed="false">
      <c r="A13" s="40" t="s">
        <v>56</v>
      </c>
      <c r="B13" s="9" t="s">
        <v>351</v>
      </c>
      <c r="C13" s="9" t="s">
        <v>90</v>
      </c>
      <c r="D13" s="9" t="s">
        <v>329</v>
      </c>
      <c r="E13" s="9" t="s">
        <v>352</v>
      </c>
      <c r="F13" s="9" t="s">
        <v>353</v>
      </c>
    </row>
    <row r="14" customFormat="false" ht="15" hidden="false" customHeight="false" outlineLevel="0" collapsed="false">
      <c r="A14" s="40" t="s">
        <v>56</v>
      </c>
      <c r="B14" s="9" t="s">
        <v>94</v>
      </c>
      <c r="C14" s="9" t="s">
        <v>90</v>
      </c>
      <c r="D14" s="9" t="s">
        <v>329</v>
      </c>
      <c r="E14" s="9" t="s">
        <v>354</v>
      </c>
      <c r="F14" s="9"/>
    </row>
    <row r="15" customFormat="false" ht="15" hidden="false" customHeight="false" outlineLevel="0" collapsed="false">
      <c r="A15" s="40" t="s">
        <v>56</v>
      </c>
      <c r="B15" s="9" t="s">
        <v>97</v>
      </c>
      <c r="C15" s="9" t="s">
        <v>90</v>
      </c>
      <c r="D15" s="9" t="s">
        <v>329</v>
      </c>
      <c r="E15" s="9" t="s">
        <v>355</v>
      </c>
      <c r="F15" s="9"/>
    </row>
    <row r="16" customFormat="false" ht="15" hidden="false" customHeight="false" outlineLevel="0" collapsed="false">
      <c r="A16" s="40" t="s">
        <v>56</v>
      </c>
      <c r="B16" s="9" t="s">
        <v>99</v>
      </c>
      <c r="C16" s="9" t="s">
        <v>90</v>
      </c>
      <c r="D16" s="9" t="s">
        <v>329</v>
      </c>
      <c r="E16" s="9" t="s">
        <v>268</v>
      </c>
      <c r="F16" s="9"/>
    </row>
    <row r="17" customFormat="false" ht="15" hidden="false" customHeight="false" outlineLevel="0" collapsed="false">
      <c r="A17" s="40" t="s">
        <v>56</v>
      </c>
      <c r="B17" s="9" t="s">
        <v>101</v>
      </c>
      <c r="C17" s="9" t="s">
        <v>90</v>
      </c>
      <c r="D17" s="9" t="s">
        <v>329</v>
      </c>
      <c r="E17" s="9" t="s">
        <v>356</v>
      </c>
      <c r="F17" s="9"/>
    </row>
    <row r="18" customFormat="false" ht="15" hidden="false" customHeight="false" outlineLevel="0" collapsed="false">
      <c r="A18" s="40" t="s">
        <v>56</v>
      </c>
      <c r="B18" s="9" t="s">
        <v>103</v>
      </c>
      <c r="C18" s="9" t="s">
        <v>90</v>
      </c>
      <c r="D18" s="9" t="s">
        <v>329</v>
      </c>
      <c r="E18" s="9" t="s">
        <v>220</v>
      </c>
      <c r="F18" s="9"/>
    </row>
    <row r="19" customFormat="false" ht="15" hidden="false" customHeight="false" outlineLevel="0" collapsed="false">
      <c r="A19" s="40" t="s">
        <v>56</v>
      </c>
      <c r="B19" s="9" t="s">
        <v>107</v>
      </c>
      <c r="C19" s="9" t="s">
        <v>108</v>
      </c>
      <c r="D19" s="9" t="s">
        <v>329</v>
      </c>
      <c r="E19" s="9" t="s">
        <v>357</v>
      </c>
      <c r="F19" s="9"/>
    </row>
    <row r="20" customFormat="false" ht="15" hidden="false" customHeight="false" outlineLevel="0" collapsed="false">
      <c r="A20" s="40" t="s">
        <v>56</v>
      </c>
      <c r="B20" s="9" t="s">
        <v>358</v>
      </c>
      <c r="C20" s="9" t="s">
        <v>340</v>
      </c>
      <c r="D20" s="9" t="s">
        <v>329</v>
      </c>
      <c r="E20" s="9" t="s">
        <v>359</v>
      </c>
      <c r="F20" s="9" t="s">
        <v>360</v>
      </c>
    </row>
    <row r="21" customFormat="false" ht="15" hidden="false" customHeight="false" outlineLevel="0" collapsed="false">
      <c r="A21" s="41" t="s">
        <v>361</v>
      </c>
      <c r="B21" s="9" t="s">
        <v>351</v>
      </c>
      <c r="C21" s="9" t="s">
        <v>90</v>
      </c>
      <c r="D21" s="9" t="s">
        <v>329</v>
      </c>
      <c r="E21" s="9" t="s">
        <v>362</v>
      </c>
      <c r="F21" s="9" t="s">
        <v>363</v>
      </c>
    </row>
    <row r="22" customFormat="false" ht="35.05" hidden="false" customHeight="false" outlineLevel="0" collapsed="false">
      <c r="A22" s="41" t="s">
        <v>361</v>
      </c>
      <c r="B22" s="9" t="s">
        <v>364</v>
      </c>
      <c r="C22" s="9" t="s">
        <v>90</v>
      </c>
      <c r="D22" s="9" t="s">
        <v>329</v>
      </c>
      <c r="E22" s="9" t="s">
        <v>365</v>
      </c>
      <c r="F22" s="9" t="s">
        <v>366</v>
      </c>
    </row>
    <row r="23" customFormat="false" ht="35.05" hidden="false" customHeight="false" outlineLevel="0" collapsed="false">
      <c r="A23" s="41" t="s">
        <v>361</v>
      </c>
      <c r="B23" s="9" t="s">
        <v>358</v>
      </c>
      <c r="C23" s="9" t="s">
        <v>346</v>
      </c>
      <c r="D23" s="9" t="s">
        <v>367</v>
      </c>
      <c r="E23" s="9" t="s">
        <v>368</v>
      </c>
      <c r="F23" s="9" t="s">
        <v>369</v>
      </c>
    </row>
    <row r="24" customFormat="false" ht="15" hidden="false" customHeight="false" outlineLevel="0" collapsed="false">
      <c r="A24" s="41" t="s">
        <v>361</v>
      </c>
      <c r="B24" s="9" t="s">
        <v>159</v>
      </c>
      <c r="C24" s="9" t="s">
        <v>334</v>
      </c>
      <c r="D24" s="9" t="s">
        <v>370</v>
      </c>
      <c r="E24" s="9" t="s">
        <v>335</v>
      </c>
      <c r="F24" s="9" t="s">
        <v>371</v>
      </c>
    </row>
    <row r="25" customFormat="false" ht="23.85" hidden="false" customHeight="false" outlineLevel="0" collapsed="false">
      <c r="A25" s="41" t="s">
        <v>361</v>
      </c>
      <c r="B25" s="9" t="s">
        <v>372</v>
      </c>
      <c r="C25" s="9" t="s">
        <v>373</v>
      </c>
      <c r="D25" s="9" t="s">
        <v>329</v>
      </c>
      <c r="E25" s="9" t="s">
        <v>374</v>
      </c>
      <c r="F25" s="9" t="s">
        <v>375</v>
      </c>
    </row>
    <row r="26" customFormat="false" ht="68.65" hidden="false" customHeight="false" outlineLevel="0" collapsed="false">
      <c r="A26" s="41" t="s">
        <v>361</v>
      </c>
      <c r="B26" s="9" t="s">
        <v>376</v>
      </c>
      <c r="C26" s="9" t="s">
        <v>377</v>
      </c>
      <c r="D26" s="9" t="s">
        <v>378</v>
      </c>
      <c r="E26" s="9" t="s">
        <v>379</v>
      </c>
      <c r="F26" s="9" t="s">
        <v>380</v>
      </c>
    </row>
    <row r="27" customFormat="false" ht="23.85" hidden="false" customHeight="false" outlineLevel="0" collapsed="false">
      <c r="A27" s="41" t="s">
        <v>361</v>
      </c>
      <c r="B27" s="9" t="s">
        <v>381</v>
      </c>
      <c r="C27" s="9" t="s">
        <v>382</v>
      </c>
      <c r="D27" s="9" t="s">
        <v>383</v>
      </c>
      <c r="E27" s="9" t="s">
        <v>384</v>
      </c>
      <c r="F27" s="9" t="s">
        <v>385</v>
      </c>
    </row>
    <row r="29" customFormat="false" ht="15" hidden="false" customHeight="false" outlineLevel="0" collapsed="false">
      <c r="A29" s="3" t="s">
        <v>386</v>
      </c>
    </row>
    <row r="30" customFormat="false" ht="23.85" hidden="false" customHeight="false" outlineLevel="0" collapsed="false">
      <c r="A30" s="42" t="s">
        <v>387</v>
      </c>
      <c r="B30" s="42" t="s">
        <v>388</v>
      </c>
      <c r="C30" s="42" t="s">
        <v>389</v>
      </c>
      <c r="D30" s="42"/>
      <c r="E30" s="42"/>
      <c r="F30" s="42"/>
    </row>
    <row r="31" customFormat="false" ht="57.45" hidden="false" customHeight="true" outlineLevel="0" collapsed="false">
      <c r="A31" s="9" t="s">
        <v>370</v>
      </c>
      <c r="B31" s="9" t="s">
        <v>390</v>
      </c>
      <c r="C31" s="9" t="s">
        <v>391</v>
      </c>
      <c r="D31" s="9"/>
      <c r="E31" s="9"/>
      <c r="F31" s="9"/>
    </row>
    <row r="32" customFormat="false" ht="23.85" hidden="false" customHeight="true" outlineLevel="0" collapsed="false">
      <c r="A32" s="9" t="s">
        <v>370</v>
      </c>
      <c r="B32" s="9" t="s">
        <v>392</v>
      </c>
      <c r="C32" s="9" t="s">
        <v>393</v>
      </c>
      <c r="D32" s="9"/>
      <c r="E32" s="9"/>
      <c r="F32" s="9"/>
    </row>
    <row r="33" customFormat="false" ht="35.05" hidden="false" customHeight="true" outlineLevel="0" collapsed="false">
      <c r="A33" s="9" t="s">
        <v>329</v>
      </c>
      <c r="B33" s="9" t="s">
        <v>394</v>
      </c>
      <c r="C33" s="9" t="s">
        <v>395</v>
      </c>
      <c r="D33" s="9"/>
      <c r="E33" s="9"/>
      <c r="F33" s="9"/>
    </row>
    <row r="34" customFormat="false" ht="35.05" hidden="false" customHeight="true" outlineLevel="0" collapsed="false">
      <c r="A34" s="9" t="s">
        <v>329</v>
      </c>
      <c r="B34" s="9" t="s">
        <v>396</v>
      </c>
      <c r="C34" s="9" t="s">
        <v>397</v>
      </c>
      <c r="D34" s="9"/>
      <c r="E34" s="9"/>
      <c r="F34" s="9"/>
    </row>
    <row r="35" customFormat="false" ht="57.45" hidden="false" customHeight="true" outlineLevel="0" collapsed="false">
      <c r="A35" s="9" t="s">
        <v>329</v>
      </c>
      <c r="B35" s="9" t="s">
        <v>398</v>
      </c>
      <c r="C35" s="9" t="s">
        <v>399</v>
      </c>
      <c r="D35" s="9"/>
      <c r="E35" s="9"/>
      <c r="F35" s="9"/>
    </row>
    <row r="36" customFormat="false" ht="35.05" hidden="false" customHeight="true" outlineLevel="0" collapsed="false">
      <c r="A36" s="9" t="s">
        <v>329</v>
      </c>
      <c r="B36" s="9" t="s">
        <v>400</v>
      </c>
      <c r="C36" s="9" t="s">
        <v>401</v>
      </c>
      <c r="D36" s="9"/>
      <c r="E36" s="9"/>
      <c r="F36" s="9"/>
    </row>
    <row r="37" customFormat="false" ht="57.45" hidden="false" customHeight="true" outlineLevel="0" collapsed="false">
      <c r="A37" s="9" t="s">
        <v>329</v>
      </c>
      <c r="B37" s="9" t="s">
        <v>402</v>
      </c>
      <c r="C37" s="9" t="s">
        <v>403</v>
      </c>
      <c r="D37" s="9"/>
      <c r="E37" s="9"/>
      <c r="F37" s="9"/>
    </row>
  </sheetData>
  <mergeCells count="7">
    <mergeCell ref="C31:F31"/>
    <mergeCell ref="C32:F32"/>
    <mergeCell ref="C33:F33"/>
    <mergeCell ref="C34:F34"/>
    <mergeCell ref="C35:F35"/>
    <mergeCell ref="C36:F36"/>
    <mergeCell ref="C37:F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3" min="2" style="0" width="14"/>
    <col collapsed="false" customWidth="true" hidden="false" outlineLevel="0" max="4" min="4" style="0" width="38"/>
    <col collapsed="false" customWidth="true" hidden="false" outlineLevel="0" max="5" min="5" style="0" width="24"/>
    <col collapsed="false" customWidth="true" hidden="false" outlineLevel="0" max="8" min="6" style="0" width="12"/>
    <col collapsed="false" customWidth="true" hidden="false" outlineLevel="0" max="11" min="9" style="0" width="13"/>
    <col collapsed="false" customWidth="true" hidden="false" outlineLevel="0" max="13" min="12" style="0" width="12"/>
    <col collapsed="false" customWidth="true" hidden="false" outlineLevel="0" max="14" min="14" style="0" width="14"/>
  </cols>
  <sheetData>
    <row r="1" customFormat="false" ht="17.35" hidden="false" customHeight="false" outlineLevel="0" collapsed="false">
      <c r="A1" s="1" t="s">
        <v>404</v>
      </c>
    </row>
    <row r="2" customFormat="false" ht="15" hidden="false" customHeight="false" outlineLevel="0" collapsed="false">
      <c r="A2" s="2" t="s">
        <v>405</v>
      </c>
    </row>
    <row r="4" customFormat="false" ht="30" hidden="false" customHeight="true" outlineLevel="0" collapsed="false">
      <c r="A4" s="13" t="s">
        <v>406</v>
      </c>
      <c r="B4" s="13" t="s">
        <v>407</v>
      </c>
      <c r="C4" s="13" t="s">
        <v>408</v>
      </c>
      <c r="D4" s="13" t="s">
        <v>409</v>
      </c>
      <c r="E4" s="13" t="s">
        <v>410</v>
      </c>
      <c r="F4" s="13" t="s">
        <v>411</v>
      </c>
      <c r="G4" s="13" t="s">
        <v>412</v>
      </c>
      <c r="H4" s="13" t="s">
        <v>413</v>
      </c>
      <c r="I4" s="13" t="s">
        <v>414</v>
      </c>
      <c r="J4" s="13" t="s">
        <v>415</v>
      </c>
      <c r="K4" s="13" t="s">
        <v>416</v>
      </c>
      <c r="L4" s="13" t="s">
        <v>417</v>
      </c>
      <c r="M4" s="13" t="s">
        <v>418</v>
      </c>
      <c r="N4" s="13" t="s">
        <v>419</v>
      </c>
    </row>
    <row r="5" customFormat="false" ht="23.85" hidden="false" customHeight="false" outlineLevel="0" collapsed="false">
      <c r="A5" s="9" t="s">
        <v>420</v>
      </c>
      <c r="B5" s="43" t="s">
        <v>354</v>
      </c>
      <c r="C5" s="43" t="s">
        <v>421</v>
      </c>
      <c r="D5" s="9" t="s">
        <v>355</v>
      </c>
      <c r="E5" s="9" t="s">
        <v>356</v>
      </c>
      <c r="F5" s="44" t="n">
        <v>58</v>
      </c>
      <c r="G5" s="44" t="n">
        <v>80</v>
      </c>
      <c r="H5" s="45" t="n">
        <f aca="false">IF(G5="","",G5-F5)</f>
        <v>22</v>
      </c>
      <c r="I5" s="43" t="s">
        <v>422</v>
      </c>
      <c r="J5" s="46" t="n">
        <v>0</v>
      </c>
      <c r="K5" s="46" t="n">
        <v>23.5</v>
      </c>
      <c r="L5" s="9" t="n">
        <v>1</v>
      </c>
      <c r="M5" s="46" t="n">
        <v>23.5</v>
      </c>
      <c r="N5" s="9" t="s">
        <v>423</v>
      </c>
    </row>
    <row r="6" customFormat="false" ht="15" hidden="false" customHeight="false" outlineLevel="0" collapsed="false">
      <c r="A6" s="9" t="s">
        <v>420</v>
      </c>
      <c r="B6" s="43" t="s">
        <v>424</v>
      </c>
      <c r="C6" s="43" t="s">
        <v>425</v>
      </c>
      <c r="D6" s="9" t="s">
        <v>426</v>
      </c>
      <c r="E6" s="9" t="s">
        <v>427</v>
      </c>
      <c r="F6" s="44" t="n">
        <v>120</v>
      </c>
      <c r="G6" s="44" t="n">
        <v>131</v>
      </c>
      <c r="H6" s="45" t="n">
        <f aca="false">IF(G6="","",G6-F6)</f>
        <v>11</v>
      </c>
      <c r="I6" s="43" t="s">
        <v>428</v>
      </c>
      <c r="J6" s="46" t="n">
        <v>18.5</v>
      </c>
      <c r="K6" s="46" t="n">
        <v>35</v>
      </c>
      <c r="L6" s="9" t="n">
        <v>2</v>
      </c>
      <c r="M6" s="46" t="n">
        <v>0</v>
      </c>
      <c r="N6" s="9"/>
    </row>
    <row r="7" customFormat="false" ht="15" hidden="false" customHeight="false" outlineLevel="0" collapsed="false">
      <c r="A7" s="9" t="s">
        <v>420</v>
      </c>
      <c r="B7" s="43" t="s">
        <v>424</v>
      </c>
      <c r="C7" s="43" t="s">
        <v>429</v>
      </c>
      <c r="D7" s="9" t="s">
        <v>426</v>
      </c>
      <c r="E7" s="9" t="s">
        <v>427</v>
      </c>
      <c r="F7" s="44" t="n">
        <v>55</v>
      </c>
      <c r="G7" s="44" t="n">
        <v>59</v>
      </c>
      <c r="H7" s="45" t="n">
        <f aca="false">IF(G7="","",G7-F7)</f>
        <v>4</v>
      </c>
      <c r="I7" s="43"/>
      <c r="J7" s="46"/>
      <c r="K7" s="46"/>
      <c r="L7" s="9"/>
      <c r="M7" s="46"/>
      <c r="N7" s="9"/>
    </row>
    <row r="9" customFormat="false" ht="15" hidden="false" customHeight="false" outlineLevel="0" collapsed="false">
      <c r="A9" s="47" t="s">
        <v>430</v>
      </c>
    </row>
    <row r="10" customFormat="false" ht="15" hidden="false" customHeight="false" outlineLevel="0" collapsed="false">
      <c r="A10" s="48" t="s">
        <v>431</v>
      </c>
      <c r="H10" s="47" t="n">
        <f aca="false">SUM(H5:H7)</f>
        <v>37</v>
      </c>
    </row>
    <row r="11" customFormat="false" ht="15" hidden="false" customHeight="false" outlineLevel="0" collapsed="false">
      <c r="A11" s="48" t="s">
        <v>416</v>
      </c>
      <c r="K11" s="49" t="n">
        <f aca="false">SUM(K5:K7)</f>
        <v>58.5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4" min="2" style="0" width="18"/>
    <col collapsed="false" customWidth="true" hidden="false" outlineLevel="0" max="5" min="5" style="0" width="62"/>
  </cols>
  <sheetData>
    <row r="1" customFormat="false" ht="17.35" hidden="false" customHeight="false" outlineLevel="0" collapsed="false">
      <c r="A1" s="1" t="s">
        <v>432</v>
      </c>
    </row>
    <row r="2" customFormat="false" ht="15" hidden="false" customHeight="false" outlineLevel="0" collapsed="false">
      <c r="A2" s="2" t="s">
        <v>433</v>
      </c>
    </row>
    <row r="4" customFormat="false" ht="15" hidden="false" customHeight="false" outlineLevel="0" collapsed="false">
      <c r="A4" s="25" t="s">
        <v>434</v>
      </c>
      <c r="B4" s="17"/>
      <c r="C4" s="17"/>
      <c r="D4" s="17"/>
      <c r="E4" s="17"/>
    </row>
    <row r="5" customFormat="false" ht="15" hidden="false" customHeight="false" outlineLevel="0" collapsed="false">
      <c r="A5" s="4" t="s">
        <v>435</v>
      </c>
      <c r="B5" s="50" t="n">
        <v>800</v>
      </c>
      <c r="E5" s="51" t="s">
        <v>436</v>
      </c>
    </row>
    <row r="6" customFormat="false" ht="15" hidden="false" customHeight="false" outlineLevel="0" collapsed="false">
      <c r="A6" s="4" t="s">
        <v>437</v>
      </c>
      <c r="B6" s="50" t="n">
        <v>20</v>
      </c>
      <c r="E6" s="51" t="s">
        <v>438</v>
      </c>
    </row>
    <row r="7" customFormat="false" ht="15" hidden="false" customHeight="false" outlineLevel="0" collapsed="false">
      <c r="A7" s="4" t="s">
        <v>439</v>
      </c>
      <c r="B7" s="50" t="n">
        <v>900</v>
      </c>
      <c r="E7" s="51" t="s">
        <v>440</v>
      </c>
    </row>
    <row r="9" customFormat="false" ht="15" hidden="false" customHeight="false" outlineLevel="0" collapsed="false">
      <c r="A9" s="25" t="s">
        <v>441</v>
      </c>
      <c r="B9" s="17"/>
      <c r="C9" s="17"/>
      <c r="D9" s="17"/>
      <c r="E9" s="17"/>
    </row>
    <row r="10" customFormat="false" ht="15" hidden="false" customHeight="false" outlineLevel="0" collapsed="false">
      <c r="A10" s="4" t="s">
        <v>442</v>
      </c>
      <c r="B10" s="50" t="n">
        <v>50000</v>
      </c>
      <c r="E10" s="51" t="s">
        <v>443</v>
      </c>
    </row>
    <row r="11" customFormat="false" ht="15" hidden="false" customHeight="false" outlineLevel="0" collapsed="false">
      <c r="A11" s="4" t="s">
        <v>444</v>
      </c>
      <c r="B11" s="50" t="n">
        <v>20000</v>
      </c>
      <c r="E11" s="51"/>
    </row>
    <row r="12" customFormat="false" ht="15" hidden="false" customHeight="false" outlineLevel="0" collapsed="false">
      <c r="A12" s="4" t="s">
        <v>445</v>
      </c>
      <c r="B12" s="50" t="n">
        <v>1024</v>
      </c>
      <c r="E12" s="51" t="s">
        <v>446</v>
      </c>
    </row>
    <row r="14" customFormat="false" ht="15" hidden="false" customHeight="false" outlineLevel="0" collapsed="false">
      <c r="A14" s="25" t="s">
        <v>447</v>
      </c>
      <c r="B14" s="17"/>
      <c r="C14" s="17"/>
      <c r="D14" s="17"/>
      <c r="E14" s="17"/>
    </row>
    <row r="15" customFormat="false" ht="15" hidden="false" customHeight="false" outlineLevel="0" collapsed="false">
      <c r="A15" s="52" t="s">
        <v>448</v>
      </c>
      <c r="B15" s="52" t="s">
        <v>449</v>
      </c>
      <c r="C15" s="52" t="s">
        <v>450</v>
      </c>
      <c r="D15" s="52"/>
      <c r="E15" s="52" t="s">
        <v>194</v>
      </c>
    </row>
    <row r="16" customFormat="false" ht="15" hidden="false" customHeight="false" outlineLevel="0" collapsed="false">
      <c r="A16" s="4" t="s">
        <v>451</v>
      </c>
      <c r="B16" s="53" t="n">
        <f aca="false">2*B5</f>
        <v>1600</v>
      </c>
      <c r="C16" s="53" t="n">
        <f aca="false">B5</f>
        <v>800</v>
      </c>
      <c r="E16" s="2" t="s">
        <v>452</v>
      </c>
    </row>
    <row r="17" customFormat="false" ht="15" hidden="false" customHeight="false" outlineLevel="0" collapsed="false">
      <c r="A17" s="4" t="s">
        <v>453</v>
      </c>
      <c r="B17" s="53" t="n">
        <f aca="false">B5</f>
        <v>800</v>
      </c>
      <c r="C17" s="53" t="n">
        <f aca="false">B5</f>
        <v>800</v>
      </c>
      <c r="E17" s="2" t="s">
        <v>454</v>
      </c>
    </row>
    <row r="18" customFormat="false" ht="15" hidden="false" customHeight="false" outlineLevel="0" collapsed="false">
      <c r="A18" s="4" t="s">
        <v>455</v>
      </c>
      <c r="B18" s="53" t="n">
        <f aca="false">B5</f>
        <v>800</v>
      </c>
      <c r="C18" s="53" t="n">
        <f aca="false">B5</f>
        <v>800</v>
      </c>
      <c r="E18" s="2" t="s">
        <v>456</v>
      </c>
    </row>
    <row r="19" customFormat="false" ht="15" hidden="false" customHeight="false" outlineLevel="0" collapsed="false">
      <c r="A19" s="4" t="s">
        <v>457</v>
      </c>
      <c r="B19" s="53" t="n">
        <f aca="false">B6*B5</f>
        <v>16000</v>
      </c>
      <c r="C19" s="53" t="n">
        <f aca="false">B5</f>
        <v>800</v>
      </c>
      <c r="E19" s="2" t="s">
        <v>458</v>
      </c>
    </row>
    <row r="20" customFormat="false" ht="15" hidden="false" customHeight="false" outlineLevel="0" collapsed="false">
      <c r="A20" s="54" t="s">
        <v>459</v>
      </c>
      <c r="B20" s="55" t="n">
        <f aca="false">SUM(B16:B19)</f>
        <v>19200</v>
      </c>
      <c r="C20" s="55" t="n">
        <f aca="false">SUM(C16:C19)</f>
        <v>3200</v>
      </c>
    </row>
    <row r="21" customFormat="false" ht="15" hidden="false" customHeight="false" outlineLevel="0" collapsed="false">
      <c r="A21" s="4" t="s">
        <v>460</v>
      </c>
      <c r="B21" s="53" t="n">
        <f aca="false">B20/30</f>
        <v>640</v>
      </c>
      <c r="C21" s="53" t="n">
        <f aca="false">C20/30</f>
        <v>106.666666666667</v>
      </c>
    </row>
    <row r="23" customFormat="false" ht="15" hidden="false" customHeight="false" outlineLevel="0" collapsed="false">
      <c r="A23" s="25" t="s">
        <v>461</v>
      </c>
      <c r="B23" s="17"/>
      <c r="C23" s="17"/>
      <c r="D23" s="17"/>
      <c r="E23" s="17"/>
    </row>
    <row r="24" customFormat="false" ht="15" hidden="false" customHeight="false" outlineLevel="0" collapsed="false">
      <c r="A24" s="4" t="s">
        <v>462</v>
      </c>
      <c r="B24" s="53" t="n">
        <f aca="false">B16+B18+B5</f>
        <v>3200</v>
      </c>
      <c r="E24" s="51"/>
    </row>
    <row r="25" customFormat="false" ht="15" hidden="false" customHeight="false" outlineLevel="0" collapsed="false">
      <c r="A25" s="4" t="s">
        <v>463</v>
      </c>
      <c r="B25" s="53" t="n">
        <f aca="false">C16+C18</f>
        <v>1600</v>
      </c>
      <c r="E25" s="51"/>
    </row>
    <row r="26" customFormat="false" ht="15" hidden="false" customHeight="false" outlineLevel="0" collapsed="false">
      <c r="A26" s="4" t="s">
        <v>464</v>
      </c>
      <c r="B26" s="56" t="n">
        <f aca="false">B24/B10</f>
        <v>0.064</v>
      </c>
      <c r="E26" s="51"/>
    </row>
    <row r="27" customFormat="false" ht="15" hidden="false" customHeight="false" outlineLevel="0" collapsed="false">
      <c r="A27" s="4" t="s">
        <v>465</v>
      </c>
      <c r="B27" s="56" t="n">
        <f aca="false">B25/B11</f>
        <v>0.08</v>
      </c>
      <c r="E27" s="51"/>
    </row>
    <row r="29" customFormat="false" ht="15" hidden="false" customHeight="false" outlineLevel="0" collapsed="false">
      <c r="A29" s="25" t="s">
        <v>466</v>
      </c>
      <c r="B29" s="17"/>
      <c r="C29" s="17"/>
      <c r="D29" s="17"/>
      <c r="E29" s="17"/>
    </row>
    <row r="30" customFormat="false" ht="15" hidden="false" customHeight="false" outlineLevel="0" collapsed="false">
      <c r="A30" s="4" t="s">
        <v>467</v>
      </c>
      <c r="B30" s="57" t="n">
        <f aca="false">B5*B7/1048576</f>
        <v>0.6866455078125</v>
      </c>
      <c r="E30" s="51"/>
    </row>
    <row r="31" customFormat="false" ht="15" hidden="false" customHeight="false" outlineLevel="0" collapsed="false">
      <c r="A31" s="4" t="s">
        <v>468</v>
      </c>
      <c r="B31" s="58" t="n">
        <f aca="false">B30*12</f>
        <v>8.23974609375</v>
      </c>
      <c r="E31" s="51"/>
    </row>
    <row r="32" customFormat="false" ht="15" hidden="false" customHeight="false" outlineLevel="0" collapsed="false">
      <c r="A32" s="4" t="s">
        <v>469</v>
      </c>
      <c r="B32" s="53" t="n">
        <f aca="false">B12/B31</f>
        <v>124.275674074074</v>
      </c>
      <c r="E32" s="51" t="s">
        <v>470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100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1" t="s">
        <v>471</v>
      </c>
    </row>
    <row r="2" customFormat="false" ht="15" hidden="false" customHeight="false" outlineLevel="0" collapsed="false">
      <c r="A2" s="2" t="s">
        <v>472</v>
      </c>
    </row>
    <row r="4" customFormat="false" ht="30" hidden="false" customHeight="true" outlineLevel="0" collapsed="false">
      <c r="A4" s="13" t="s">
        <v>473</v>
      </c>
      <c r="B4" s="13" t="s">
        <v>49</v>
      </c>
      <c r="C4" s="13" t="s">
        <v>474</v>
      </c>
      <c r="D4" s="13" t="s">
        <v>242</v>
      </c>
      <c r="E4" s="13" t="s">
        <v>475</v>
      </c>
    </row>
    <row r="5" customFormat="false" ht="23.85" hidden="false" customHeight="false" outlineLevel="0" collapsed="false">
      <c r="A5" s="15" t="n">
        <v>1</v>
      </c>
      <c r="B5" s="9" t="s">
        <v>476</v>
      </c>
      <c r="C5" s="9" t="s">
        <v>477</v>
      </c>
      <c r="D5" s="9" t="s">
        <v>478</v>
      </c>
      <c r="E5" s="9" t="s">
        <v>141</v>
      </c>
    </row>
    <row r="6" customFormat="false" ht="23.85" hidden="false" customHeight="false" outlineLevel="0" collapsed="false">
      <c r="A6" s="15" t="n">
        <v>2</v>
      </c>
      <c r="B6" s="9" t="s">
        <v>476</v>
      </c>
      <c r="C6" s="9" t="s">
        <v>477</v>
      </c>
      <c r="D6" s="9" t="s">
        <v>479</v>
      </c>
      <c r="E6" s="9" t="s">
        <v>480</v>
      </c>
    </row>
    <row r="7" customFormat="false" ht="15" hidden="false" customHeight="false" outlineLevel="0" collapsed="false">
      <c r="A7" s="15" t="n">
        <v>3</v>
      </c>
      <c r="B7" s="9" t="s">
        <v>476</v>
      </c>
      <c r="C7" s="9" t="s">
        <v>477</v>
      </c>
      <c r="D7" s="9" t="s">
        <v>481</v>
      </c>
      <c r="E7" s="9" t="s">
        <v>112</v>
      </c>
    </row>
    <row r="8" customFormat="false" ht="23.85" hidden="false" customHeight="false" outlineLevel="0" collapsed="false">
      <c r="A8" s="15" t="n">
        <v>4</v>
      </c>
      <c r="B8" s="9" t="s">
        <v>476</v>
      </c>
      <c r="C8" s="9" t="s">
        <v>477</v>
      </c>
      <c r="D8" s="9" t="s">
        <v>482</v>
      </c>
      <c r="E8" s="9" t="s">
        <v>112</v>
      </c>
    </row>
    <row r="9" customFormat="false" ht="15" hidden="false" customHeight="false" outlineLevel="0" collapsed="false">
      <c r="A9" s="15" t="n">
        <v>5</v>
      </c>
      <c r="B9" s="9" t="s">
        <v>476</v>
      </c>
      <c r="C9" s="9" t="s">
        <v>477</v>
      </c>
      <c r="D9" s="9" t="s">
        <v>483</v>
      </c>
      <c r="E9" s="9" t="s">
        <v>112</v>
      </c>
    </row>
    <row r="10" customFormat="false" ht="23.85" hidden="false" customHeight="false" outlineLevel="0" collapsed="false">
      <c r="A10" s="15" t="n">
        <v>6</v>
      </c>
      <c r="B10" s="9" t="s">
        <v>476</v>
      </c>
      <c r="C10" s="9" t="s">
        <v>477</v>
      </c>
      <c r="D10" s="9" t="s">
        <v>484</v>
      </c>
      <c r="E10" s="9" t="s">
        <v>485</v>
      </c>
    </row>
    <row r="11" customFormat="false" ht="23.85" hidden="false" customHeight="false" outlineLevel="0" collapsed="false">
      <c r="A11" s="15" t="n">
        <v>7</v>
      </c>
      <c r="B11" s="9" t="s">
        <v>476</v>
      </c>
      <c r="C11" s="9" t="s">
        <v>486</v>
      </c>
      <c r="D11" s="9" t="s">
        <v>487</v>
      </c>
      <c r="E11" s="9" t="s">
        <v>488</v>
      </c>
    </row>
    <row r="12" customFormat="false" ht="23.85" hidden="false" customHeight="false" outlineLevel="0" collapsed="false">
      <c r="A12" s="15" t="n">
        <v>8</v>
      </c>
      <c r="B12" s="9" t="s">
        <v>476</v>
      </c>
      <c r="C12" s="9" t="s">
        <v>486</v>
      </c>
      <c r="D12" s="9" t="s">
        <v>489</v>
      </c>
      <c r="E12" s="9" t="s">
        <v>71</v>
      </c>
    </row>
    <row r="13" customFormat="false" ht="23.85" hidden="false" customHeight="false" outlineLevel="0" collapsed="false">
      <c r="A13" s="15" t="n">
        <v>9</v>
      </c>
      <c r="B13" s="9" t="s">
        <v>476</v>
      </c>
      <c r="C13" s="9" t="s">
        <v>449</v>
      </c>
      <c r="D13" s="9" t="s">
        <v>490</v>
      </c>
      <c r="E13" s="9" t="s">
        <v>491</v>
      </c>
    </row>
    <row r="14" customFormat="false" ht="15" hidden="false" customHeight="false" outlineLevel="0" collapsed="false">
      <c r="A14" s="15" t="n">
        <v>10</v>
      </c>
      <c r="B14" s="9" t="s">
        <v>476</v>
      </c>
      <c r="C14" s="9" t="s">
        <v>492</v>
      </c>
      <c r="D14" s="9" t="s">
        <v>493</v>
      </c>
      <c r="E14" s="9" t="s">
        <v>494</v>
      </c>
    </row>
    <row r="15" customFormat="false" ht="23.85" hidden="false" customHeight="false" outlineLevel="0" collapsed="false">
      <c r="A15" s="15" t="n">
        <v>11</v>
      </c>
      <c r="B15" s="9" t="s">
        <v>476</v>
      </c>
      <c r="C15" s="9" t="s">
        <v>492</v>
      </c>
      <c r="D15" s="9" t="s">
        <v>495</v>
      </c>
      <c r="E15" s="9" t="s">
        <v>74</v>
      </c>
    </row>
    <row r="16" customFormat="false" ht="23.85" hidden="false" customHeight="false" outlineLevel="0" collapsed="false">
      <c r="A16" s="15" t="n">
        <v>12</v>
      </c>
      <c r="B16" s="9" t="s">
        <v>476</v>
      </c>
      <c r="C16" s="9" t="s">
        <v>496</v>
      </c>
      <c r="D16" s="9" t="s">
        <v>497</v>
      </c>
      <c r="E16" s="9" t="s">
        <v>498</v>
      </c>
    </row>
    <row r="17" customFormat="false" ht="23.85" hidden="false" customHeight="false" outlineLevel="0" collapsed="false">
      <c r="A17" s="15" t="n">
        <v>13</v>
      </c>
      <c r="B17" s="9" t="s">
        <v>476</v>
      </c>
      <c r="C17" s="9" t="s">
        <v>303</v>
      </c>
      <c r="D17" s="9" t="s">
        <v>499</v>
      </c>
      <c r="E17" s="9" t="s">
        <v>500</v>
      </c>
    </row>
    <row r="18" customFormat="false" ht="23.85" hidden="false" customHeight="false" outlineLevel="0" collapsed="false">
      <c r="A18" s="15" t="n">
        <v>14</v>
      </c>
      <c r="B18" s="9" t="s">
        <v>476</v>
      </c>
      <c r="C18" s="9" t="s">
        <v>501</v>
      </c>
      <c r="D18" s="9" t="s">
        <v>502</v>
      </c>
      <c r="E18" s="9" t="s">
        <v>503</v>
      </c>
    </row>
    <row r="19" customFormat="false" ht="23.85" hidden="false" customHeight="false" outlineLevel="0" collapsed="false">
      <c r="A19" s="15" t="n">
        <v>15</v>
      </c>
      <c r="B19" s="9" t="s">
        <v>476</v>
      </c>
      <c r="C19" s="9" t="s">
        <v>504</v>
      </c>
      <c r="D19" s="9" t="s">
        <v>505</v>
      </c>
      <c r="E19" s="9" t="s">
        <v>18</v>
      </c>
    </row>
    <row r="20" customFormat="false" ht="23.85" hidden="false" customHeight="false" outlineLevel="0" collapsed="false">
      <c r="A20" s="15" t="n">
        <v>16</v>
      </c>
      <c r="B20" s="9" t="s">
        <v>476</v>
      </c>
      <c r="C20" s="9" t="s">
        <v>506</v>
      </c>
      <c r="D20" s="9" t="s">
        <v>507</v>
      </c>
      <c r="E20" s="9" t="s">
        <v>372</v>
      </c>
    </row>
    <row r="21" customFormat="false" ht="23.85" hidden="false" customHeight="false" outlineLevel="0" collapsed="false">
      <c r="A21" s="15" t="n">
        <v>17</v>
      </c>
      <c r="B21" s="9" t="s">
        <v>476</v>
      </c>
      <c r="C21" s="9" t="s">
        <v>508</v>
      </c>
      <c r="D21" s="9" t="s">
        <v>509</v>
      </c>
      <c r="E21" s="9" t="s">
        <v>510</v>
      </c>
    </row>
    <row r="22" customFormat="false" ht="15" hidden="false" customHeight="false" outlineLevel="0" collapsed="false">
      <c r="A22" s="15" t="n">
        <v>18</v>
      </c>
      <c r="B22" s="9" t="s">
        <v>511</v>
      </c>
      <c r="C22" s="9" t="s">
        <v>492</v>
      </c>
      <c r="D22" s="9" t="s">
        <v>512</v>
      </c>
      <c r="E22" s="9" t="s">
        <v>513</v>
      </c>
    </row>
    <row r="23" customFormat="false" ht="15" hidden="false" customHeight="false" outlineLevel="0" collapsed="false">
      <c r="A23" s="15" t="n">
        <v>19</v>
      </c>
      <c r="B23" s="9" t="s">
        <v>511</v>
      </c>
      <c r="C23" s="9" t="s">
        <v>501</v>
      </c>
      <c r="D23" s="9" t="s">
        <v>514</v>
      </c>
      <c r="E23" s="9" t="s">
        <v>515</v>
      </c>
    </row>
    <row r="24" customFormat="false" ht="15" hidden="false" customHeight="false" outlineLevel="0" collapsed="false">
      <c r="A24" s="15" t="n">
        <v>20</v>
      </c>
      <c r="B24" s="9" t="s">
        <v>511</v>
      </c>
      <c r="C24" s="9" t="s">
        <v>516</v>
      </c>
      <c r="D24" s="9" t="s">
        <v>517</v>
      </c>
      <c r="E24" s="9" t="s">
        <v>53</v>
      </c>
    </row>
    <row r="25" customFormat="false" ht="15" hidden="false" customHeight="false" outlineLevel="0" collapsed="false">
      <c r="A25" s="15" t="n">
        <v>21</v>
      </c>
      <c r="B25" s="9" t="s">
        <v>511</v>
      </c>
      <c r="C25" s="9" t="s">
        <v>516</v>
      </c>
      <c r="D25" s="9" t="s">
        <v>518</v>
      </c>
      <c r="E25" s="9" t="s">
        <v>519</v>
      </c>
    </row>
    <row r="26" customFormat="false" ht="23.85" hidden="false" customHeight="false" outlineLevel="0" collapsed="false">
      <c r="A26" s="15" t="n">
        <v>22</v>
      </c>
      <c r="B26" s="9" t="s">
        <v>511</v>
      </c>
      <c r="C26" s="9" t="s">
        <v>520</v>
      </c>
      <c r="D26" s="9" t="s">
        <v>521</v>
      </c>
      <c r="E26" s="9" t="s">
        <v>522</v>
      </c>
    </row>
    <row r="27" customFormat="false" ht="15" hidden="false" customHeight="false" outlineLevel="0" collapsed="false">
      <c r="A27" s="59" t="n">
        <v>23</v>
      </c>
      <c r="B27" s="60" t="s">
        <v>523</v>
      </c>
      <c r="C27" s="60" t="s">
        <v>524</v>
      </c>
      <c r="D27" s="60" t="s">
        <v>525</v>
      </c>
      <c r="E27" s="60" t="s">
        <v>526</v>
      </c>
    </row>
    <row r="28" customFormat="false" ht="15" hidden="false" customHeight="false" outlineLevel="0" collapsed="false">
      <c r="A28" s="59" t="n">
        <v>24</v>
      </c>
      <c r="B28" s="60" t="s">
        <v>523</v>
      </c>
      <c r="C28" s="60" t="s">
        <v>524</v>
      </c>
      <c r="D28" s="60" t="s">
        <v>527</v>
      </c>
      <c r="E28" s="60" t="s">
        <v>528</v>
      </c>
    </row>
    <row r="29" customFormat="false" ht="15" hidden="false" customHeight="false" outlineLevel="0" collapsed="false">
      <c r="A29" s="59" t="n">
        <v>25</v>
      </c>
      <c r="B29" s="60" t="s">
        <v>523</v>
      </c>
      <c r="C29" s="60" t="s">
        <v>529</v>
      </c>
      <c r="D29" s="60" t="s">
        <v>530</v>
      </c>
      <c r="E29" s="60" t="s">
        <v>77</v>
      </c>
    </row>
    <row r="30" customFormat="false" ht="15" hidden="false" customHeight="false" outlineLevel="0" collapsed="false">
      <c r="A30" s="59" t="n">
        <v>26</v>
      </c>
      <c r="B30" s="60" t="s">
        <v>523</v>
      </c>
      <c r="C30" s="60" t="s">
        <v>531</v>
      </c>
      <c r="D30" s="60" t="s">
        <v>532</v>
      </c>
      <c r="E30" s="60" t="s">
        <v>112</v>
      </c>
    </row>
  </sheetData>
  <autoFilter ref="A4:E3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3" min="3" style="0" width="90"/>
  </cols>
  <sheetData>
    <row r="1" customFormat="false" ht="17.35" hidden="false" customHeight="false" outlineLevel="0" collapsed="false">
      <c r="A1" s="1" t="s">
        <v>533</v>
      </c>
    </row>
    <row r="2" customFormat="false" ht="15" hidden="false" customHeight="false" outlineLevel="0" collapsed="false">
      <c r="A2" s="2" t="s">
        <v>534</v>
      </c>
    </row>
    <row r="4" customFormat="false" ht="30" hidden="false" customHeight="true" outlineLevel="0" collapsed="false">
      <c r="A4" s="13" t="s">
        <v>535</v>
      </c>
      <c r="B4" s="13" t="s">
        <v>536</v>
      </c>
      <c r="C4" s="13" t="s">
        <v>537</v>
      </c>
    </row>
    <row r="5" customFormat="false" ht="15" hidden="false" customHeight="false" outlineLevel="0" collapsed="false">
      <c r="A5" s="9" t="s">
        <v>538</v>
      </c>
      <c r="B5" s="61" t="n">
        <v>808</v>
      </c>
      <c r="C5" s="9" t="s">
        <v>539</v>
      </c>
    </row>
    <row r="6" customFormat="false" ht="15" hidden="false" customHeight="false" outlineLevel="0" collapsed="false">
      <c r="A6" s="9" t="s">
        <v>540</v>
      </c>
      <c r="B6" s="61" t="n">
        <v>766</v>
      </c>
      <c r="C6" s="9" t="s">
        <v>541</v>
      </c>
    </row>
    <row r="7" customFormat="false" ht="15" hidden="false" customHeight="false" outlineLevel="0" collapsed="false">
      <c r="A7" s="9" t="s">
        <v>542</v>
      </c>
      <c r="B7" s="61" t="n">
        <v>714</v>
      </c>
      <c r="C7" s="9" t="s">
        <v>543</v>
      </c>
    </row>
    <row r="8" customFormat="false" ht="15" hidden="false" customHeight="false" outlineLevel="0" collapsed="false">
      <c r="A8" s="9" t="s">
        <v>544</v>
      </c>
      <c r="B8" s="61" t="n">
        <v>664</v>
      </c>
      <c r="C8" s="9"/>
    </row>
    <row r="9" customFormat="false" ht="15" hidden="false" customHeight="false" outlineLevel="0" collapsed="false">
      <c r="A9" s="9" t="s">
        <v>545</v>
      </c>
      <c r="B9" s="62" t="n">
        <f aca="false">B7-B8</f>
        <v>50</v>
      </c>
      <c r="C9" s="9" t="s">
        <v>546</v>
      </c>
    </row>
    <row r="10" customFormat="false" ht="15" hidden="false" customHeight="false" outlineLevel="0" collapsed="false">
      <c r="A10" s="9" t="s">
        <v>547</v>
      </c>
      <c r="B10" s="61" t="n">
        <v>49</v>
      </c>
      <c r="C10" s="9" t="s">
        <v>548</v>
      </c>
    </row>
    <row r="11" customFormat="false" ht="15" hidden="false" customHeight="false" outlineLevel="0" collapsed="false">
      <c r="A11" s="9" t="s">
        <v>549</v>
      </c>
      <c r="B11" s="61" t="n">
        <v>22</v>
      </c>
      <c r="C11" s="9" t="s">
        <v>550</v>
      </c>
    </row>
    <row r="12" customFormat="false" ht="15" hidden="false" customHeight="false" outlineLevel="0" collapsed="false">
      <c r="A12" s="9" t="s">
        <v>551</v>
      </c>
      <c r="B12" s="61" t="n">
        <v>25</v>
      </c>
      <c r="C12" s="9" t="s">
        <v>552</v>
      </c>
    </row>
    <row r="13" customFormat="false" ht="15" hidden="false" customHeight="false" outlineLevel="0" collapsed="false">
      <c r="A13" s="9" t="s">
        <v>553</v>
      </c>
      <c r="B13" s="61" t="n">
        <v>31</v>
      </c>
      <c r="C13" s="9" t="s">
        <v>554</v>
      </c>
    </row>
    <row r="14" customFormat="false" ht="15" hidden="false" customHeight="false" outlineLevel="0" collapsed="false">
      <c r="A14" s="9" t="s">
        <v>555</v>
      </c>
      <c r="B14" s="61" t="n">
        <v>3</v>
      </c>
      <c r="C14" s="9" t="s">
        <v>556</v>
      </c>
    </row>
    <row r="15" customFormat="false" ht="15" hidden="false" customHeight="false" outlineLevel="0" collapsed="false">
      <c r="A15" s="9" t="s">
        <v>557</v>
      </c>
      <c r="B15" s="61" t="n">
        <v>3</v>
      </c>
      <c r="C15" s="9" t="s">
        <v>558</v>
      </c>
    </row>
    <row r="16" customFormat="false" ht="15" hidden="false" customHeight="false" outlineLevel="0" collapsed="false">
      <c r="A16" s="9" t="s">
        <v>559</v>
      </c>
      <c r="B16" s="61" t="n">
        <v>2</v>
      </c>
      <c r="C16" s="9" t="s">
        <v>560</v>
      </c>
    </row>
    <row r="17" customFormat="false" ht="15" hidden="false" customHeight="false" outlineLevel="0" collapsed="false">
      <c r="A17" s="9" t="s">
        <v>561</v>
      </c>
      <c r="B17" s="61" t="n">
        <v>2</v>
      </c>
      <c r="C17" s="9" t="s">
        <v>562</v>
      </c>
    </row>
    <row r="18" customFormat="false" ht="15" hidden="false" customHeight="false" outlineLevel="0" collapsed="false">
      <c r="A18" s="9" t="s">
        <v>563</v>
      </c>
      <c r="B18" s="61" t="n">
        <v>1</v>
      </c>
      <c r="C18" s="9" t="s">
        <v>564</v>
      </c>
    </row>
    <row r="19" customFormat="false" ht="15" hidden="false" customHeight="false" outlineLevel="0" collapsed="false">
      <c r="A19" s="9" t="s">
        <v>565</v>
      </c>
      <c r="B19" s="61" t="n">
        <v>14</v>
      </c>
      <c r="C19" s="9" t="s">
        <v>566</v>
      </c>
    </row>
    <row r="20" customFormat="false" ht="15" hidden="false" customHeight="false" outlineLevel="0" collapsed="false">
      <c r="A20" s="9" t="s">
        <v>567</v>
      </c>
      <c r="B20" s="61" t="n">
        <v>161</v>
      </c>
      <c r="C20" s="9" t="s">
        <v>568</v>
      </c>
    </row>
    <row r="21" customFormat="false" ht="15" hidden="false" customHeight="false" outlineLevel="0" collapsed="false">
      <c r="A21" s="9" t="s">
        <v>569</v>
      </c>
      <c r="B21" s="61" t="n">
        <v>9</v>
      </c>
      <c r="C21" s="9" t="s">
        <v>570</v>
      </c>
    </row>
    <row r="23" customFormat="false" ht="15" hidden="false" customHeight="false" outlineLevel="0" collapsed="false">
      <c r="A23" s="3" t="s">
        <v>571</v>
      </c>
    </row>
    <row r="24" customFormat="false" ht="15" hidden="false" customHeight="false" outlineLevel="0" collapsed="false">
      <c r="A24" s="9" t="s">
        <v>265</v>
      </c>
      <c r="B24" s="63" t="n">
        <v>338</v>
      </c>
      <c r="C24" s="9" t="s">
        <v>572</v>
      </c>
    </row>
    <row r="25" customFormat="false" ht="15" hidden="false" customHeight="false" outlineLevel="0" collapsed="false">
      <c r="A25" s="9" t="s">
        <v>267</v>
      </c>
      <c r="B25" s="63" t="n">
        <v>308</v>
      </c>
      <c r="C25" s="9" t="s">
        <v>572</v>
      </c>
    </row>
    <row r="26" customFormat="false" ht="15" hidden="false" customHeight="false" outlineLevel="0" collapsed="false">
      <c r="A26" s="9" t="s">
        <v>268</v>
      </c>
      <c r="B26" s="63" t="n">
        <v>68</v>
      </c>
      <c r="C26" s="9" t="s">
        <v>572</v>
      </c>
    </row>
    <row r="27" customFormat="false" ht="15" hidden="false" customHeight="false" outlineLevel="0" collapsed="false">
      <c r="A27" s="9" t="s">
        <v>269</v>
      </c>
      <c r="B27" s="63" t="n">
        <v>41</v>
      </c>
      <c r="C27" s="9" t="s">
        <v>572</v>
      </c>
    </row>
    <row r="28" customFormat="false" ht="15" hidden="false" customHeight="false" outlineLevel="0" collapsed="false">
      <c r="A28" s="9" t="s">
        <v>270</v>
      </c>
      <c r="B28" s="63" t="n">
        <v>6</v>
      </c>
      <c r="C28" s="9" t="s">
        <v>572</v>
      </c>
    </row>
    <row r="29" customFormat="false" ht="15" hidden="false" customHeight="false" outlineLevel="0" collapsed="false">
      <c r="A29" s="9" t="s">
        <v>271</v>
      </c>
      <c r="B29" s="63" t="n">
        <v>5</v>
      </c>
      <c r="C29" s="9" t="s">
        <v>572</v>
      </c>
    </row>
    <row r="30" customFormat="false" ht="15" hidden="false" customHeight="false" outlineLevel="0" collapsed="false">
      <c r="A30" s="47" t="s">
        <v>573</v>
      </c>
      <c r="B30" s="64" t="n">
        <f aca="false">SUM(B24:B29)</f>
        <v>766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2026-10-11T23:47:31Z</dcterms:created>
  <dc:creator>openpyxl</dc:creator>
  <dc:description/>
  <dc:language>en-US</dc:language>
  <cp:lastModifiedBy/>
  <dcterms:modified xsi:type="dcterms:W3CDTF">2026-10-11T23:47:31Z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